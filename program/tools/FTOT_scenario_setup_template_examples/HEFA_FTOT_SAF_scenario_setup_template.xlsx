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FTOT\program\tools\FTOT_scenario_setup_template_examples\"/>
    </mc:Choice>
  </mc:AlternateContent>
  <xr:revisionPtr revIDLastSave="0" documentId="13_ncr:1_{C42B79C5-4234-44AB-9785-5CCA92536ABA}" xr6:coauthVersionLast="47" xr6:coauthVersionMax="47" xr10:uidLastSave="{00000000-0000-0000-0000-000000000000}"/>
  <bookViews>
    <workbookView xWindow="-110" yWindow="-110" windowWidth="19420" windowHeight="11500" tabRatio="726" xr2:uid="{818C5637-43B9-439E-8DBD-851C8EDFF342}"/>
  </bookViews>
  <sheets>
    <sheet name="Instructions" sheetId="28" r:id="rId1"/>
    <sheet name="SAF Filters" sheetId="13" r:id="rId2"/>
    <sheet name="Configuration" sheetId="1" r:id="rId3"/>
    <sheet name="Commodities and Processes" sheetId="10" r:id="rId4"/>
    <sheet name="Facilities and Amounts" sheetId="7" r:id="rId5"/>
    <sheet name="SAF_Scenario" sheetId="16" state="hidden" r:id="rId6"/>
    <sheet name="SAF_State" sheetId="17" state="hidden" r:id="rId7"/>
    <sheet name="SAF_Cand_Refinery" sheetId="18" state="hidden" r:id="rId8"/>
    <sheet name="SAF_Existing_Refinery" sheetId="22" state="hidden" r:id="rId9"/>
    <sheet name="SAF_Blender" sheetId="27" state="hidden" r:id="rId10"/>
    <sheet name="SAF_Airport" sheetId="20" state="hidden" r:id="rId11"/>
    <sheet name="Notes" sheetId="11" state="hidden" r:id="rId12"/>
  </sheets>
  <definedNames>
    <definedName name="dest_copy">commodities[Name]</definedName>
    <definedName name="liquid">Notes!$G$3:$G$5</definedName>
    <definedName name="processor">_xlfn.ANCHORARRAY(Notes!$M$3)</definedName>
    <definedName name="raw_material_producer" localSheetId="7">commodities[Name]</definedName>
    <definedName name="raw_material_producer" localSheetId="5">commodities[Name]</definedName>
    <definedName name="raw_material_producer" localSheetId="6">commodities[Name]</definedName>
    <definedName name="raw_material_producer">commodities[Name]</definedName>
    <definedName name="rmp_copy">commodities[Name]</definedName>
    <definedName name="Slicer_Airport_Code">#N/A</definedName>
    <definedName name="Slicer_City">#N/A</definedName>
    <definedName name="Slicer_City1">#N/A</definedName>
    <definedName name="Slicer_Commodity1">#N/A</definedName>
    <definedName name="Slicer_Conversion_Process1">#N/A</definedName>
    <definedName name="Slicer_FAA_Hub_Size">#N/A</definedName>
    <definedName name="Slicer_Nth_Pioneer1">#N/A</definedName>
    <definedName name="Slicer_Resource1">#N/A</definedName>
    <definedName name="Slicer_Scenario1">#N/A</definedName>
    <definedName name="Slicer_State">#N/A</definedName>
    <definedName name="Slicer_State1">#N/A</definedName>
    <definedName name="Slicer_State2">#N/A</definedName>
    <definedName name="Slicer_State3">#N/A</definedName>
    <definedName name="Slicer_Terminal_Name">#N/A</definedName>
    <definedName name="solid">Notes!$F$3:$F$6</definedName>
    <definedName name="solidliquid">Notes!$H$3:$H$9</definedName>
    <definedName name="ultimate_destination" localSheetId="7">commodities[Name]</definedName>
    <definedName name="ultimate_destination" localSheetId="5">commodities[Name]</definedName>
    <definedName name="ultimate_destination" localSheetId="6">commodities[Name]</definedName>
    <definedName name="ultimate_destination">commodities[Name]</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6" i="20" l="1"/>
  <c r="E125" i="20"/>
  <c r="E124" i="20"/>
  <c r="E123" i="20"/>
  <c r="E122" i="20"/>
  <c r="E121" i="20"/>
  <c r="E120" i="20"/>
  <c r="E119" i="20"/>
  <c r="E118" i="20"/>
  <c r="E117" i="20"/>
  <c r="E116" i="20"/>
  <c r="E115" i="20"/>
  <c r="E114" i="20"/>
  <c r="E113" i="20"/>
  <c r="E112" i="20"/>
  <c r="E111" i="20"/>
  <c r="E110" i="20"/>
  <c r="E109" i="20"/>
  <c r="E108" i="20"/>
  <c r="E107" i="20"/>
  <c r="E106" i="20"/>
  <c r="E105" i="20"/>
  <c r="E104" i="20"/>
  <c r="E103" i="20"/>
  <c r="E102" i="20"/>
  <c r="E101" i="20"/>
  <c r="E100" i="20"/>
  <c r="E99" i="20"/>
  <c r="E98" i="20"/>
  <c r="E97" i="20"/>
  <c r="E96" i="20"/>
  <c r="E95" i="20"/>
  <c r="E94" i="20"/>
  <c r="E93" i="20"/>
  <c r="E92" i="20"/>
  <c r="E91" i="20"/>
  <c r="E90" i="20"/>
  <c r="E89" i="20"/>
  <c r="E88" i="20"/>
  <c r="E87" i="20"/>
  <c r="E86" i="20"/>
  <c r="E85" i="20"/>
  <c r="E84" i="20"/>
  <c r="E83" i="20"/>
  <c r="E82" i="20"/>
  <c r="E81" i="20"/>
  <c r="E80" i="20"/>
  <c r="E79" i="20"/>
  <c r="E78" i="20"/>
  <c r="E77" i="20"/>
  <c r="E76" i="20"/>
  <c r="E75" i="20"/>
  <c r="E74" i="20"/>
  <c r="E73" i="20"/>
  <c r="E72" i="20"/>
  <c r="E71" i="20"/>
  <c r="E70" i="20"/>
  <c r="E69" i="20"/>
  <c r="E68" i="20"/>
  <c r="E67" i="20"/>
  <c r="E66" i="20"/>
  <c r="E65" i="20"/>
  <c r="E64" i="20"/>
  <c r="E63" i="20"/>
  <c r="E62" i="20"/>
  <c r="E61" i="20"/>
  <c r="E60" i="20"/>
  <c r="E59" i="20"/>
  <c r="E58" i="20"/>
  <c r="E57" i="20"/>
  <c r="E56" i="20"/>
  <c r="E55" i="20"/>
  <c r="E54" i="20"/>
  <c r="E53" i="20"/>
  <c r="E52" i="20"/>
  <c r="E51" i="20"/>
  <c r="E50" i="20"/>
  <c r="E49" i="20"/>
  <c r="E48" i="20"/>
  <c r="E47" i="20"/>
  <c r="E46" i="20"/>
  <c r="E45" i="20"/>
  <c r="E44" i="20"/>
  <c r="E43" i="20"/>
  <c r="E42" i="20"/>
  <c r="E41" i="20"/>
  <c r="E40" i="20"/>
  <c r="E39" i="20"/>
  <c r="E38" i="20"/>
  <c r="E37" i="20"/>
  <c r="E36" i="20"/>
  <c r="E35" i="20"/>
  <c r="E34" i="20"/>
  <c r="E33" i="20"/>
  <c r="E32" i="20"/>
  <c r="E31" i="20"/>
  <c r="E30" i="20"/>
  <c r="E29" i="20"/>
  <c r="E28" i="20"/>
  <c r="E27" i="20"/>
  <c r="E26" i="20"/>
  <c r="E25" i="20"/>
  <c r="E24" i="20"/>
  <c r="E23" i="20"/>
  <c r="E22" i="20"/>
  <c r="E21" i="20"/>
  <c r="E20" i="20"/>
  <c r="E19" i="20"/>
  <c r="E18" i="20"/>
  <c r="E17" i="20"/>
  <c r="E16" i="20"/>
  <c r="E15" i="20"/>
  <c r="E14" i="20"/>
  <c r="E13" i="20"/>
  <c r="E12" i="20"/>
  <c r="E11" i="20"/>
  <c r="E10" i="20"/>
  <c r="E9" i="20"/>
  <c r="E8" i="20"/>
  <c r="E7" i="20"/>
  <c r="E6" i="20"/>
  <c r="E5" i="20"/>
  <c r="E4" i="20"/>
  <c r="E3" i="20"/>
  <c r="E2" i="20"/>
  <c r="R155" i="18"/>
  <c r="Q155" i="18"/>
  <c r="F155" i="18"/>
  <c r="R154" i="18"/>
  <c r="Q154" i="18"/>
  <c r="F154" i="18"/>
  <c r="R153" i="18"/>
  <c r="Q153" i="18"/>
  <c r="F153" i="18"/>
  <c r="R152" i="18"/>
  <c r="Q152" i="18"/>
  <c r="F152" i="18"/>
  <c r="R151" i="18"/>
  <c r="Q151" i="18"/>
  <c r="F151" i="18"/>
  <c r="R150" i="18"/>
  <c r="Q150" i="18"/>
  <c r="F150" i="18"/>
  <c r="R141" i="18"/>
  <c r="Q141" i="18"/>
  <c r="F141" i="18"/>
  <c r="R140" i="18"/>
  <c r="Q140" i="18"/>
  <c r="F140" i="18"/>
  <c r="R139" i="18"/>
  <c r="Q139" i="18"/>
  <c r="F139" i="18"/>
  <c r="R138" i="18"/>
  <c r="Q138" i="18"/>
  <c r="F138" i="18"/>
  <c r="R137" i="18"/>
  <c r="Q137" i="18"/>
  <c r="F137" i="18"/>
  <c r="R136" i="18"/>
  <c r="Q136" i="18"/>
  <c r="F136" i="18"/>
  <c r="R149" i="18"/>
  <c r="Q149" i="18"/>
  <c r="F149" i="18"/>
  <c r="R148" i="18"/>
  <c r="Q148" i="18"/>
  <c r="F148" i="18"/>
  <c r="R147" i="18"/>
  <c r="Q147" i="18"/>
  <c r="F147" i="18"/>
  <c r="R146" i="18"/>
  <c r="Q146" i="18"/>
  <c r="F146" i="18"/>
  <c r="R145" i="18"/>
  <c r="Q145" i="18"/>
  <c r="F145" i="18"/>
  <c r="R144" i="18"/>
  <c r="Q144" i="18"/>
  <c r="F144" i="18"/>
  <c r="R133" i="18"/>
  <c r="Q133" i="18"/>
  <c r="F133" i="18"/>
  <c r="R132" i="18"/>
  <c r="Q132" i="18"/>
  <c r="F132" i="18"/>
  <c r="R131" i="18"/>
  <c r="Q131" i="18"/>
  <c r="F131" i="18"/>
  <c r="R130" i="18"/>
  <c r="Q130" i="18"/>
  <c r="F130" i="18"/>
  <c r="R129" i="18"/>
  <c r="Q129" i="18"/>
  <c r="F129" i="18"/>
  <c r="R128" i="18"/>
  <c r="Q128" i="18"/>
  <c r="F128" i="18"/>
  <c r="F126" i="18"/>
  <c r="F127" i="18"/>
  <c r="F134" i="18"/>
  <c r="F135" i="18"/>
  <c r="F142" i="18"/>
  <c r="F143" i="18"/>
  <c r="F156" i="18"/>
  <c r="F157" i="18"/>
  <c r="Q126" i="18"/>
  <c r="Q127" i="18"/>
  <c r="Q134" i="18"/>
  <c r="Q135" i="18"/>
  <c r="Q142" i="18"/>
  <c r="Q143" i="18"/>
  <c r="Q156" i="18"/>
  <c r="Q157" i="18"/>
  <c r="R126" i="18"/>
  <c r="R127" i="18"/>
  <c r="R134" i="18"/>
  <c r="R135" i="18"/>
  <c r="R142" i="18"/>
  <c r="R143" i="18"/>
  <c r="R156" i="18"/>
  <c r="R157" i="18"/>
  <c r="D136" i="27"/>
  <c r="D334" i="27"/>
  <c r="D959" i="27"/>
  <c r="D135" i="27"/>
  <c r="D1313" i="27"/>
  <c r="D597" i="27"/>
  <c r="D373" i="27"/>
  <c r="D443" i="27"/>
  <c r="D442" i="27"/>
  <c r="D1264" i="27"/>
  <c r="D36" i="27"/>
  <c r="D35" i="27"/>
  <c r="D34" i="27"/>
  <c r="D516" i="27"/>
  <c r="D134" i="27"/>
  <c r="D625" i="27"/>
  <c r="D1263" i="27"/>
  <c r="D1262" i="27"/>
  <c r="D515" i="27"/>
  <c r="D822" i="27"/>
  <c r="D526" i="27"/>
  <c r="D1015" i="27"/>
  <c r="D596" i="27"/>
  <c r="D595" i="27"/>
  <c r="D171" i="27"/>
  <c r="D33" i="27"/>
  <c r="D821" i="27"/>
  <c r="D133" i="27"/>
  <c r="D132" i="27"/>
  <c r="D271" i="27"/>
  <c r="D1261" i="27"/>
  <c r="D677" i="27"/>
  <c r="D372" i="27"/>
  <c r="D217" i="27"/>
  <c r="D594" i="27"/>
  <c r="D820" i="27"/>
  <c r="D819" i="27"/>
  <c r="D818" i="27"/>
  <c r="D1014" i="27"/>
  <c r="D32" i="27"/>
  <c r="D817" i="27"/>
  <c r="D1013" i="27"/>
  <c r="D333" i="27"/>
  <c r="D945" i="27"/>
  <c r="D624" i="27"/>
  <c r="D1090" i="27"/>
  <c r="D924" i="27"/>
  <c r="D958" i="27"/>
  <c r="D749" i="27"/>
  <c r="D216" i="27"/>
  <c r="D1260" i="27"/>
  <c r="D150" i="27"/>
  <c r="D131" i="27"/>
  <c r="D270" i="27"/>
  <c r="D130" i="27"/>
  <c r="D129" i="27"/>
  <c r="D128" i="27"/>
  <c r="D463" i="27"/>
  <c r="D650" i="27"/>
  <c r="D215" i="27"/>
  <c r="D214" i="27"/>
  <c r="D213" i="27"/>
  <c r="D212" i="27"/>
  <c r="D649" i="27"/>
  <c r="D1312" i="27"/>
  <c r="D1311" i="27"/>
  <c r="D676" i="27"/>
  <c r="D371" i="27"/>
  <c r="D1259" i="27"/>
  <c r="D1310" i="27"/>
  <c r="D1309" i="27"/>
  <c r="D1308" i="27"/>
  <c r="D1307" i="27"/>
  <c r="D1258" i="27"/>
  <c r="D1257" i="27"/>
  <c r="D1256" i="27"/>
  <c r="D1255" i="27"/>
  <c r="D269" i="27"/>
  <c r="D1046" i="27"/>
  <c r="D944" i="27"/>
  <c r="D923" i="27"/>
  <c r="D867" i="27"/>
  <c r="D866" i="27"/>
  <c r="D865" i="27"/>
  <c r="D648" i="27"/>
  <c r="D647" i="27"/>
  <c r="D462" i="27"/>
  <c r="D461" i="27"/>
  <c r="D460" i="27"/>
  <c r="D459" i="27"/>
  <c r="D370" i="27"/>
  <c r="D268" i="27"/>
  <c r="D267" i="27"/>
  <c r="D266" i="27"/>
  <c r="D265" i="27"/>
  <c r="D264" i="27"/>
  <c r="D263" i="27"/>
  <c r="D262" i="27"/>
  <c r="D261" i="27"/>
  <c r="D211" i="27"/>
  <c r="D210" i="27"/>
  <c r="D209" i="27"/>
  <c r="D63" i="27"/>
  <c r="D208" i="27"/>
  <c r="D1254" i="27"/>
  <c r="D1253" i="27"/>
  <c r="D1252" i="27"/>
  <c r="D623" i="27"/>
  <c r="D1335" i="27"/>
  <c r="D957" i="27"/>
  <c r="D1334" i="27"/>
  <c r="D864" i="27"/>
  <c r="D1251" i="27"/>
  <c r="D514" i="27"/>
  <c r="D1250" i="27"/>
  <c r="D1249" i="27"/>
  <c r="D260" i="27"/>
  <c r="D1045" i="27"/>
  <c r="D1248" i="27"/>
  <c r="D513" i="27"/>
  <c r="D646" i="27"/>
  <c r="D1247" i="27"/>
  <c r="D207" i="27"/>
  <c r="D645" i="27"/>
  <c r="D555" i="27"/>
  <c r="D127" i="27"/>
  <c r="D126" i="27"/>
  <c r="D675" i="27"/>
  <c r="D674" i="27"/>
  <c r="D1246" i="27"/>
  <c r="D512" i="27"/>
  <c r="D1012" i="27"/>
  <c r="D816" i="27"/>
  <c r="D815" i="27"/>
  <c r="D554" i="27"/>
  <c r="D553" i="27"/>
  <c r="D525" i="27"/>
  <c r="D206" i="27"/>
  <c r="D31" i="27"/>
  <c r="D259" i="27"/>
  <c r="D205" i="27"/>
  <c r="D204" i="27"/>
  <c r="D125" i="27"/>
  <c r="D644" i="27"/>
  <c r="D332" i="27"/>
  <c r="D1245" i="27"/>
  <c r="D203" i="27"/>
  <c r="D1244" i="27"/>
  <c r="D202" i="27"/>
  <c r="D863" i="27"/>
  <c r="D1243" i="27"/>
  <c r="D1242" i="27"/>
  <c r="D1241" i="27"/>
  <c r="D862" i="27"/>
  <c r="D1044" i="27"/>
  <c r="D1306" i="27"/>
  <c r="D201" i="27"/>
  <c r="D200" i="27"/>
  <c r="D861" i="27"/>
  <c r="D258" i="27"/>
  <c r="D860" i="27"/>
  <c r="D257" i="27"/>
  <c r="D1305" i="27"/>
  <c r="D538" i="27"/>
  <c r="D1240" i="27"/>
  <c r="D1239" i="27"/>
  <c r="D1238" i="27"/>
  <c r="D256" i="27"/>
  <c r="D859" i="27"/>
  <c r="D170" i="27"/>
  <c r="D1023" i="27"/>
  <c r="D643" i="27"/>
  <c r="D30" i="27"/>
  <c r="D511" i="27"/>
  <c r="D1022" i="27"/>
  <c r="D748" i="27"/>
  <c r="D1089" i="27"/>
  <c r="D747" i="27"/>
  <c r="D1088" i="27"/>
  <c r="D169" i="27"/>
  <c r="D814" i="27"/>
  <c r="D1333" i="27"/>
  <c r="D124" i="27"/>
  <c r="D1343" i="27"/>
  <c r="D1237" i="27"/>
  <c r="D593" i="27"/>
  <c r="D123" i="27"/>
  <c r="D122" i="27"/>
  <c r="D121" i="27"/>
  <c r="D331" i="27"/>
  <c r="D120" i="27"/>
  <c r="D119" i="27"/>
  <c r="D956" i="27"/>
  <c r="D714" i="27"/>
  <c r="D592" i="27"/>
  <c r="D279" i="27"/>
  <c r="D255" i="27"/>
  <c r="D1236" i="27"/>
  <c r="D254" i="27"/>
  <c r="D199" i="27"/>
  <c r="D591" i="27"/>
  <c r="D943" i="27"/>
  <c r="D118" i="27"/>
  <c r="D47" i="27"/>
  <c r="D1304" i="27"/>
  <c r="D1235" i="27"/>
  <c r="D1234" i="27"/>
  <c r="D1233" i="27"/>
  <c r="D510" i="27"/>
  <c r="D1232" i="27"/>
  <c r="D813" i="27"/>
  <c r="D369" i="27"/>
  <c r="D922" i="27"/>
  <c r="D921" i="27"/>
  <c r="D746" i="27"/>
  <c r="D330" i="27"/>
  <c r="D1087" i="27"/>
  <c r="D1086" i="27"/>
  <c r="D1231" i="27"/>
  <c r="D942" i="27"/>
  <c r="D524" i="27"/>
  <c r="D858" i="27"/>
  <c r="D1085" i="27"/>
  <c r="D1230" i="27"/>
  <c r="D198" i="27"/>
  <c r="D253" i="27"/>
  <c r="D29" i="27"/>
  <c r="D812" i="27"/>
  <c r="D1229" i="27"/>
  <c r="D197" i="27"/>
  <c r="D1228" i="27"/>
  <c r="D196" i="27"/>
  <c r="D642" i="27"/>
  <c r="D641" i="27"/>
  <c r="D1043" i="27"/>
  <c r="D857" i="27"/>
  <c r="D1375" i="27"/>
  <c r="D590" i="27"/>
  <c r="D589" i="27"/>
  <c r="D588" i="27"/>
  <c r="D920" i="27"/>
  <c r="D552" i="27"/>
  <c r="D537" i="27"/>
  <c r="D1303" i="27"/>
  <c r="D1302" i="27"/>
  <c r="D1301" i="27"/>
  <c r="D368" i="27"/>
  <c r="D329" i="27"/>
  <c r="D328" i="27"/>
  <c r="D1374" i="27"/>
  <c r="D168" i="27"/>
  <c r="D1332" i="27"/>
  <c r="D367" i="27"/>
  <c r="D1373" i="27"/>
  <c r="D622" i="27"/>
  <c r="D412" i="27"/>
  <c r="D551" i="27"/>
  <c r="D873" i="27"/>
  <c r="D366" i="27"/>
  <c r="D621" i="27"/>
  <c r="D117" i="27"/>
  <c r="D1300" i="27"/>
  <c r="D690" i="27"/>
  <c r="D689" i="27"/>
  <c r="D1331" i="27"/>
  <c r="D1330" i="27"/>
  <c r="D688" i="27"/>
  <c r="D713" i="27"/>
  <c r="D441" i="27"/>
  <c r="D327" i="27"/>
  <c r="D326" i="27"/>
  <c r="D325" i="27"/>
  <c r="D324" i="27"/>
  <c r="D411" i="27"/>
  <c r="D410" i="27"/>
  <c r="D409" i="27"/>
  <c r="D705" i="27"/>
  <c r="D687" i="27"/>
  <c r="D440" i="27"/>
  <c r="D439" i="27"/>
  <c r="D438" i="27"/>
  <c r="D1227" i="27"/>
  <c r="D458" i="27"/>
  <c r="D323" i="27"/>
  <c r="D195" i="27"/>
  <c r="D252" i="27"/>
  <c r="D116" i="27"/>
  <c r="D408" i="27"/>
  <c r="D1226" i="27"/>
  <c r="D1055" i="27"/>
  <c r="D115" i="27"/>
  <c r="D1329" i="27"/>
  <c r="D1328" i="27"/>
  <c r="D114" i="27"/>
  <c r="D1225" i="27"/>
  <c r="D1224" i="27"/>
  <c r="D761" i="27"/>
  <c r="D113" i="27"/>
  <c r="D704" i="27"/>
  <c r="D437" i="27"/>
  <c r="D1223" i="27"/>
  <c r="D1222" i="27"/>
  <c r="D1221" i="27"/>
  <c r="D436" i="27"/>
  <c r="D1220" i="27"/>
  <c r="D1219" i="27"/>
  <c r="D941" i="27"/>
  <c r="D1218" i="27"/>
  <c r="D1217" i="27"/>
  <c r="D435" i="27"/>
  <c r="D434" i="27"/>
  <c r="D1054" i="27"/>
  <c r="D433" i="27"/>
  <c r="D1053" i="27"/>
  <c r="D1052" i="27"/>
  <c r="D703" i="27"/>
  <c r="D1051" i="27"/>
  <c r="D407" i="27"/>
  <c r="D406" i="27"/>
  <c r="D872" i="27"/>
  <c r="D702" i="27"/>
  <c r="D701" i="27"/>
  <c r="D620" i="27"/>
  <c r="D619" i="27"/>
  <c r="D405" i="27"/>
  <c r="D700" i="27"/>
  <c r="D618" i="27"/>
  <c r="D955" i="27"/>
  <c r="D112" i="27"/>
  <c r="D149" i="27"/>
  <c r="D1216" i="27"/>
  <c r="D760" i="27"/>
  <c r="D148" i="27"/>
  <c r="D1215" i="27"/>
  <c r="D811" i="27"/>
  <c r="D810" i="27"/>
  <c r="D1271" i="27"/>
  <c r="D365" i="27"/>
  <c r="D62" i="27"/>
  <c r="D617" i="27"/>
  <c r="D1372" i="27"/>
  <c r="D61" i="27"/>
  <c r="D673" i="27"/>
  <c r="D1299" i="27"/>
  <c r="D809" i="27"/>
  <c r="D167" i="27"/>
  <c r="D166" i="27"/>
  <c r="D1214" i="27"/>
  <c r="D759" i="27"/>
  <c r="D1213" i="27"/>
  <c r="D1212" i="27"/>
  <c r="D509" i="27"/>
  <c r="D1270" i="27"/>
  <c r="D1211" i="27"/>
  <c r="D1210" i="27"/>
  <c r="D111" i="27"/>
  <c r="D1209" i="27"/>
  <c r="D587" i="27"/>
  <c r="D28" i="27"/>
  <c r="D27" i="27"/>
  <c r="D165" i="27"/>
  <c r="D856" i="27"/>
  <c r="D194" i="27"/>
  <c r="D322" i="27"/>
  <c r="D321" i="27"/>
  <c r="D954" i="27"/>
  <c r="D251" i="27"/>
  <c r="D1084" i="27"/>
  <c r="D193" i="27"/>
  <c r="D508" i="27"/>
  <c r="D507" i="27"/>
  <c r="D1208" i="27"/>
  <c r="D506" i="27"/>
  <c r="D505" i="27"/>
  <c r="D504" i="27"/>
  <c r="D1207" i="27"/>
  <c r="D1206" i="27"/>
  <c r="D503" i="27"/>
  <c r="D640" i="27"/>
  <c r="D26" i="27"/>
  <c r="D25" i="27"/>
  <c r="D1205" i="27"/>
  <c r="D1204" i="27"/>
  <c r="D1203" i="27"/>
  <c r="D712" i="27"/>
  <c r="D46" i="27"/>
  <c r="D758" i="27"/>
  <c r="D45" i="27"/>
  <c r="D757" i="27"/>
  <c r="D756" i="27"/>
  <c r="D1202" i="27"/>
  <c r="D110" i="27"/>
  <c r="D278" i="27"/>
  <c r="D277" i="27"/>
  <c r="D1327" i="27"/>
  <c r="D109" i="27"/>
  <c r="D108" i="27"/>
  <c r="D107" i="27"/>
  <c r="D106" i="27"/>
  <c r="D105" i="27"/>
  <c r="D104" i="27"/>
  <c r="D103" i="27"/>
  <c r="D1326" i="27"/>
  <c r="D102" i="27"/>
  <c r="D276" i="27"/>
  <c r="D101" i="27"/>
  <c r="D1325" i="27"/>
  <c r="D502" i="27"/>
  <c r="D855" i="27"/>
  <c r="D1083" i="27"/>
  <c r="D854" i="27"/>
  <c r="D364" i="27"/>
  <c r="D853" i="27"/>
  <c r="D192" i="27"/>
  <c r="D501" i="27"/>
  <c r="D1082" i="27"/>
  <c r="D24" i="27"/>
  <c r="D250" i="27"/>
  <c r="D23" i="27"/>
  <c r="D249" i="27"/>
  <c r="D248" i="27"/>
  <c r="D191" i="27"/>
  <c r="D320" i="27"/>
  <c r="D919" i="27"/>
  <c r="D363" i="27"/>
  <c r="D190" i="27"/>
  <c r="D1342" i="27"/>
  <c r="D1042" i="27"/>
  <c r="D1081" i="27"/>
  <c r="D918" i="27"/>
  <c r="D586" i="27"/>
  <c r="D362" i="27"/>
  <c r="D585" i="27"/>
  <c r="D457" i="27"/>
  <c r="D917" i="27"/>
  <c r="D319" i="27"/>
  <c r="D916" i="27"/>
  <c r="D915" i="27"/>
  <c r="D914" i="27"/>
  <c r="D913" i="27"/>
  <c r="D361" i="27"/>
  <c r="D360" i="27"/>
  <c r="D584" i="27"/>
  <c r="D456" i="27"/>
  <c r="D912" i="27"/>
  <c r="D359" i="27"/>
  <c r="D583" i="27"/>
  <c r="D582" i="27"/>
  <c r="D911" i="27"/>
  <c r="D581" i="27"/>
  <c r="D580" i="27"/>
  <c r="D455" i="27"/>
  <c r="D579" i="27"/>
  <c r="D454" i="27"/>
  <c r="D453" i="27"/>
  <c r="D358" i="27"/>
  <c r="D318" i="27"/>
  <c r="D317" i="27"/>
  <c r="D578" i="27"/>
  <c r="D808" i="27"/>
  <c r="D910" i="27"/>
  <c r="D577" i="27"/>
  <c r="D1080" i="27"/>
  <c r="D452" i="27"/>
  <c r="D451" i="27"/>
  <c r="D1079" i="27"/>
  <c r="D357" i="27"/>
  <c r="D500" i="27"/>
  <c r="D1011" i="27"/>
  <c r="D576" i="27"/>
  <c r="D909" i="27"/>
  <c r="D450" i="27"/>
  <c r="D908" i="27"/>
  <c r="D907" i="27"/>
  <c r="D906" i="27"/>
  <c r="D1010" i="27"/>
  <c r="D247" i="27"/>
  <c r="D449" i="27"/>
  <c r="D1078" i="27"/>
  <c r="D905" i="27"/>
  <c r="D189" i="27"/>
  <c r="D639" i="27"/>
  <c r="D1201" i="27"/>
  <c r="D1200" i="27"/>
  <c r="D672" i="27"/>
  <c r="D60" i="27"/>
  <c r="D59" i="27"/>
  <c r="D58" i="27"/>
  <c r="D147" i="27"/>
  <c r="D1050" i="27"/>
  <c r="D1384" i="27"/>
  <c r="D146" i="27"/>
  <c r="D1199" i="27"/>
  <c r="D1198" i="27"/>
  <c r="D404" i="27"/>
  <c r="D1197" i="27"/>
  <c r="D616" i="27"/>
  <c r="D432" i="27"/>
  <c r="D1196" i="27"/>
  <c r="D145" i="27"/>
  <c r="D1195" i="27"/>
  <c r="D1194" i="27"/>
  <c r="D1193" i="27"/>
  <c r="D431" i="27"/>
  <c r="D403" i="27"/>
  <c r="D57" i="27"/>
  <c r="D430" i="27"/>
  <c r="D429" i="27"/>
  <c r="D671" i="27"/>
  <c r="D940" i="27"/>
  <c r="D670" i="27"/>
  <c r="D939" i="27"/>
  <c r="D669" i="27"/>
  <c r="D668" i="27"/>
  <c r="D699" i="27"/>
  <c r="D1192" i="27"/>
  <c r="D938" i="27"/>
  <c r="D615" i="27"/>
  <c r="D937" i="27"/>
  <c r="D871" i="27"/>
  <c r="D1049" i="27"/>
  <c r="D402" i="27"/>
  <c r="D428" i="27"/>
  <c r="D1048" i="27"/>
  <c r="D401" i="27"/>
  <c r="D614" i="27"/>
  <c r="D698" i="27"/>
  <c r="D400" i="27"/>
  <c r="D399" i="27"/>
  <c r="D613" i="27"/>
  <c r="D612" i="27"/>
  <c r="D697" i="27"/>
  <c r="D427" i="27"/>
  <c r="D398" i="27"/>
  <c r="D397" i="27"/>
  <c r="D316" i="27"/>
  <c r="D870" i="27"/>
  <c r="D696" i="27"/>
  <c r="D611" i="27"/>
  <c r="D755" i="27"/>
  <c r="D22" i="27"/>
  <c r="D21" i="27"/>
  <c r="D246" i="27"/>
  <c r="D245" i="27"/>
  <c r="D1191" i="27"/>
  <c r="D638" i="27"/>
  <c r="D356" i="27"/>
  <c r="D1190" i="27"/>
  <c r="D904" i="27"/>
  <c r="D1189" i="27"/>
  <c r="D852" i="27"/>
  <c r="D1298" i="27"/>
  <c r="D1188" i="27"/>
  <c r="D1187" i="27"/>
  <c r="D1041" i="27"/>
  <c r="D499" i="27"/>
  <c r="D1297" i="27"/>
  <c r="D637" i="27"/>
  <c r="D20" i="27"/>
  <c r="D1077" i="27"/>
  <c r="D1040" i="27"/>
  <c r="D1039" i="27"/>
  <c r="D1038" i="27"/>
  <c r="D851" i="27"/>
  <c r="D850" i="27"/>
  <c r="D849" i="27"/>
  <c r="D848" i="27"/>
  <c r="D847" i="27"/>
  <c r="D846" i="27"/>
  <c r="D845" i="27"/>
  <c r="D1296" i="27"/>
  <c r="D1295" i="27"/>
  <c r="D1076" i="27"/>
  <c r="D1037" i="27"/>
  <c r="D844" i="27"/>
  <c r="D244" i="27"/>
  <c r="D843" i="27"/>
  <c r="D1294" i="27"/>
  <c r="D1293" i="27"/>
  <c r="D188" i="27"/>
  <c r="D1292" i="27"/>
  <c r="D1291" i="27"/>
  <c r="D187" i="27"/>
  <c r="D100" i="27"/>
  <c r="D711" i="27"/>
  <c r="D610" i="27"/>
  <c r="D315" i="27"/>
  <c r="D99" i="27"/>
  <c r="D314" i="27"/>
  <c r="D313" i="27"/>
  <c r="D355" i="27"/>
  <c r="D243" i="27"/>
  <c r="D242" i="27"/>
  <c r="D903" i="27"/>
  <c r="D536" i="27"/>
  <c r="D902" i="27"/>
  <c r="D241" i="27"/>
  <c r="D745" i="27"/>
  <c r="D807" i="27"/>
  <c r="D312" i="27"/>
  <c r="D1186" i="27"/>
  <c r="D953" i="27"/>
  <c r="D1185" i="27"/>
  <c r="D311" i="27"/>
  <c r="D744" i="27"/>
  <c r="D98" i="27"/>
  <c r="D1324" i="27"/>
  <c r="D1009" i="27"/>
  <c r="D1184" i="27"/>
  <c r="D743" i="27"/>
  <c r="D1290" i="27"/>
  <c r="D667" i="27"/>
  <c r="D97" i="27"/>
  <c r="D96" i="27"/>
  <c r="D95" i="27"/>
  <c r="D94" i="27"/>
  <c r="D93" i="27"/>
  <c r="D92" i="27"/>
  <c r="D91" i="27"/>
  <c r="D90" i="27"/>
  <c r="D89" i="27"/>
  <c r="D44" i="27"/>
  <c r="D710" i="27"/>
  <c r="D43" i="27"/>
  <c r="D952" i="27"/>
  <c r="D936" i="27"/>
  <c r="D1183" i="27"/>
  <c r="D498" i="27"/>
  <c r="D497" i="27"/>
  <c r="D496" i="27"/>
  <c r="D88" i="27"/>
  <c r="D87" i="27"/>
  <c r="D1383" i="27"/>
  <c r="D1182" i="27"/>
  <c r="D1047" i="27"/>
  <c r="D396" i="27"/>
  <c r="D523" i="27"/>
  <c r="D718" i="27"/>
  <c r="D550" i="27"/>
  <c r="D395" i="27"/>
  <c r="D310" i="27"/>
  <c r="D309" i="27"/>
  <c r="D1289" i="27"/>
  <c r="D1288" i="27"/>
  <c r="D86" i="27"/>
  <c r="D495" i="27"/>
  <c r="D494" i="27"/>
  <c r="D742" i="27"/>
  <c r="D1181" i="27"/>
  <c r="D1180" i="27"/>
  <c r="D1179" i="27"/>
  <c r="D308" i="27"/>
  <c r="D1269" i="27"/>
  <c r="D1268" i="27"/>
  <c r="D686" i="27"/>
  <c r="D307" i="27"/>
  <c r="D56" i="27"/>
  <c r="D354" i="27"/>
  <c r="D306" i="27"/>
  <c r="D636" i="27"/>
  <c r="D635" i="27"/>
  <c r="D19" i="27"/>
  <c r="D1021" i="27"/>
  <c r="D1020" i="27"/>
  <c r="D806" i="27"/>
  <c r="D164" i="27"/>
  <c r="D1178" i="27"/>
  <c r="D695" i="27"/>
  <c r="D42" i="27"/>
  <c r="D754" i="27"/>
  <c r="D753" i="27"/>
  <c r="D1177" i="27"/>
  <c r="D1176" i="27"/>
  <c r="D752" i="27"/>
  <c r="D1175" i="27"/>
  <c r="D1323" i="27"/>
  <c r="D493" i="27"/>
  <c r="D353" i="27"/>
  <c r="D352" i="27"/>
  <c r="D901" i="27"/>
  <c r="D305" i="27"/>
  <c r="D1174" i="27"/>
  <c r="D1173" i="27"/>
  <c r="D1172" i="27"/>
  <c r="D805" i="27"/>
  <c r="D804" i="27"/>
  <c r="D803" i="27"/>
  <c r="D1019" i="27"/>
  <c r="D549" i="27"/>
  <c r="D548" i="27"/>
  <c r="D802" i="27"/>
  <c r="D163" i="27"/>
  <c r="D1018" i="27"/>
  <c r="D801" i="27"/>
  <c r="D717" i="27"/>
  <c r="D716" i="27"/>
  <c r="D522" i="27"/>
  <c r="D521" i="27"/>
  <c r="D547" i="27"/>
  <c r="D546" i="27"/>
  <c r="D162" i="27"/>
  <c r="D951" i="27"/>
  <c r="D800" i="27"/>
  <c r="D161" i="27"/>
  <c r="D545" i="27"/>
  <c r="D1008" i="27"/>
  <c r="D1267" i="27"/>
  <c r="D709" i="27"/>
  <c r="D275" i="27"/>
  <c r="D1382" i="27"/>
  <c r="D1381" i="27"/>
  <c r="D274" i="27"/>
  <c r="D273" i="27"/>
  <c r="D394" i="27"/>
  <c r="D144" i="27"/>
  <c r="D426" i="27"/>
  <c r="D666" i="27"/>
  <c r="D18" i="27"/>
  <c r="D85" i="27"/>
  <c r="D741" i="27"/>
  <c r="D1007" i="27"/>
  <c r="D143" i="27"/>
  <c r="D1341" i="27"/>
  <c r="D1340" i="27"/>
  <c r="D950" i="27"/>
  <c r="D799" i="27"/>
  <c r="D798" i="27"/>
  <c r="D797" i="27"/>
  <c r="D796" i="27"/>
  <c r="D795" i="27"/>
  <c r="D794" i="27"/>
  <c r="D793" i="27"/>
  <c r="D544" i="27"/>
  <c r="D1006" i="27"/>
  <c r="D1272" i="27"/>
  <c r="D160" i="27"/>
  <c r="D159" i="27"/>
  <c r="D520" i="27"/>
  <c r="D543" i="27"/>
  <c r="D542" i="27"/>
  <c r="D792" i="27"/>
  <c r="D492" i="27"/>
  <c r="D1171" i="27"/>
  <c r="D491" i="27"/>
  <c r="D842" i="27"/>
  <c r="D1170" i="27"/>
  <c r="D304" i="27"/>
  <c r="D393" i="27"/>
  <c r="D303" i="27"/>
  <c r="D392" i="27"/>
  <c r="D425" i="27"/>
  <c r="D302" i="27"/>
  <c r="D391" i="27"/>
  <c r="D301" i="27"/>
  <c r="D740" i="27"/>
  <c r="D1169" i="27"/>
  <c r="D490" i="27"/>
  <c r="D1168" i="27"/>
  <c r="D1075" i="27"/>
  <c r="D186" i="27"/>
  <c r="D1167" i="27"/>
  <c r="D1166" i="27"/>
  <c r="D1165" i="27"/>
  <c r="D1017" i="27"/>
  <c r="D489" i="27"/>
  <c r="D300" i="27"/>
  <c r="D1164" i="27"/>
  <c r="D488" i="27"/>
  <c r="D1163" i="27"/>
  <c r="D739" i="27"/>
  <c r="D1074" i="27"/>
  <c r="D685" i="27"/>
  <c r="D487" i="27"/>
  <c r="D299" i="27"/>
  <c r="D351" i="27"/>
  <c r="D298" i="27"/>
  <c r="D609" i="27"/>
  <c r="D240" i="27"/>
  <c r="D1162" i="27"/>
  <c r="D1161" i="27"/>
  <c r="D486" i="27"/>
  <c r="D1160" i="27"/>
  <c r="D350" i="27"/>
  <c r="D665" i="27"/>
  <c r="D900" i="27"/>
  <c r="D634" i="27"/>
  <c r="D1159" i="27"/>
  <c r="D17" i="27"/>
  <c r="D1158" i="27"/>
  <c r="D1157" i="27"/>
  <c r="D1156" i="27"/>
  <c r="D1155" i="27"/>
  <c r="D1154" i="27"/>
  <c r="D390" i="27"/>
  <c r="D389" i="27"/>
  <c r="D608" i="27"/>
  <c r="D388" i="27"/>
  <c r="D664" i="27"/>
  <c r="D607" i="27"/>
  <c r="D663" i="27"/>
  <c r="D1371" i="27"/>
  <c r="D297" i="27"/>
  <c r="D387" i="27"/>
  <c r="D424" i="27"/>
  <c r="D386" i="27"/>
  <c r="D385" i="27"/>
  <c r="D1153" i="27"/>
  <c r="D694" i="27"/>
  <c r="D791" i="27"/>
  <c r="D790" i="27"/>
  <c r="D789" i="27"/>
  <c r="D788" i="27"/>
  <c r="D1005" i="27"/>
  <c r="D1004" i="27"/>
  <c r="D899" i="27"/>
  <c r="D898" i="27"/>
  <c r="D296" i="27"/>
  <c r="D1036" i="27"/>
  <c r="D841" i="27"/>
  <c r="D239" i="27"/>
  <c r="D238" i="27"/>
  <c r="D237" i="27"/>
  <c r="D1035" i="27"/>
  <c r="D16" i="27"/>
  <c r="D15" i="27"/>
  <c r="D1152" i="27"/>
  <c r="D1151" i="27"/>
  <c r="D41" i="27"/>
  <c r="D840" i="27"/>
  <c r="D606" i="27"/>
  <c r="D605" i="27"/>
  <c r="D423" i="27"/>
  <c r="D40" i="27"/>
  <c r="D485" i="27"/>
  <c r="D633" i="27"/>
  <c r="D1150" i="27"/>
  <c r="D484" i="27"/>
  <c r="D1149" i="27"/>
  <c r="D1339" i="27"/>
  <c r="D1003" i="27"/>
  <c r="D897" i="27"/>
  <c r="D1002" i="27"/>
  <c r="D1001" i="27"/>
  <c r="D1000" i="27"/>
  <c r="D839" i="27"/>
  <c r="D1370" i="27"/>
  <c r="D896" i="27"/>
  <c r="D1287" i="27"/>
  <c r="D895" i="27"/>
  <c r="D787" i="27"/>
  <c r="D999" i="27"/>
  <c r="D632" i="27"/>
  <c r="D1148" i="27"/>
  <c r="D1147" i="27"/>
  <c r="D1146" i="27"/>
  <c r="D1145" i="27"/>
  <c r="D1286" i="27"/>
  <c r="D738" i="27"/>
  <c r="D185" i="27"/>
  <c r="D295" i="27"/>
  <c r="D535" i="27"/>
  <c r="D737" i="27"/>
  <c r="D534" i="27"/>
  <c r="D786" i="27"/>
  <c r="D1144" i="27"/>
  <c r="D14" i="27"/>
  <c r="D1143" i="27"/>
  <c r="D55" i="27"/>
  <c r="D785" i="27"/>
  <c r="D784" i="27"/>
  <c r="D783" i="27"/>
  <c r="D1142" i="27"/>
  <c r="D998" i="27"/>
  <c r="D782" i="27"/>
  <c r="D736" i="27"/>
  <c r="D997" i="27"/>
  <c r="D735" i="27"/>
  <c r="D1285" i="27"/>
  <c r="D996" i="27"/>
  <c r="D533" i="27"/>
  <c r="D995" i="27"/>
  <c r="D541" i="27"/>
  <c r="D734" i="27"/>
  <c r="D575" i="27"/>
  <c r="D1141" i="27"/>
  <c r="D574" i="27"/>
  <c r="D994" i="27"/>
  <c r="D1140" i="27"/>
  <c r="D1139" i="27"/>
  <c r="D1138" i="27"/>
  <c r="D483" i="27"/>
  <c r="D993" i="27"/>
  <c r="D992" i="27"/>
  <c r="D781" i="27"/>
  <c r="D894" i="27"/>
  <c r="D991" i="27"/>
  <c r="D893" i="27"/>
  <c r="D892" i="27"/>
  <c r="D990" i="27"/>
  <c r="D349" i="27"/>
  <c r="D573" i="27"/>
  <c r="D572" i="27"/>
  <c r="D891" i="27"/>
  <c r="D989" i="27"/>
  <c r="D988" i="27"/>
  <c r="D987" i="27"/>
  <c r="D890" i="27"/>
  <c r="D780" i="27"/>
  <c r="D889" i="27"/>
  <c r="D1137" i="27"/>
  <c r="D779" i="27"/>
  <c r="D1136" i="27"/>
  <c r="D482" i="27"/>
  <c r="D986" i="27"/>
  <c r="D236" i="27"/>
  <c r="D235" i="27"/>
  <c r="D838" i="27"/>
  <c r="D1135" i="27"/>
  <c r="D481" i="27"/>
  <c r="D1134" i="27"/>
  <c r="D1133" i="27"/>
  <c r="D480" i="27"/>
  <c r="D751" i="27"/>
  <c r="D84" i="27"/>
  <c r="D733" i="27"/>
  <c r="D83" i="27"/>
  <c r="D1073" i="27"/>
  <c r="D1072" i="27"/>
  <c r="D888" i="27"/>
  <c r="D985" i="27"/>
  <c r="D984" i="27"/>
  <c r="D732" i="27"/>
  <c r="D631" i="27"/>
  <c r="D630" i="27"/>
  <c r="D662" i="27"/>
  <c r="D983" i="27"/>
  <c r="D982" i="27"/>
  <c r="D935" i="27"/>
  <c r="D1132" i="27"/>
  <c r="D54" i="27"/>
  <c r="D1131" i="27"/>
  <c r="D1130" i="27"/>
  <c r="D1129" i="27"/>
  <c r="D1071" i="27"/>
  <c r="D1070" i="27"/>
  <c r="D571" i="27"/>
  <c r="D1069" i="27"/>
  <c r="D1266" i="27"/>
  <c r="D348" i="27"/>
  <c r="D347" i="27"/>
  <c r="D346" i="27"/>
  <c r="D731" i="27"/>
  <c r="D1128" i="27"/>
  <c r="D422" i="27"/>
  <c r="D421" i="27"/>
  <c r="D420" i="27"/>
  <c r="D661" i="27"/>
  <c r="D1127" i="27"/>
  <c r="D294" i="27"/>
  <c r="D1380" i="27"/>
  <c r="D1126" i="27"/>
  <c r="D82" i="27"/>
  <c r="D1265" i="27"/>
  <c r="D142" i="27"/>
  <c r="D1125" i="27"/>
  <c r="D293" i="27"/>
  <c r="D141" i="27"/>
  <c r="D750" i="27"/>
  <c r="D81" i="27"/>
  <c r="D419" i="27"/>
  <c r="D1124" i="27"/>
  <c r="D934" i="27"/>
  <c r="D660" i="27"/>
  <c r="D1322" i="27"/>
  <c r="D1321" i="27"/>
  <c r="D693" i="27"/>
  <c r="D1123" i="27"/>
  <c r="D234" i="27"/>
  <c r="D292" i="27"/>
  <c r="D479" i="27"/>
  <c r="D949" i="27"/>
  <c r="D933" i="27"/>
  <c r="D684" i="27"/>
  <c r="D683" i="27"/>
  <c r="D682" i="27"/>
  <c r="D681" i="27"/>
  <c r="D948" i="27"/>
  <c r="D478" i="27"/>
  <c r="D932" i="27"/>
  <c r="D1379" i="27"/>
  <c r="D80" i="27"/>
  <c r="D79" i="27"/>
  <c r="D78" i="27"/>
  <c r="D77" i="27"/>
  <c r="D1378" i="27"/>
  <c r="D730" i="27"/>
  <c r="D729" i="27"/>
  <c r="D1320" i="27"/>
  <c r="D931" i="27"/>
  <c r="D384" i="27"/>
  <c r="D837" i="27"/>
  <c r="D233" i="27"/>
  <c r="D477" i="27"/>
  <c r="D232" i="27"/>
  <c r="D1284" i="27"/>
  <c r="D1068" i="27"/>
  <c r="D836" i="27"/>
  <c r="D519" i="27"/>
  <c r="D570" i="27"/>
  <c r="D1034" i="27"/>
  <c r="D981" i="27"/>
  <c r="D778" i="27"/>
  <c r="D1122" i="27"/>
  <c r="D1369" i="27"/>
  <c r="D1368" i="27"/>
  <c r="D604" i="27"/>
  <c r="D603" i="27"/>
  <c r="D680" i="27"/>
  <c r="D679" i="27"/>
  <c r="D678" i="27"/>
  <c r="D869" i="27"/>
  <c r="D1367" i="27"/>
  <c r="D1366" i="27"/>
  <c r="D76" i="27"/>
  <c r="D39" i="27"/>
  <c r="D476" i="27"/>
  <c r="D475" i="27"/>
  <c r="D13" i="27"/>
  <c r="D835" i="27"/>
  <c r="D659" i="27"/>
  <c r="D231" i="27"/>
  <c r="D1283" i="27"/>
  <c r="D230" i="27"/>
  <c r="D834" i="27"/>
  <c r="D833" i="27"/>
  <c r="D229" i="27"/>
  <c r="D228" i="27"/>
  <c r="D227" i="27"/>
  <c r="D832" i="27"/>
  <c r="D831" i="27"/>
  <c r="D1067" i="27"/>
  <c r="D1066" i="27"/>
  <c r="D1065" i="27"/>
  <c r="D1064" i="27"/>
  <c r="D1063" i="27"/>
  <c r="D1062" i="27"/>
  <c r="D1282" i="27"/>
  <c r="D1121" i="27"/>
  <c r="D345" i="27"/>
  <c r="D291" i="27"/>
  <c r="D569" i="27"/>
  <c r="D777" i="27"/>
  <c r="D980" i="27"/>
  <c r="D979" i="27"/>
  <c r="D978" i="27"/>
  <c r="D1061" i="27"/>
  <c r="D158" i="27"/>
  <c r="D157" i="27"/>
  <c r="D474" i="27"/>
  <c r="D172" i="27"/>
  <c r="D156" i="27"/>
  <c r="D728" i="27"/>
  <c r="D977" i="27"/>
  <c r="D540" i="27"/>
  <c r="D776" i="27"/>
  <c r="D727" i="27"/>
  <c r="D155" i="27"/>
  <c r="D532" i="27"/>
  <c r="D726" i="27"/>
  <c r="D184" i="27"/>
  <c r="D183" i="27"/>
  <c r="D725" i="27"/>
  <c r="D724" i="27"/>
  <c r="D830" i="27"/>
  <c r="D1033" i="27"/>
  <c r="D775" i="27"/>
  <c r="D1281" i="27"/>
  <c r="D182" i="27"/>
  <c r="D774" i="27"/>
  <c r="D723" i="27"/>
  <c r="D518" i="27"/>
  <c r="D383" i="27"/>
  <c r="D568" i="27"/>
  <c r="D181" i="27"/>
  <c r="D1032" i="27"/>
  <c r="D887" i="27"/>
  <c r="D12" i="27"/>
  <c r="D567" i="27"/>
  <c r="D886" i="27"/>
  <c r="D11" i="27"/>
  <c r="D1031" i="27"/>
  <c r="D1030" i="27"/>
  <c r="D382" i="27"/>
  <c r="D1280" i="27"/>
  <c r="D885" i="27"/>
  <c r="D1279" i="27"/>
  <c r="D381" i="27"/>
  <c r="D380" i="27"/>
  <c r="D379" i="27"/>
  <c r="D448" i="27"/>
  <c r="D884" i="27"/>
  <c r="D883" i="27"/>
  <c r="D1365" i="27"/>
  <c r="D976" i="27"/>
  <c r="D882" i="27"/>
  <c r="D344" i="27"/>
  <c r="D975" i="27"/>
  <c r="D566" i="27"/>
  <c r="D343" i="27"/>
  <c r="D658" i="27"/>
  <c r="D473" i="27"/>
  <c r="D290" i="27"/>
  <c r="D342" i="27"/>
  <c r="D154" i="27"/>
  <c r="D565" i="27"/>
  <c r="D564" i="27"/>
  <c r="D341" i="27"/>
  <c r="D563" i="27"/>
  <c r="D562" i="27"/>
  <c r="D561" i="27"/>
  <c r="D560" i="27"/>
  <c r="D881" i="27"/>
  <c r="D773" i="27"/>
  <c r="D772" i="27"/>
  <c r="D771" i="27"/>
  <c r="D770" i="27"/>
  <c r="D769" i="27"/>
  <c r="D768" i="27"/>
  <c r="D767" i="27"/>
  <c r="D340" i="27"/>
  <c r="D974" i="27"/>
  <c r="D973" i="27"/>
  <c r="D880" i="27"/>
  <c r="D339" i="27"/>
  <c r="D559" i="27"/>
  <c r="D879" i="27"/>
  <c r="D338" i="27"/>
  <c r="D878" i="27"/>
  <c r="D877" i="27"/>
  <c r="D558" i="27"/>
  <c r="D289" i="27"/>
  <c r="D288" i="27"/>
  <c r="D287" i="27"/>
  <c r="D876" i="27"/>
  <c r="D286" i="27"/>
  <c r="D657" i="27"/>
  <c r="D337" i="27"/>
  <c r="D53" i="27"/>
  <c r="D656" i="27"/>
  <c r="D1120" i="27"/>
  <c r="D472" i="27"/>
  <c r="D378" i="27"/>
  <c r="D447" i="27"/>
  <c r="D471" i="27"/>
  <c r="D470" i="27"/>
  <c r="D1119" i="27"/>
  <c r="D1118" i="27"/>
  <c r="D1016" i="27"/>
  <c r="D715" i="27"/>
  <c r="D875" i="27"/>
  <c r="D766" i="27"/>
  <c r="D765" i="27"/>
  <c r="D1117" i="27"/>
  <c r="D1116" i="27"/>
  <c r="D446" i="27"/>
  <c r="D445" i="27"/>
  <c r="D285" i="27"/>
  <c r="D336" i="27"/>
  <c r="D1115" i="27"/>
  <c r="D418" i="27"/>
  <c r="D52" i="27"/>
  <c r="D469" i="27"/>
  <c r="D10" i="27"/>
  <c r="D1029" i="27"/>
  <c r="D1028" i="27"/>
  <c r="D1027" i="27"/>
  <c r="D1026" i="27"/>
  <c r="D1114" i="27"/>
  <c r="D1113" i="27"/>
  <c r="D1364" i="27"/>
  <c r="D1363" i="27"/>
  <c r="D335" i="27"/>
  <c r="D1362" i="27"/>
  <c r="D557" i="27"/>
  <c r="D1112" i="27"/>
  <c r="D1361" i="27"/>
  <c r="D1111" i="27"/>
  <c r="D1110" i="27"/>
  <c r="D377" i="27"/>
  <c r="D1360" i="27"/>
  <c r="D1359" i="27"/>
  <c r="D1358" i="27"/>
  <c r="D556" i="27"/>
  <c r="D1357" i="27"/>
  <c r="D1356" i="27"/>
  <c r="D1355" i="27"/>
  <c r="D1354" i="27"/>
  <c r="D1353" i="27"/>
  <c r="D1352" i="27"/>
  <c r="D1351" i="27"/>
  <c r="D1350" i="27"/>
  <c r="D1377" i="27"/>
  <c r="D153" i="27"/>
  <c r="D152" i="27"/>
  <c r="D655" i="27"/>
  <c r="D444" i="27"/>
  <c r="D1278" i="27"/>
  <c r="D1025" i="27"/>
  <c r="D1277" i="27"/>
  <c r="D829" i="27"/>
  <c r="D828" i="27"/>
  <c r="D1338" i="27"/>
  <c r="D180" i="27"/>
  <c r="D1276" i="27"/>
  <c r="D827" i="27"/>
  <c r="D226" i="27"/>
  <c r="D179" i="27"/>
  <c r="D284" i="27"/>
  <c r="D283" i="27"/>
  <c r="D468" i="27"/>
  <c r="D467" i="27"/>
  <c r="D708" i="27"/>
  <c r="D1109" i="27"/>
  <c r="D38" i="27"/>
  <c r="D225" i="27"/>
  <c r="D224" i="27"/>
  <c r="D531" i="27"/>
  <c r="D1319" i="27"/>
  <c r="D947" i="27"/>
  <c r="D1318" i="27"/>
  <c r="D972" i="27"/>
  <c r="D971" i="27"/>
  <c r="D970" i="27"/>
  <c r="D969" i="27"/>
  <c r="D968" i="27"/>
  <c r="D967" i="27"/>
  <c r="D966" i="27"/>
  <c r="D965" i="27"/>
  <c r="D964" i="27"/>
  <c r="D963" i="27"/>
  <c r="D962" i="27"/>
  <c r="D961" i="27"/>
  <c r="D722" i="27"/>
  <c r="D517" i="27"/>
  <c r="D151" i="27"/>
  <c r="D721" i="27"/>
  <c r="D539" i="27"/>
  <c r="D654" i="27"/>
  <c r="D629" i="27"/>
  <c r="D9" i="27"/>
  <c r="D8" i="27"/>
  <c r="D51" i="27"/>
  <c r="D178" i="27"/>
  <c r="D177" i="27"/>
  <c r="D7" i="27"/>
  <c r="D1108" i="27"/>
  <c r="D1107" i="27"/>
  <c r="D602" i="27"/>
  <c r="D1106" i="27"/>
  <c r="D1105" i="27"/>
  <c r="D1349" i="27"/>
  <c r="D1348" i="27"/>
  <c r="D692" i="27"/>
  <c r="D868" i="27"/>
  <c r="D601" i="27"/>
  <c r="D600" i="27"/>
  <c r="D599" i="27"/>
  <c r="D376" i="27"/>
  <c r="D375" i="27"/>
  <c r="D374" i="27"/>
  <c r="D1104" i="27"/>
  <c r="D1103" i="27"/>
  <c r="D1102" i="27"/>
  <c r="D1101" i="27"/>
  <c r="D1100" i="27"/>
  <c r="D1347" i="27"/>
  <c r="D1346" i="27"/>
  <c r="D1345" i="27"/>
  <c r="D1344" i="27"/>
  <c r="D6" i="27"/>
  <c r="D37" i="27"/>
  <c r="D140" i="27"/>
  <c r="D930" i="27"/>
  <c r="D929" i="27"/>
  <c r="D928" i="27"/>
  <c r="D927" i="27"/>
  <c r="D223" i="27"/>
  <c r="D653" i="27"/>
  <c r="D826" i="27"/>
  <c r="D1275" i="27"/>
  <c r="D139" i="27"/>
  <c r="D1274" i="27"/>
  <c r="D1060" i="27"/>
  <c r="D138" i="27"/>
  <c r="D691" i="27"/>
  <c r="D720" i="27"/>
  <c r="D137" i="27"/>
  <c r="D1317" i="27"/>
  <c r="D1316" i="27"/>
  <c r="D1315" i="27"/>
  <c r="D272" i="27"/>
  <c r="D1376" i="27"/>
  <c r="D1099" i="27"/>
  <c r="D1098" i="27"/>
  <c r="D222" i="27"/>
  <c r="D707" i="27"/>
  <c r="D1097" i="27"/>
  <c r="D417" i="27"/>
  <c r="D1059" i="27"/>
  <c r="D50" i="27"/>
  <c r="D926" i="27"/>
  <c r="D706" i="27"/>
  <c r="D416" i="27"/>
  <c r="D75" i="27"/>
  <c r="D1096" i="27"/>
  <c r="D415" i="27"/>
  <c r="D414" i="27"/>
  <c r="D925" i="27"/>
  <c r="D1095" i="27"/>
  <c r="D628" i="27"/>
  <c r="D1094" i="27"/>
  <c r="D1093" i="27"/>
  <c r="D413" i="27"/>
  <c r="D5" i="27"/>
  <c r="D1058" i="27"/>
  <c r="D1057" i="27"/>
  <c r="D1337" i="27"/>
  <c r="D221" i="27"/>
  <c r="D220" i="27"/>
  <c r="D825" i="27"/>
  <c r="D219" i="27"/>
  <c r="D719" i="27"/>
  <c r="D530" i="27"/>
  <c r="D824" i="27"/>
  <c r="D4" i="27"/>
  <c r="D3" i="27"/>
  <c r="D1336" i="27"/>
  <c r="D176" i="27"/>
  <c r="D652" i="27"/>
  <c r="D49" i="27"/>
  <c r="D466" i="27"/>
  <c r="D282" i="27"/>
  <c r="D48" i="27"/>
  <c r="D1056" i="27"/>
  <c r="D764" i="27"/>
  <c r="D763" i="27"/>
  <c r="D1273" i="27"/>
  <c r="D529" i="27"/>
  <c r="D465" i="27"/>
  <c r="D281" i="27"/>
  <c r="D528" i="27"/>
  <c r="D762" i="27"/>
  <c r="D527" i="27"/>
  <c r="D823" i="27"/>
  <c r="D1314" i="27"/>
  <c r="D1024" i="27"/>
  <c r="D175" i="27"/>
  <c r="D2" i="27"/>
  <c r="D174" i="27"/>
  <c r="D173" i="27"/>
  <c r="D218" i="27"/>
  <c r="D74" i="27"/>
  <c r="D73" i="27"/>
  <c r="D72" i="27"/>
  <c r="D71" i="27"/>
  <c r="D70" i="27"/>
  <c r="D69" i="27"/>
  <c r="D68" i="27"/>
  <c r="D67" i="27"/>
  <c r="D66" i="27"/>
  <c r="D65" i="27"/>
  <c r="D946" i="27"/>
  <c r="D627" i="27"/>
  <c r="D626" i="27"/>
  <c r="D464" i="27"/>
  <c r="D64" i="27"/>
  <c r="D1092" i="27"/>
  <c r="D1091" i="27"/>
  <c r="D280" i="27"/>
  <c r="D651" i="27"/>
  <c r="D960" i="27"/>
  <c r="D874" i="27"/>
  <c r="D598" i="27"/>
  <c r="R2" i="18" l="1"/>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Q2" i="18"/>
  <c r="Q3"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88" i="18"/>
  <c r="Q89" i="18"/>
  <c r="Q90" i="18"/>
  <c r="Q91" i="18"/>
  <c r="Q92" i="18"/>
  <c r="Q93" i="18"/>
  <c r="Q94" i="18"/>
  <c r="Q95" i="18"/>
  <c r="Q96" i="18"/>
  <c r="Q97" i="18"/>
  <c r="Q98" i="18"/>
  <c r="Q99" i="18"/>
  <c r="Q100" i="18"/>
  <c r="Q101" i="18"/>
  <c r="Q102" i="18"/>
  <c r="Q103" i="18"/>
  <c r="Q104" i="18"/>
  <c r="Q105" i="18"/>
  <c r="Q106" i="18"/>
  <c r="Q107" i="18"/>
  <c r="Q108" i="18"/>
  <c r="Q109" i="18"/>
  <c r="Q110" i="18"/>
  <c r="Q111" i="18"/>
  <c r="Q112" i="18"/>
  <c r="Q113" i="18"/>
  <c r="Q114" i="18"/>
  <c r="Q115" i="18"/>
  <c r="Q116" i="18"/>
  <c r="Q117" i="18"/>
  <c r="Q118" i="18"/>
  <c r="Q119" i="18"/>
  <c r="Q120" i="18"/>
  <c r="Q121" i="18"/>
  <c r="Q122" i="18"/>
  <c r="Q123" i="18"/>
  <c r="Q124" i="18"/>
  <c r="Q125" i="18"/>
  <c r="AA4" i="11" l="1"/>
  <c r="F125" i="18"/>
  <c r="F124" i="18"/>
  <c r="F16" i="10"/>
  <c r="AE6" i="11"/>
  <c r="C10" i="10" s="1"/>
  <c r="S95" i="11"/>
  <c r="S94" i="11"/>
  <c r="S93" i="11"/>
  <c r="S92" i="11"/>
  <c r="S91" i="11"/>
  <c r="S90" i="11"/>
  <c r="S89" i="11"/>
  <c r="S88" i="11"/>
  <c r="S87" i="11"/>
  <c r="S86" i="11"/>
  <c r="S85" i="11"/>
  <c r="S84" i="11"/>
  <c r="S83" i="11"/>
  <c r="S82" i="11"/>
  <c r="S81" i="11"/>
  <c r="S80" i="11"/>
  <c r="S79" i="11"/>
  <c r="S78" i="11"/>
  <c r="S77" i="11"/>
  <c r="S76" i="11"/>
  <c r="S75" i="11"/>
  <c r="S74" i="11"/>
  <c r="S73" i="11"/>
  <c r="S72" i="11"/>
  <c r="S71" i="11"/>
  <c r="S70" i="11"/>
  <c r="S69"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3" i="11"/>
  <c r="S32" i="11"/>
  <c r="S31" i="11"/>
  <c r="S30" i="11"/>
  <c r="S29" i="11"/>
  <c r="S28" i="11"/>
  <c r="S27" i="11"/>
  <c r="S26" i="11"/>
  <c r="S25" i="11"/>
  <c r="S24" i="11"/>
  <c r="S23" i="11"/>
  <c r="S22" i="11"/>
  <c r="S21" i="11"/>
  <c r="S20" i="11"/>
  <c r="S19" i="11"/>
  <c r="S18" i="11"/>
  <c r="S17" i="11"/>
  <c r="S16" i="11"/>
  <c r="S15" i="11"/>
  <c r="S14" i="11"/>
  <c r="S13" i="11"/>
  <c r="S12" i="11"/>
  <c r="S11" i="11"/>
  <c r="S10" i="11"/>
  <c r="S9" i="11"/>
  <c r="S8" i="11"/>
  <c r="S7" i="11"/>
  <c r="S6" i="11"/>
  <c r="S5" i="11"/>
  <c r="R14" i="11" l="1"/>
  <c r="H2" i="22"/>
  <c r="H3" i="22"/>
  <c r="H4" i="22"/>
  <c r="H5" i="22"/>
  <c r="H6" i="22"/>
  <c r="H7" i="22"/>
  <c r="H8" i="22"/>
  <c r="H9" i="22"/>
  <c r="H10" i="22"/>
  <c r="H11" i="22"/>
  <c r="H12" i="22"/>
  <c r="H13" i="22"/>
  <c r="H14" i="22"/>
  <c r="H15" i="22"/>
  <c r="H16" i="22"/>
  <c r="H17" i="22"/>
  <c r="H18" i="22"/>
  <c r="H19" i="22"/>
  <c r="H20" i="22"/>
  <c r="H21" i="22"/>
  <c r="K19" i="10"/>
  <c r="F17" i="10"/>
  <c r="F12" i="10"/>
  <c r="F11" i="10"/>
  <c r="F7" i="10"/>
  <c r="F6" i="10"/>
  <c r="J14" i="10"/>
  <c r="H14" i="10"/>
  <c r="G14" i="10"/>
  <c r="F14" i="10"/>
  <c r="E14" i="10"/>
  <c r="T18" i="13"/>
  <c r="B2" i="17" l="1"/>
  <c r="B3" i="17"/>
  <c r="CJ27" i="11" s="1"/>
  <c r="B4" i="17"/>
  <c r="B5" i="17"/>
  <c r="CJ25" i="11" s="1"/>
  <c r="B6" i="17"/>
  <c r="CJ11" i="11" s="1"/>
  <c r="B7" i="17"/>
  <c r="B8" i="17"/>
  <c r="B9" i="17"/>
  <c r="B10" i="17"/>
  <c r="B11" i="17"/>
  <c r="CJ16" i="11" s="1"/>
  <c r="B12" i="17"/>
  <c r="CJ15" i="11" s="1"/>
  <c r="B13" i="17"/>
  <c r="CJ10" i="11" s="1"/>
  <c r="B14" i="17"/>
  <c r="CJ9" i="11" s="1"/>
  <c r="B15" i="17"/>
  <c r="CJ6" i="11" s="1"/>
  <c r="B16" i="17"/>
  <c r="CJ21" i="11" s="1"/>
  <c r="B17" i="17"/>
  <c r="CJ24" i="11" s="1"/>
  <c r="B18" i="17"/>
  <c r="B19" i="17"/>
  <c r="B20" i="17"/>
  <c r="B21" i="17"/>
  <c r="B22" i="17"/>
  <c r="CJ8" i="11" s="1"/>
  <c r="B23" i="17"/>
  <c r="CJ7" i="11" s="1"/>
  <c r="B24" i="17"/>
  <c r="CJ28" i="11" s="1"/>
  <c r="B25" i="17"/>
  <c r="CJ17" i="11" s="1"/>
  <c r="B26" i="17"/>
  <c r="B27" i="17"/>
  <c r="CJ5" i="11" s="1"/>
  <c r="B28" i="17"/>
  <c r="B29" i="17"/>
  <c r="B30" i="17"/>
  <c r="B31" i="17"/>
  <c r="B32" i="17"/>
  <c r="CJ20" i="11" s="1"/>
  <c r="B33" i="17"/>
  <c r="B34" i="17"/>
  <c r="CJ18" i="11" s="1"/>
  <c r="B35" i="17"/>
  <c r="CJ12" i="11" s="1"/>
  <c r="B36" i="17"/>
  <c r="B37" i="17"/>
  <c r="CJ13" i="11" s="1"/>
  <c r="B38" i="17"/>
  <c r="CJ19" i="11" s="1"/>
  <c r="B39" i="17"/>
  <c r="B40" i="17"/>
  <c r="B41" i="17"/>
  <c r="CJ4" i="11" s="1"/>
  <c r="B42" i="17"/>
  <c r="CJ26" i="11" s="1"/>
  <c r="B43" i="17"/>
  <c r="CJ22" i="11" s="1"/>
  <c r="B44" i="17"/>
  <c r="B45" i="17"/>
  <c r="B46" i="17"/>
  <c r="CJ23" i="11" s="1"/>
  <c r="B47" i="17"/>
  <c r="B48" i="17"/>
  <c r="B49" i="17"/>
  <c r="CJ14" i="11" s="1"/>
  <c r="B50" i="17"/>
  <c r="B2" i="16"/>
  <c r="B3" i="16"/>
  <c r="B4" i="16"/>
  <c r="B5" i="16"/>
  <c r="B6" i="16"/>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A1626" i="7"/>
  <c r="A1627" i="7"/>
  <c r="A1628" i="7"/>
  <c r="A1629" i="7"/>
  <c r="A1630" i="7"/>
  <c r="A1631" i="7"/>
  <c r="A1632" i="7"/>
  <c r="A1633" i="7"/>
  <c r="A1634" i="7"/>
  <c r="A1635" i="7"/>
  <c r="A1636" i="7"/>
  <c r="A1637" i="7"/>
  <c r="A1638" i="7"/>
  <c r="A1639" i="7"/>
  <c r="A1640" i="7"/>
  <c r="A1641" i="7"/>
  <c r="A1642" i="7"/>
  <c r="A1643" i="7"/>
  <c r="A1644" i="7"/>
  <c r="A1645" i="7"/>
  <c r="A1646" i="7"/>
  <c r="A1647" i="7"/>
  <c r="A1648" i="7"/>
  <c r="A1649" i="7"/>
  <c r="A1650" i="7"/>
  <c r="A1651" i="7"/>
  <c r="A1652" i="7"/>
  <c r="A1653" i="7"/>
  <c r="A1654" i="7"/>
  <c r="A1655" i="7"/>
  <c r="A1656" i="7"/>
  <c r="A1657" i="7"/>
  <c r="A1658" i="7"/>
  <c r="A1659" i="7"/>
  <c r="A1660" i="7"/>
  <c r="A1661" i="7"/>
  <c r="A1662" i="7"/>
  <c r="A1663" i="7"/>
  <c r="A1664" i="7"/>
  <c r="A1665" i="7"/>
  <c r="A1666" i="7"/>
  <c r="A1667" i="7"/>
  <c r="A1668" i="7"/>
  <c r="A1669" i="7"/>
  <c r="A1670" i="7"/>
  <c r="A1671" i="7"/>
  <c r="A1672" i="7"/>
  <c r="A1673" i="7"/>
  <c r="A1674" i="7"/>
  <c r="A1675" i="7"/>
  <c r="A1676" i="7"/>
  <c r="A1677" i="7"/>
  <c r="A1678" i="7"/>
  <c r="A1679" i="7"/>
  <c r="A1680" i="7"/>
  <c r="A1681" i="7"/>
  <c r="A1682" i="7"/>
  <c r="A1683" i="7"/>
  <c r="A1684" i="7"/>
  <c r="A1685" i="7"/>
  <c r="A1686" i="7"/>
  <c r="A1687" i="7"/>
  <c r="A1688" i="7"/>
  <c r="A1689" i="7"/>
  <c r="A1690" i="7"/>
  <c r="A1691" i="7"/>
  <c r="A1692" i="7"/>
  <c r="A1693" i="7"/>
  <c r="A1694" i="7"/>
  <c r="A1695" i="7"/>
  <c r="A1696" i="7"/>
  <c r="A1697" i="7"/>
  <c r="A1698" i="7"/>
  <c r="A1699" i="7"/>
  <c r="A1700" i="7"/>
  <c r="A1701" i="7"/>
  <c r="A1702" i="7"/>
  <c r="A1703" i="7"/>
  <c r="A1704" i="7"/>
  <c r="A1705" i="7"/>
  <c r="A1706" i="7"/>
  <c r="A1707" i="7"/>
  <c r="A1708" i="7"/>
  <c r="A1709" i="7"/>
  <c r="A1710" i="7"/>
  <c r="A1711" i="7"/>
  <c r="A1712" i="7"/>
  <c r="A1713" i="7"/>
  <c r="A1714" i="7"/>
  <c r="A1715" i="7"/>
  <c r="A1716" i="7"/>
  <c r="A1717" i="7"/>
  <c r="A1718" i="7"/>
  <c r="A1719" i="7"/>
  <c r="A1720" i="7"/>
  <c r="A1721" i="7"/>
  <c r="A1722" i="7"/>
  <c r="A1723" i="7"/>
  <c r="A1724" i="7"/>
  <c r="A1725" i="7"/>
  <c r="A1726" i="7"/>
  <c r="A1727" i="7"/>
  <c r="A1728" i="7"/>
  <c r="A1729" i="7"/>
  <c r="A1730" i="7"/>
  <c r="A1731" i="7"/>
  <c r="A1732" i="7"/>
  <c r="A1733" i="7"/>
  <c r="A1734" i="7"/>
  <c r="A1735" i="7"/>
  <c r="A1736" i="7"/>
  <c r="A1737" i="7"/>
  <c r="A1738" i="7"/>
  <c r="A1739" i="7"/>
  <c r="A1740" i="7"/>
  <c r="A1741" i="7"/>
  <c r="A1742" i="7"/>
  <c r="A1743" i="7"/>
  <c r="A1744" i="7"/>
  <c r="A1745" i="7"/>
  <c r="A1746" i="7"/>
  <c r="A1747" i="7"/>
  <c r="A1748" i="7"/>
  <c r="A1749" i="7"/>
  <c r="A1750" i="7"/>
  <c r="A1751" i="7"/>
  <c r="A1752" i="7"/>
  <c r="A1753" i="7"/>
  <c r="A1754" i="7"/>
  <c r="A1755" i="7"/>
  <c r="A1756" i="7"/>
  <c r="A1757" i="7"/>
  <c r="A1758" i="7"/>
  <c r="A1759" i="7"/>
  <c r="A1760" i="7"/>
  <c r="A1761" i="7"/>
  <c r="A1762" i="7"/>
  <c r="A1763" i="7"/>
  <c r="A1764" i="7"/>
  <c r="A1765" i="7"/>
  <c r="A1766" i="7"/>
  <c r="A1767" i="7"/>
  <c r="A1768" i="7"/>
  <c r="A1769" i="7"/>
  <c r="A1770" i="7"/>
  <c r="A1771" i="7"/>
  <c r="A1772" i="7"/>
  <c r="A1773" i="7"/>
  <c r="A1774" i="7"/>
  <c r="A1775" i="7"/>
  <c r="A1776" i="7"/>
  <c r="A1777" i="7"/>
  <c r="A1778" i="7"/>
  <c r="A1779" i="7"/>
  <c r="A1780" i="7"/>
  <c r="A1781" i="7"/>
  <c r="A1782" i="7"/>
  <c r="A1783" i="7"/>
  <c r="A1784" i="7"/>
  <c r="A1785" i="7"/>
  <c r="A1786" i="7"/>
  <c r="A1787" i="7"/>
  <c r="A1788" i="7"/>
  <c r="A1789" i="7"/>
  <c r="A1790" i="7"/>
  <c r="A1791" i="7"/>
  <c r="A1792" i="7"/>
  <c r="A1793" i="7"/>
  <c r="A1794" i="7"/>
  <c r="A1795" i="7"/>
  <c r="A1796" i="7"/>
  <c r="A1797" i="7"/>
  <c r="A1798" i="7"/>
  <c r="A1799" i="7"/>
  <c r="A1800" i="7"/>
  <c r="A1801" i="7"/>
  <c r="A1802" i="7"/>
  <c r="A1803" i="7"/>
  <c r="A1804" i="7"/>
  <c r="A1805" i="7"/>
  <c r="A1806" i="7"/>
  <c r="A1807" i="7"/>
  <c r="A1808" i="7"/>
  <c r="A1809" i="7"/>
  <c r="A1810" i="7"/>
  <c r="A1811" i="7"/>
  <c r="A1812" i="7"/>
  <c r="A1813" i="7"/>
  <c r="A1814" i="7"/>
  <c r="A1815" i="7"/>
  <c r="A1816" i="7"/>
  <c r="A1817" i="7"/>
  <c r="A1818" i="7"/>
  <c r="A1819" i="7"/>
  <c r="A1820" i="7"/>
  <c r="A1821" i="7"/>
  <c r="A1822" i="7"/>
  <c r="A1823" i="7"/>
  <c r="A1824" i="7"/>
  <c r="A1825" i="7"/>
  <c r="A1826" i="7"/>
  <c r="A1827" i="7"/>
  <c r="A1828" i="7"/>
  <c r="A1829" i="7"/>
  <c r="A1830" i="7"/>
  <c r="A1831" i="7"/>
  <c r="A1832" i="7"/>
  <c r="A1833" i="7"/>
  <c r="A1834" i="7"/>
  <c r="A1835" i="7"/>
  <c r="A1836" i="7"/>
  <c r="A1837" i="7"/>
  <c r="A1838" i="7"/>
  <c r="A1839" i="7"/>
  <c r="A1840" i="7"/>
  <c r="A1841" i="7"/>
  <c r="A1842" i="7"/>
  <c r="A1843" i="7"/>
  <c r="A1844" i="7"/>
  <c r="A1845" i="7"/>
  <c r="A1846" i="7"/>
  <c r="A1847" i="7"/>
  <c r="A1848" i="7"/>
  <c r="A1849" i="7"/>
  <c r="A1850" i="7"/>
  <c r="A1851" i="7"/>
  <c r="A1852" i="7"/>
  <c r="A1853" i="7"/>
  <c r="A1854" i="7"/>
  <c r="A1855" i="7"/>
  <c r="A1856" i="7"/>
  <c r="A1857" i="7"/>
  <c r="A1858" i="7"/>
  <c r="A1859" i="7"/>
  <c r="A1860" i="7"/>
  <c r="A1861" i="7"/>
  <c r="A1862" i="7"/>
  <c r="A1863" i="7"/>
  <c r="A1864" i="7"/>
  <c r="A1865" i="7"/>
  <c r="A1866" i="7"/>
  <c r="A1867" i="7"/>
  <c r="A1868" i="7"/>
  <c r="A1869" i="7"/>
  <c r="A1870" i="7"/>
  <c r="A1871" i="7"/>
  <c r="A1872" i="7"/>
  <c r="A1873" i="7"/>
  <c r="A1874" i="7"/>
  <c r="A1875" i="7"/>
  <c r="A1876" i="7"/>
  <c r="A1877" i="7"/>
  <c r="A1878" i="7"/>
  <c r="A1879" i="7"/>
  <c r="A1880" i="7"/>
  <c r="A1881" i="7"/>
  <c r="A1882" i="7"/>
  <c r="A1883" i="7"/>
  <c r="A1884" i="7"/>
  <c r="A1885" i="7"/>
  <c r="A1886" i="7"/>
  <c r="A1887" i="7"/>
  <c r="A1888" i="7"/>
  <c r="A1889" i="7"/>
  <c r="A1890" i="7"/>
  <c r="A1891" i="7"/>
  <c r="A1892" i="7"/>
  <c r="A1893" i="7"/>
  <c r="A1894" i="7"/>
  <c r="A1895" i="7"/>
  <c r="A1896" i="7"/>
  <c r="A1897" i="7"/>
  <c r="A1898" i="7"/>
  <c r="A1899" i="7"/>
  <c r="A1900" i="7"/>
  <c r="A1901" i="7"/>
  <c r="A1902" i="7"/>
  <c r="A1903" i="7"/>
  <c r="A1904" i="7"/>
  <c r="A1905" i="7"/>
  <c r="A1906" i="7"/>
  <c r="A1907" i="7"/>
  <c r="A1908" i="7"/>
  <c r="A1909" i="7"/>
  <c r="A1910" i="7"/>
  <c r="A1911" i="7"/>
  <c r="A1912" i="7"/>
  <c r="A1913" i="7"/>
  <c r="A1914" i="7"/>
  <c r="A1915" i="7"/>
  <c r="A1916" i="7"/>
  <c r="A1917" i="7"/>
  <c r="A1918" i="7"/>
  <c r="A1919" i="7"/>
  <c r="A1920" i="7"/>
  <c r="A1921" i="7"/>
  <c r="A1922" i="7"/>
  <c r="A1923" i="7"/>
  <c r="A1924" i="7"/>
  <c r="A1925" i="7"/>
  <c r="A1926" i="7"/>
  <c r="A1927" i="7"/>
  <c r="A1928" i="7"/>
  <c r="A1929" i="7"/>
  <c r="A1930" i="7"/>
  <c r="A1931" i="7"/>
  <c r="A1932" i="7"/>
  <c r="A1933" i="7"/>
  <c r="A1934" i="7"/>
  <c r="A1935" i="7"/>
  <c r="A1936" i="7"/>
  <c r="A1937" i="7"/>
  <c r="A1938" i="7"/>
  <c r="A1939" i="7"/>
  <c r="A1940" i="7"/>
  <c r="A1941" i="7"/>
  <c r="A1942" i="7"/>
  <c r="A1943" i="7"/>
  <c r="A1944" i="7"/>
  <c r="A1945" i="7"/>
  <c r="A1946" i="7"/>
  <c r="A1947" i="7"/>
  <c r="A1948" i="7"/>
  <c r="A1949" i="7"/>
  <c r="A1950" i="7"/>
  <c r="A1951" i="7"/>
  <c r="A1952" i="7"/>
  <c r="A1953" i="7"/>
  <c r="A1954" i="7"/>
  <c r="A1955" i="7"/>
  <c r="A1956" i="7"/>
  <c r="A1957" i="7"/>
  <c r="A1958" i="7"/>
  <c r="A1959" i="7"/>
  <c r="A1960" i="7"/>
  <c r="A1961" i="7"/>
  <c r="A1962" i="7"/>
  <c r="A1963" i="7"/>
  <c r="A1964" i="7"/>
  <c r="A1965" i="7"/>
  <c r="A1966" i="7"/>
  <c r="A1967" i="7"/>
  <c r="A1968" i="7"/>
  <c r="A1969" i="7"/>
  <c r="A1970" i="7"/>
  <c r="A1971" i="7"/>
  <c r="A1972" i="7"/>
  <c r="A1973" i="7"/>
  <c r="A1974" i="7"/>
  <c r="A1975" i="7"/>
  <c r="A1976" i="7"/>
  <c r="A1977" i="7"/>
  <c r="A1978" i="7"/>
  <c r="A1979" i="7"/>
  <c r="A1980" i="7"/>
  <c r="A1981" i="7"/>
  <c r="A1982" i="7"/>
  <c r="A1983" i="7"/>
  <c r="A1984" i="7"/>
  <c r="A1985" i="7"/>
  <c r="A1986" i="7"/>
  <c r="A1987" i="7"/>
  <c r="A1988" i="7"/>
  <c r="A1989" i="7"/>
  <c r="A1990" i="7"/>
  <c r="A1991" i="7"/>
  <c r="A1992" i="7"/>
  <c r="A1993" i="7"/>
  <c r="A1994" i="7"/>
  <c r="A1995" i="7"/>
  <c r="A1996" i="7"/>
  <c r="A1997" i="7"/>
  <c r="A1998" i="7"/>
  <c r="A1999" i="7"/>
  <c r="A2000" i="7"/>
  <c r="L14" i="10"/>
  <c r="K14" i="10"/>
  <c r="AK11" i="11"/>
  <c r="I14" i="10" s="1"/>
  <c r="M54" i="13"/>
  <c r="F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P78" i="13"/>
  <c r="B9" i="10"/>
  <c r="A9" i="10"/>
  <c r="B8" i="10"/>
  <c r="A8" i="10"/>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3" i="11"/>
  <c r="R12" i="11"/>
  <c r="R11" i="11"/>
  <c r="R10" i="11"/>
  <c r="R9" i="11"/>
  <c r="R8" i="11"/>
  <c r="X138" i="11"/>
  <c r="X137" i="11"/>
  <c r="X136" i="11"/>
  <c r="X135" i="11"/>
  <c r="X134" i="11"/>
  <c r="X133" i="11"/>
  <c r="X132" i="11"/>
  <c r="X131" i="11"/>
  <c r="X130" i="11"/>
  <c r="X129" i="11"/>
  <c r="X128" i="11"/>
  <c r="X127" i="11"/>
  <c r="X126" i="11"/>
  <c r="X125" i="11"/>
  <c r="X124" i="11"/>
  <c r="X123" i="11"/>
  <c r="X122" i="11"/>
  <c r="X121" i="11"/>
  <c r="X120" i="11"/>
  <c r="X119" i="11"/>
  <c r="X118" i="11"/>
  <c r="X117" i="11"/>
  <c r="X116" i="11"/>
  <c r="X115" i="11"/>
  <c r="X114" i="11"/>
  <c r="X113" i="11"/>
  <c r="X112" i="11"/>
  <c r="X111" i="11"/>
  <c r="X110" i="11"/>
  <c r="X109" i="11"/>
  <c r="X108" i="11"/>
  <c r="X107" i="11"/>
  <c r="X106" i="11"/>
  <c r="X105" i="11"/>
  <c r="X104" i="11"/>
  <c r="X103" i="11"/>
  <c r="X102" i="11"/>
  <c r="X101" i="11"/>
  <c r="X100" i="11"/>
  <c r="X99" i="11"/>
  <c r="X98" i="11"/>
  <c r="X97" i="11"/>
  <c r="X96" i="11"/>
  <c r="X95" i="11"/>
  <c r="X94" i="11"/>
  <c r="X93" i="11"/>
  <c r="X92" i="11"/>
  <c r="X91" i="11"/>
  <c r="X90" i="11"/>
  <c r="X89" i="11"/>
  <c r="X88" i="11"/>
  <c r="X87" i="11"/>
  <c r="X86" i="11"/>
  <c r="X85" i="11"/>
  <c r="X84" i="11"/>
  <c r="X83" i="11"/>
  <c r="X82" i="11"/>
  <c r="X81" i="11"/>
  <c r="X80" i="11"/>
  <c r="X79" i="11"/>
  <c r="X78" i="11"/>
  <c r="X77" i="11"/>
  <c r="X76" i="11"/>
  <c r="X75" i="11"/>
  <c r="X74" i="11"/>
  <c r="X73" i="11"/>
  <c r="X72" i="11"/>
  <c r="X71" i="11"/>
  <c r="X70" i="11"/>
  <c r="X69" i="11"/>
  <c r="X68" i="11"/>
  <c r="X67" i="11"/>
  <c r="X66" i="11"/>
  <c r="X65" i="11"/>
  <c r="X64" i="11"/>
  <c r="X63" i="11"/>
  <c r="X62" i="11"/>
  <c r="X61" i="11"/>
  <c r="X60" i="11"/>
  <c r="X59" i="11"/>
  <c r="X58" i="11"/>
  <c r="X57" i="11"/>
  <c r="X56" i="11"/>
  <c r="X55" i="11"/>
  <c r="X54" i="11"/>
  <c r="X53" i="11"/>
  <c r="X52" i="11"/>
  <c r="X51" i="11"/>
  <c r="X50" i="11"/>
  <c r="X49" i="11"/>
  <c r="X48" i="11"/>
  <c r="X47" i="11"/>
  <c r="X46" i="11"/>
  <c r="X45" i="11"/>
  <c r="X44" i="11"/>
  <c r="X43" i="11"/>
  <c r="X42" i="11"/>
  <c r="X41" i="11"/>
  <c r="X40" i="11"/>
  <c r="X39" i="11"/>
  <c r="X38" i="11"/>
  <c r="X37" i="11"/>
  <c r="X36" i="11"/>
  <c r="X35" i="11"/>
  <c r="X34" i="11"/>
  <c r="X33" i="11"/>
  <c r="X32" i="11"/>
  <c r="X31" i="11"/>
  <c r="X30" i="11"/>
  <c r="X29" i="11"/>
  <c r="X28" i="11"/>
  <c r="X27" i="11"/>
  <c r="X26" i="11"/>
  <c r="X25" i="11"/>
  <c r="X24" i="11"/>
  <c r="X23" i="11"/>
  <c r="X22" i="11"/>
  <c r="X21" i="11"/>
  <c r="X20" i="11"/>
  <c r="X19" i="11"/>
  <c r="X18" i="11"/>
  <c r="X17" i="11"/>
  <c r="X16" i="11"/>
  <c r="X15" i="11"/>
  <c r="X14" i="11"/>
  <c r="X13" i="11"/>
  <c r="X12" i="11"/>
  <c r="X11" i="11"/>
  <c r="X10" i="11"/>
  <c r="X9" i="11"/>
  <c r="X8" i="11"/>
  <c r="X7" i="11"/>
  <c r="X6" i="11"/>
  <c r="X5" i="11"/>
  <c r="W143" i="11" a="1"/>
  <c r="W142" i="11" a="1"/>
  <c r="W141" i="11" a="1"/>
  <c r="W140" i="11" a="1"/>
  <c r="W139" i="11" a="1"/>
  <c r="W138" i="11" a="1"/>
  <c r="W137" i="11" a="1"/>
  <c r="W136" i="11" a="1"/>
  <c r="W135" i="11" a="1"/>
  <c r="W134" i="11" a="1"/>
  <c r="W133" i="11" a="1"/>
  <c r="W132" i="11" a="1"/>
  <c r="W131" i="11" a="1"/>
  <c r="W130" i="11" a="1"/>
  <c r="W129" i="11" a="1"/>
  <c r="W128" i="11" a="1"/>
  <c r="W127" i="11" a="1"/>
  <c r="W126" i="11" a="1"/>
  <c r="W125" i="11" a="1"/>
  <c r="W124" i="11" a="1"/>
  <c r="W123" i="11" a="1"/>
  <c r="W122" i="11" a="1"/>
  <c r="W121" i="11" a="1"/>
  <c r="W120" i="11" a="1"/>
  <c r="W119" i="11" a="1"/>
  <c r="W118" i="11" a="1"/>
  <c r="W117" i="11" a="1"/>
  <c r="W116" i="11" a="1"/>
  <c r="W115" i="11" a="1"/>
  <c r="W114" i="11" a="1"/>
  <c r="W113" i="11" a="1"/>
  <c r="W112" i="11" a="1"/>
  <c r="W111" i="11" a="1"/>
  <c r="W110" i="11" a="1"/>
  <c r="W109" i="11" a="1"/>
  <c r="W108" i="11" a="1"/>
  <c r="W107" i="11" a="1"/>
  <c r="W106" i="11" a="1"/>
  <c r="W105" i="11" a="1"/>
  <c r="W104" i="11" a="1"/>
  <c r="W103" i="11" a="1"/>
  <c r="W102" i="11" a="1"/>
  <c r="W101" i="11" a="1"/>
  <c r="W100" i="11" a="1"/>
  <c r="W99" i="11" a="1"/>
  <c r="W98" i="11" a="1"/>
  <c r="W97" i="11" a="1"/>
  <c r="W96" i="11" a="1"/>
  <c r="W95" i="11" a="1"/>
  <c r="W94" i="11" a="1"/>
  <c r="W93" i="11" a="1"/>
  <c r="W92" i="11" a="1"/>
  <c r="W91" i="11" a="1"/>
  <c r="W90" i="11" a="1"/>
  <c r="W89" i="11" a="1"/>
  <c r="W88" i="11" a="1"/>
  <c r="W87" i="11" a="1"/>
  <c r="W86" i="11" a="1"/>
  <c r="W85" i="11" a="1"/>
  <c r="W84" i="11" a="1"/>
  <c r="W83" i="11" a="1"/>
  <c r="W82" i="11" a="1"/>
  <c r="W81" i="11" a="1"/>
  <c r="W80" i="11" a="1"/>
  <c r="W79" i="11" a="1"/>
  <c r="W78" i="11" a="1"/>
  <c r="W77" i="11" a="1"/>
  <c r="W76" i="11" a="1"/>
  <c r="W75" i="11" a="1"/>
  <c r="W74" i="11" a="1"/>
  <c r="W73" i="11" a="1"/>
  <c r="W72" i="11" a="1"/>
  <c r="W71" i="11" a="1"/>
  <c r="W70" i="11" a="1"/>
  <c r="W69" i="11" a="1"/>
  <c r="W68" i="11" a="1"/>
  <c r="W67" i="11" a="1"/>
  <c r="W66" i="11" a="1"/>
  <c r="W65" i="11" a="1"/>
  <c r="W64" i="11" a="1"/>
  <c r="W63" i="11" a="1"/>
  <c r="W62" i="11" a="1"/>
  <c r="W61" i="11" a="1"/>
  <c r="W60" i="11" a="1"/>
  <c r="W59" i="11" a="1"/>
  <c r="W58" i="11" a="1"/>
  <c r="W57" i="11" a="1"/>
  <c r="W56" i="11" a="1"/>
  <c r="W55" i="11" a="1"/>
  <c r="W54" i="11" a="1"/>
  <c r="W53" i="11" a="1"/>
  <c r="W52" i="11" a="1"/>
  <c r="W51" i="11" a="1"/>
  <c r="W50" i="11" a="1"/>
  <c r="W49" i="11" a="1"/>
  <c r="W48" i="11" a="1"/>
  <c r="W47" i="11" a="1"/>
  <c r="W46" i="11" a="1"/>
  <c r="W45" i="11" a="1"/>
  <c r="W44" i="11" a="1"/>
  <c r="W43" i="11" a="1"/>
  <c r="W42" i="11" a="1"/>
  <c r="W41" i="11" a="1"/>
  <c r="W40" i="11" a="1"/>
  <c r="W39" i="11" a="1"/>
  <c r="W38" i="11" a="1"/>
  <c r="W37" i="11" a="1"/>
  <c r="W36" i="11" a="1"/>
  <c r="W35" i="11" a="1"/>
  <c r="W34" i="11" a="1"/>
  <c r="W33" i="11" a="1"/>
  <c r="W32" i="11" a="1"/>
  <c r="W31" i="11" a="1"/>
  <c r="W30" i="11" a="1"/>
  <c r="W29" i="11" a="1"/>
  <c r="W28" i="11" a="1"/>
  <c r="W27" i="11" a="1"/>
  <c r="W26" i="11" a="1"/>
  <c r="W25" i="11" a="1"/>
  <c r="W24" i="11" a="1"/>
  <c r="W23" i="11" a="1"/>
  <c r="W22" i="11" a="1"/>
  <c r="W21" i="11" a="1"/>
  <c r="W20" i="11" a="1"/>
  <c r="W19" i="11" a="1"/>
  <c r="W18" i="11" a="1"/>
  <c r="W17" i="11" a="1"/>
  <c r="W16" i="11" a="1"/>
  <c r="W15" i="11" a="1"/>
  <c r="W14" i="11" a="1"/>
  <c r="W13" i="11" a="1"/>
  <c r="W12" i="11" a="1"/>
  <c r="W11" i="11" a="1"/>
  <c r="W10" i="11" a="1"/>
  <c r="W9" i="11" a="1"/>
  <c r="W8" i="11" a="1"/>
  <c r="W7" i="11" a="1"/>
  <c r="W6" i="11" a="1"/>
  <c r="W5" i="11" a="1"/>
  <c r="CJ30" i="11" l="1"/>
  <c r="AN4" i="11" a="1"/>
  <c r="L19" i="10" s="1"/>
  <c r="AG16" i="11" a="1"/>
  <c r="AG6" i="11" a="1"/>
  <c r="F38" i="13" a="1"/>
  <c r="B19" i="13" a="1"/>
  <c r="AC6" i="11" a="1"/>
  <c r="B10" i="10" s="1"/>
  <c r="B40" i="13" a="1"/>
  <c r="BO4" i="11" a="1"/>
  <c r="BF4" i="11" a="1"/>
  <c r="J24" i="13" a="1"/>
  <c r="AA2" i="11" a="1"/>
  <c r="AA3" i="11" a="1"/>
  <c r="L9" i="10"/>
  <c r="K9" i="10"/>
  <c r="J19" i="10"/>
  <c r="I19" i="10"/>
  <c r="H19" i="10"/>
  <c r="F19" i="10"/>
  <c r="G19" i="10"/>
  <c r="I9" i="10"/>
  <c r="H9" i="10"/>
  <c r="J9" i="10"/>
  <c r="F9" i="10"/>
  <c r="G9" i="10"/>
  <c r="B1608" i="7"/>
  <c r="B1620" i="7"/>
  <c r="C1607" i="7"/>
  <c r="C1619" i="7"/>
  <c r="D1606" i="7"/>
  <c r="D1618" i="7"/>
  <c r="E1605" i="7"/>
  <c r="E1617" i="7"/>
  <c r="F1604" i="7"/>
  <c r="F1616" i="7"/>
  <c r="G1615" i="7"/>
  <c r="H1614" i="7"/>
  <c r="A1613" i="7"/>
  <c r="A1625" i="7"/>
  <c r="B1623" i="7"/>
  <c r="C1622" i="7"/>
  <c r="E1620" i="7"/>
  <c r="F1619" i="7"/>
  <c r="H1617" i="7"/>
  <c r="B1612" i="7"/>
  <c r="C1611" i="7"/>
  <c r="D1610" i="7"/>
  <c r="F1608" i="7"/>
  <c r="H1606" i="7"/>
  <c r="A1605" i="7"/>
  <c r="B1625" i="7"/>
  <c r="D1623" i="7"/>
  <c r="E1610" i="7"/>
  <c r="G1608" i="7"/>
  <c r="F1622" i="7"/>
  <c r="H1620" i="7"/>
  <c r="D1625" i="7"/>
  <c r="B1609" i="7"/>
  <c r="B1621" i="7"/>
  <c r="C1608" i="7"/>
  <c r="C1620" i="7"/>
  <c r="D1607" i="7"/>
  <c r="D1619" i="7"/>
  <c r="E1606" i="7"/>
  <c r="E1618" i="7"/>
  <c r="F1605" i="7"/>
  <c r="F1617" i="7"/>
  <c r="G1604" i="7"/>
  <c r="G1616" i="7"/>
  <c r="H1615" i="7"/>
  <c r="A1614" i="7"/>
  <c r="D1609" i="7"/>
  <c r="G1618" i="7"/>
  <c r="A1604" i="7"/>
  <c r="C1623" i="7"/>
  <c r="D1622" i="7"/>
  <c r="E1609" i="7"/>
  <c r="F1620" i="7"/>
  <c r="G1607" i="7"/>
  <c r="H1618" i="7"/>
  <c r="A1617" i="7"/>
  <c r="C1624" i="7"/>
  <c r="F1609" i="7"/>
  <c r="G1620" i="7"/>
  <c r="H1607" i="7"/>
  <c r="D1612" i="7"/>
  <c r="G1609" i="7"/>
  <c r="A1607" i="7"/>
  <c r="F1611" i="7"/>
  <c r="G1610" i="7"/>
  <c r="H1609" i="7"/>
  <c r="A1608" i="7"/>
  <c r="B1610" i="7"/>
  <c r="B1622" i="7"/>
  <c r="C1609" i="7"/>
  <c r="C1621" i="7"/>
  <c r="D1608" i="7"/>
  <c r="D1620" i="7"/>
  <c r="E1607" i="7"/>
  <c r="E1619" i="7"/>
  <c r="F1606" i="7"/>
  <c r="F1618" i="7"/>
  <c r="G1605" i="7"/>
  <c r="G1617" i="7"/>
  <c r="H1604" i="7"/>
  <c r="H1616" i="7"/>
  <c r="A1615" i="7"/>
  <c r="B1611" i="7"/>
  <c r="C1610" i="7"/>
  <c r="D1621" i="7"/>
  <c r="E1608" i="7"/>
  <c r="F1607" i="7"/>
  <c r="G1606" i="7"/>
  <c r="H1605" i="7"/>
  <c r="A1616" i="7"/>
  <c r="B1624" i="7"/>
  <c r="E1621" i="7"/>
  <c r="G1619" i="7"/>
  <c r="B1613" i="7"/>
  <c r="C1612" i="7"/>
  <c r="D1611" i="7"/>
  <c r="E1622" i="7"/>
  <c r="A1618" i="7"/>
  <c r="D1624" i="7"/>
  <c r="E1623" i="7"/>
  <c r="C1614" i="7"/>
  <c r="F1623" i="7"/>
  <c r="G1622" i="7"/>
  <c r="H1621" i="7"/>
  <c r="E1611" i="7"/>
  <c r="B1615" i="7"/>
  <c r="E1612" i="7"/>
  <c r="A1620" i="7"/>
  <c r="B1604" i="7"/>
  <c r="B1616" i="7"/>
  <c r="C1615" i="7"/>
  <c r="D1614" i="7"/>
  <c r="E1613" i="7"/>
  <c r="E1625" i="7"/>
  <c r="F1612" i="7"/>
  <c r="F1624" i="7"/>
  <c r="G1611" i="7"/>
  <c r="G1623" i="7"/>
  <c r="H1610" i="7"/>
  <c r="H1622" i="7"/>
  <c r="A1609" i="7"/>
  <c r="A1621" i="7"/>
  <c r="B1606" i="7"/>
  <c r="C1605" i="7"/>
  <c r="D1604" i="7"/>
  <c r="E1615" i="7"/>
  <c r="F1614" i="7"/>
  <c r="G1613" i="7"/>
  <c r="H1612" i="7"/>
  <c r="A1611" i="7"/>
  <c r="B1607" i="7"/>
  <c r="C1618" i="7"/>
  <c r="D1605" i="7"/>
  <c r="E1616" i="7"/>
  <c r="G1614" i="7"/>
  <c r="H1625" i="7"/>
  <c r="A1612" i="7"/>
  <c r="H1619" i="7"/>
  <c r="A1606" i="7"/>
  <c r="B1614" i="7"/>
  <c r="C1625" i="7"/>
  <c r="G1621" i="7"/>
  <c r="A1619" i="7"/>
  <c r="E1624" i="7"/>
  <c r="B1605" i="7"/>
  <c r="B1617" i="7"/>
  <c r="C1604" i="7"/>
  <c r="C1616" i="7"/>
  <c r="D1615" i="7"/>
  <c r="E1614" i="7"/>
  <c r="F1613" i="7"/>
  <c r="F1625" i="7"/>
  <c r="G1612" i="7"/>
  <c r="G1624" i="7"/>
  <c r="H1611" i="7"/>
  <c r="H1623" i="7"/>
  <c r="A1610" i="7"/>
  <c r="A1622" i="7"/>
  <c r="B1618" i="7"/>
  <c r="C1617" i="7"/>
  <c r="D1616" i="7"/>
  <c r="G1625" i="7"/>
  <c r="H1624" i="7"/>
  <c r="A1623" i="7"/>
  <c r="B1619" i="7"/>
  <c r="C1606" i="7"/>
  <c r="D1617" i="7"/>
  <c r="E1604" i="7"/>
  <c r="F1615" i="7"/>
  <c r="H1613" i="7"/>
  <c r="A1624" i="7"/>
  <c r="F1621" i="7"/>
  <c r="C1613" i="7"/>
  <c r="F1610" i="7"/>
  <c r="H1608" i="7"/>
  <c r="D1613" i="7"/>
  <c r="B1603" i="7"/>
  <c r="F1603" i="7"/>
  <c r="C1602" i="7"/>
  <c r="G1602" i="7"/>
  <c r="C1603" i="7"/>
  <c r="G1603" i="7"/>
  <c r="D1602" i="7"/>
  <c r="H1602" i="7"/>
  <c r="D1603" i="7"/>
  <c r="H1603" i="7"/>
  <c r="E1602" i="7"/>
  <c r="A1602" i="7"/>
  <c r="E1603" i="7"/>
  <c r="A1603" i="7"/>
  <c r="B1602" i="7"/>
  <c r="F1602" i="7"/>
  <c r="B1597" i="7"/>
  <c r="C1598" i="7"/>
  <c r="D1599" i="7"/>
  <c r="E1600" i="7"/>
  <c r="F1601" i="7"/>
  <c r="B1598" i="7"/>
  <c r="C1599" i="7"/>
  <c r="D1600" i="7"/>
  <c r="E1601" i="7"/>
  <c r="B1595" i="7"/>
  <c r="B1599" i="7"/>
  <c r="C1600" i="7"/>
  <c r="D1601" i="7"/>
  <c r="A1594" i="7"/>
  <c r="B1600" i="7"/>
  <c r="C1601" i="7"/>
  <c r="H1594" i="7"/>
  <c r="A1595" i="7"/>
  <c r="B1601" i="7"/>
  <c r="G1594" i="7"/>
  <c r="H1595" i="7"/>
  <c r="A1596" i="7"/>
  <c r="F1594" i="7"/>
  <c r="G1595" i="7"/>
  <c r="H1596" i="7"/>
  <c r="A1597" i="7"/>
  <c r="C1596" i="7"/>
  <c r="F1599" i="7"/>
  <c r="E1594" i="7"/>
  <c r="F1595" i="7"/>
  <c r="G1596" i="7"/>
  <c r="H1597" i="7"/>
  <c r="A1598" i="7"/>
  <c r="E1597" i="7"/>
  <c r="G1599" i="7"/>
  <c r="H1601" i="7"/>
  <c r="D1594" i="7"/>
  <c r="E1595" i="7"/>
  <c r="F1596" i="7"/>
  <c r="G1597" i="7"/>
  <c r="H1598" i="7"/>
  <c r="A1599" i="7"/>
  <c r="C1595" i="7"/>
  <c r="A1601" i="7"/>
  <c r="D1597" i="7"/>
  <c r="G1600" i="7"/>
  <c r="C1594" i="7"/>
  <c r="D1595" i="7"/>
  <c r="E1596" i="7"/>
  <c r="F1597" i="7"/>
  <c r="G1598" i="7"/>
  <c r="H1599" i="7"/>
  <c r="A1600" i="7"/>
  <c r="B1594" i="7"/>
  <c r="D1596" i="7"/>
  <c r="F1598" i="7"/>
  <c r="H1600" i="7"/>
  <c r="E1598" i="7"/>
  <c r="B1596" i="7"/>
  <c r="C1597" i="7"/>
  <c r="D1598" i="7"/>
  <c r="E1599" i="7"/>
  <c r="F1600" i="7"/>
  <c r="G1601" i="7"/>
  <c r="B1541" i="7"/>
  <c r="B1549" i="7"/>
  <c r="B1557" i="7"/>
  <c r="B1565" i="7"/>
  <c r="B1573" i="7"/>
  <c r="B1581" i="7"/>
  <c r="B1589" i="7"/>
  <c r="B1542" i="7"/>
  <c r="B1550" i="7"/>
  <c r="B1558" i="7"/>
  <c r="B1566" i="7"/>
  <c r="B1574" i="7"/>
  <c r="B1582" i="7"/>
  <c r="B1590" i="7"/>
  <c r="B1543" i="7"/>
  <c r="B1551" i="7"/>
  <c r="B1559" i="7"/>
  <c r="B1567" i="7"/>
  <c r="B1575" i="7"/>
  <c r="B1583" i="7"/>
  <c r="B1591" i="7"/>
  <c r="B1544" i="7"/>
  <c r="B1552" i="7"/>
  <c r="B1560" i="7"/>
  <c r="B1568" i="7"/>
  <c r="B1576" i="7"/>
  <c r="B1584" i="7"/>
  <c r="B1592" i="7"/>
  <c r="B1545" i="7"/>
  <c r="B1553" i="7"/>
  <c r="B1561" i="7"/>
  <c r="B1569" i="7"/>
  <c r="B1577" i="7"/>
  <c r="B1585" i="7"/>
  <c r="B1593" i="7"/>
  <c r="B1555" i="7"/>
  <c r="B1578" i="7"/>
  <c r="B1556" i="7"/>
  <c r="B1579" i="7"/>
  <c r="B1539" i="7"/>
  <c r="B1562" i="7"/>
  <c r="B1580" i="7"/>
  <c r="B1547" i="7"/>
  <c r="B1570" i="7"/>
  <c r="B1588" i="7"/>
  <c r="B1546" i="7"/>
  <c r="B1587" i="7"/>
  <c r="C1541" i="7"/>
  <c r="C1549" i="7"/>
  <c r="C1557" i="7"/>
  <c r="C1565" i="7"/>
  <c r="C1573" i="7"/>
  <c r="C1581" i="7"/>
  <c r="C1589" i="7"/>
  <c r="B1548" i="7"/>
  <c r="C1542" i="7"/>
  <c r="C1550" i="7"/>
  <c r="C1558" i="7"/>
  <c r="C1566" i="7"/>
  <c r="C1574" i="7"/>
  <c r="C1582" i="7"/>
  <c r="C1590" i="7"/>
  <c r="B1554" i="7"/>
  <c r="C1543" i="7"/>
  <c r="C1551" i="7"/>
  <c r="C1559" i="7"/>
  <c r="C1567" i="7"/>
  <c r="C1575" i="7"/>
  <c r="C1583" i="7"/>
  <c r="C1591" i="7"/>
  <c r="B1563" i="7"/>
  <c r="C1544" i="7"/>
  <c r="C1552" i="7"/>
  <c r="C1560" i="7"/>
  <c r="C1568" i="7"/>
  <c r="C1576" i="7"/>
  <c r="C1584" i="7"/>
  <c r="C1592" i="7"/>
  <c r="B1564" i="7"/>
  <c r="C1545" i="7"/>
  <c r="C1553" i="7"/>
  <c r="C1561" i="7"/>
  <c r="C1569" i="7"/>
  <c r="C1577" i="7"/>
  <c r="C1585" i="7"/>
  <c r="C1593" i="7"/>
  <c r="B1540" i="7"/>
  <c r="B1586" i="7"/>
  <c r="C1540" i="7"/>
  <c r="C1548" i="7"/>
  <c r="C1556" i="7"/>
  <c r="C1564" i="7"/>
  <c r="C1572" i="7"/>
  <c r="C1580" i="7"/>
  <c r="C1588" i="7"/>
  <c r="C1570" i="7"/>
  <c r="C1539" i="7"/>
  <c r="C1571" i="7"/>
  <c r="C1546" i="7"/>
  <c r="C1578" i="7"/>
  <c r="B1571" i="7"/>
  <c r="C1547" i="7"/>
  <c r="C1579" i="7"/>
  <c r="B1572" i="7"/>
  <c r="C1554" i="7"/>
  <c r="C1586" i="7"/>
  <c r="C1555" i="7"/>
  <c r="C1587" i="7"/>
  <c r="D1543" i="7"/>
  <c r="D1551" i="7"/>
  <c r="D1559" i="7"/>
  <c r="D1567" i="7"/>
  <c r="D1575" i="7"/>
  <c r="D1583" i="7"/>
  <c r="D1591" i="7"/>
  <c r="D1544" i="7"/>
  <c r="D1552" i="7"/>
  <c r="D1560" i="7"/>
  <c r="D1568" i="7"/>
  <c r="D1576" i="7"/>
  <c r="D1584" i="7"/>
  <c r="D1592" i="7"/>
  <c r="D1545" i="7"/>
  <c r="D1553" i="7"/>
  <c r="D1561" i="7"/>
  <c r="D1569" i="7"/>
  <c r="D1577" i="7"/>
  <c r="D1585" i="7"/>
  <c r="D1593" i="7"/>
  <c r="D1539" i="7"/>
  <c r="D1547" i="7"/>
  <c r="D1555" i="7"/>
  <c r="D1563" i="7"/>
  <c r="D1571" i="7"/>
  <c r="D1579" i="7"/>
  <c r="D1587" i="7"/>
  <c r="D1550" i="7"/>
  <c r="D1566" i="7"/>
  <c r="D1582" i="7"/>
  <c r="C1562" i="7"/>
  <c r="D1554" i="7"/>
  <c r="D1570" i="7"/>
  <c r="D1586" i="7"/>
  <c r="C1563" i="7"/>
  <c r="D1540" i="7"/>
  <c r="D1556" i="7"/>
  <c r="D1572" i="7"/>
  <c r="D1588" i="7"/>
  <c r="D1541" i="7"/>
  <c r="D1557" i="7"/>
  <c r="D1573" i="7"/>
  <c r="D1589" i="7"/>
  <c r="D1542" i="7"/>
  <c r="D1558" i="7"/>
  <c r="D1574" i="7"/>
  <c r="D1590" i="7"/>
  <c r="D1549" i="7"/>
  <c r="D1565" i="7"/>
  <c r="D1581" i="7"/>
  <c r="D1580" i="7"/>
  <c r="E1539" i="7"/>
  <c r="E1547" i="7"/>
  <c r="E1555" i="7"/>
  <c r="E1563" i="7"/>
  <c r="E1571" i="7"/>
  <c r="E1579" i="7"/>
  <c r="E1587" i="7"/>
  <c r="E1540" i="7"/>
  <c r="E1548" i="7"/>
  <c r="E1556" i="7"/>
  <c r="E1564" i="7"/>
  <c r="E1572" i="7"/>
  <c r="E1580" i="7"/>
  <c r="E1588" i="7"/>
  <c r="E1541" i="7"/>
  <c r="E1549" i="7"/>
  <c r="E1557" i="7"/>
  <c r="E1565" i="7"/>
  <c r="E1573" i="7"/>
  <c r="E1581" i="7"/>
  <c r="E1589" i="7"/>
  <c r="D1546" i="7"/>
  <c r="E1542" i="7"/>
  <c r="E1550" i="7"/>
  <c r="E1558" i="7"/>
  <c r="E1566" i="7"/>
  <c r="E1574" i="7"/>
  <c r="E1582" i="7"/>
  <c r="E1590" i="7"/>
  <c r="D1548" i="7"/>
  <c r="E1543" i="7"/>
  <c r="E1551" i="7"/>
  <c r="E1559" i="7"/>
  <c r="E1567" i="7"/>
  <c r="E1575" i="7"/>
  <c r="E1583" i="7"/>
  <c r="E1591" i="7"/>
  <c r="D1562" i="7"/>
  <c r="E1544" i="7"/>
  <c r="E1552" i="7"/>
  <c r="E1560" i="7"/>
  <c r="E1568" i="7"/>
  <c r="E1576" i="7"/>
  <c r="E1584" i="7"/>
  <c r="E1592" i="7"/>
  <c r="E1553" i="7"/>
  <c r="E1585" i="7"/>
  <c r="F1541" i="7"/>
  <c r="F1549" i="7"/>
  <c r="F1557" i="7"/>
  <c r="F1565" i="7"/>
  <c r="F1573" i="7"/>
  <c r="F1581" i="7"/>
  <c r="F1589" i="7"/>
  <c r="E1554" i="7"/>
  <c r="E1586" i="7"/>
  <c r="F1542" i="7"/>
  <c r="F1550" i="7"/>
  <c r="F1558" i="7"/>
  <c r="F1566" i="7"/>
  <c r="F1574" i="7"/>
  <c r="F1582" i="7"/>
  <c r="F1590" i="7"/>
  <c r="E1561" i="7"/>
  <c r="E1593" i="7"/>
  <c r="F1543" i="7"/>
  <c r="F1551" i="7"/>
  <c r="F1559" i="7"/>
  <c r="F1567" i="7"/>
  <c r="F1575" i="7"/>
  <c r="F1583" i="7"/>
  <c r="F1591" i="7"/>
  <c r="D1564" i="7"/>
  <c r="E1562" i="7"/>
  <c r="F1544" i="7"/>
  <c r="F1552" i="7"/>
  <c r="F1560" i="7"/>
  <c r="F1568" i="7"/>
  <c r="F1576" i="7"/>
  <c r="F1584" i="7"/>
  <c r="F1592" i="7"/>
  <c r="G1540" i="7"/>
  <c r="G1548" i="7"/>
  <c r="G1556" i="7"/>
  <c r="G1564" i="7"/>
  <c r="G1572" i="7"/>
  <c r="G1580" i="7"/>
  <c r="D1578" i="7"/>
  <c r="E1569" i="7"/>
  <c r="F1545" i="7"/>
  <c r="F1553" i="7"/>
  <c r="F1561" i="7"/>
  <c r="F1569" i="7"/>
  <c r="F1577" i="7"/>
  <c r="F1585" i="7"/>
  <c r="F1593" i="7"/>
  <c r="E1546" i="7"/>
  <c r="E1578" i="7"/>
  <c r="F1540" i="7"/>
  <c r="F1548" i="7"/>
  <c r="F1556" i="7"/>
  <c r="F1564" i="7"/>
  <c r="F1572" i="7"/>
  <c r="F1580" i="7"/>
  <c r="F1588" i="7"/>
  <c r="G1544" i="7"/>
  <c r="G1552" i="7"/>
  <c r="G1560" i="7"/>
  <c r="G1568" i="7"/>
  <c r="G1576" i="7"/>
  <c r="F1547" i="7"/>
  <c r="F1579" i="7"/>
  <c r="G1542" i="7"/>
  <c r="G1553" i="7"/>
  <c r="G1563" i="7"/>
  <c r="G1574" i="7"/>
  <c r="G1584" i="7"/>
  <c r="G1592" i="7"/>
  <c r="F1554" i="7"/>
  <c r="F1586" i="7"/>
  <c r="G1543" i="7"/>
  <c r="G1554" i="7"/>
  <c r="G1565" i="7"/>
  <c r="G1575" i="7"/>
  <c r="G1585" i="7"/>
  <c r="G1593" i="7"/>
  <c r="H1541" i="7"/>
  <c r="H1549" i="7"/>
  <c r="H1557" i="7"/>
  <c r="H1565" i="7"/>
  <c r="H1573" i="7"/>
  <c r="H1581" i="7"/>
  <c r="H1589" i="7"/>
  <c r="F1555" i="7"/>
  <c r="F1587" i="7"/>
  <c r="G1545" i="7"/>
  <c r="G1555" i="7"/>
  <c r="G1566" i="7"/>
  <c r="G1577" i="7"/>
  <c r="G1586" i="7"/>
  <c r="E1545" i="7"/>
  <c r="F1562" i="7"/>
  <c r="G1546" i="7"/>
  <c r="G1557" i="7"/>
  <c r="G1567" i="7"/>
  <c r="G1578" i="7"/>
  <c r="G1587" i="7"/>
  <c r="E1570" i="7"/>
  <c r="F1563" i="7"/>
  <c r="G1547" i="7"/>
  <c r="G1558" i="7"/>
  <c r="G1569" i="7"/>
  <c r="G1579" i="7"/>
  <c r="G1588" i="7"/>
  <c r="E1577" i="7"/>
  <c r="F1570" i="7"/>
  <c r="G1549" i="7"/>
  <c r="G1559" i="7"/>
  <c r="G1570" i="7"/>
  <c r="G1581" i="7"/>
  <c r="G1589" i="7"/>
  <c r="H1545" i="7"/>
  <c r="H1553" i="7"/>
  <c r="H1561" i="7"/>
  <c r="H1569" i="7"/>
  <c r="H1577" i="7"/>
  <c r="H1585" i="7"/>
  <c r="H1593" i="7"/>
  <c r="G1573" i="7"/>
  <c r="H1539" i="7"/>
  <c r="H1550" i="7"/>
  <c r="H1560" i="7"/>
  <c r="H1571" i="7"/>
  <c r="H1582" i="7"/>
  <c r="H1592" i="7"/>
  <c r="A1543" i="7"/>
  <c r="A1551" i="7"/>
  <c r="A1559" i="7"/>
  <c r="A1567" i="7"/>
  <c r="A1575" i="7"/>
  <c r="A1583" i="7"/>
  <c r="A1591" i="7"/>
  <c r="G1539" i="7"/>
  <c r="G1582" i="7"/>
  <c r="H1540" i="7"/>
  <c r="H1551" i="7"/>
  <c r="H1562" i="7"/>
  <c r="H1572" i="7"/>
  <c r="H1583" i="7"/>
  <c r="A1544" i="7"/>
  <c r="A1552" i="7"/>
  <c r="A1560" i="7"/>
  <c r="A1568" i="7"/>
  <c r="A1576" i="7"/>
  <c r="A1584" i="7"/>
  <c r="A1592" i="7"/>
  <c r="F1539" i="7"/>
  <c r="G1541" i="7"/>
  <c r="G1583" i="7"/>
  <c r="H1542" i="7"/>
  <c r="H1552" i="7"/>
  <c r="H1563" i="7"/>
  <c r="H1574" i="7"/>
  <c r="H1584" i="7"/>
  <c r="A1545" i="7"/>
  <c r="A1553" i="7"/>
  <c r="A1561" i="7"/>
  <c r="A1569" i="7"/>
  <c r="A1577" i="7"/>
  <c r="A1585" i="7"/>
  <c r="A1593" i="7"/>
  <c r="F1546" i="7"/>
  <c r="G1550" i="7"/>
  <c r="G1590" i="7"/>
  <c r="H1543" i="7"/>
  <c r="H1554" i="7"/>
  <c r="H1564" i="7"/>
  <c r="H1575" i="7"/>
  <c r="H1586" i="7"/>
  <c r="A1546" i="7"/>
  <c r="A1554" i="7"/>
  <c r="A1562" i="7"/>
  <c r="A1570" i="7"/>
  <c r="A1578" i="7"/>
  <c r="A1586" i="7"/>
  <c r="F1571" i="7"/>
  <c r="G1551" i="7"/>
  <c r="G1591" i="7"/>
  <c r="H1544" i="7"/>
  <c r="H1555" i="7"/>
  <c r="H1566" i="7"/>
  <c r="H1576" i="7"/>
  <c r="H1587" i="7"/>
  <c r="A1539" i="7"/>
  <c r="A1547" i="7"/>
  <c r="A1555" i="7"/>
  <c r="A1563" i="7"/>
  <c r="A1571" i="7"/>
  <c r="A1579" i="7"/>
  <c r="A1587" i="7"/>
  <c r="F1578" i="7"/>
  <c r="G1561" i="7"/>
  <c r="H1546" i="7"/>
  <c r="H1556" i="7"/>
  <c r="H1567" i="7"/>
  <c r="H1578" i="7"/>
  <c r="H1588" i="7"/>
  <c r="G1562" i="7"/>
  <c r="G1571" i="7"/>
  <c r="H1548" i="7"/>
  <c r="H1559" i="7"/>
  <c r="H1570" i="7"/>
  <c r="H1580" i="7"/>
  <c r="H1591" i="7"/>
  <c r="A1542" i="7"/>
  <c r="A1550" i="7"/>
  <c r="A1558" i="7"/>
  <c r="A1566" i="7"/>
  <c r="A1574" i="7"/>
  <c r="A1582" i="7"/>
  <c r="A1590" i="7"/>
  <c r="H1547" i="7"/>
  <c r="A1564" i="7"/>
  <c r="A1549" i="7"/>
  <c r="H1558" i="7"/>
  <c r="A1565" i="7"/>
  <c r="H1568" i="7"/>
  <c r="A1540" i="7"/>
  <c r="A1572" i="7"/>
  <c r="H1579" i="7"/>
  <c r="A1541" i="7"/>
  <c r="A1573" i="7"/>
  <c r="A1556" i="7"/>
  <c r="H1590" i="7"/>
  <c r="A1548" i="7"/>
  <c r="A1580" i="7"/>
  <c r="A1588" i="7"/>
  <c r="A1557" i="7"/>
  <c r="A1589" i="7"/>
  <c r="A1581" i="7"/>
  <c r="R7" i="11"/>
  <c r="R6" i="11"/>
  <c r="S4" i="11" l="1"/>
  <c r="S3" i="11"/>
  <c r="R4" i="11"/>
  <c r="R5" i="11"/>
  <c r="V2" i="11" a="1"/>
  <c r="R3" i="11"/>
  <c r="W4" i="11" a="1"/>
  <c r="W3" i="11" a="1"/>
  <c r="W143" i="11" l="1"/>
  <c r="W142" i="11"/>
  <c r="W141" i="11"/>
  <c r="W140" i="11"/>
  <c r="W139" i="11"/>
  <c r="W138" i="11"/>
  <c r="W137" i="11"/>
  <c r="W136" i="11"/>
  <c r="W135" i="11"/>
  <c r="W134" i="11"/>
  <c r="W133" i="11"/>
  <c r="W132" i="11"/>
  <c r="W131" i="11"/>
  <c r="W130" i="11"/>
  <c r="W129" i="11"/>
  <c r="W128" i="11"/>
  <c r="W127" i="11"/>
  <c r="W126" i="11"/>
  <c r="W125" i="11"/>
  <c r="W124" i="11"/>
  <c r="W123" i="11"/>
  <c r="W122" i="11"/>
  <c r="W121" i="11"/>
  <c r="W120" i="11"/>
  <c r="W119" i="11"/>
  <c r="W118" i="11"/>
  <c r="W117" i="11"/>
  <c r="W116" i="11"/>
  <c r="W115" i="11"/>
  <c r="W114" i="11"/>
  <c r="W113" i="11"/>
  <c r="W112" i="11"/>
  <c r="W111" i="11"/>
  <c r="W110" i="11"/>
  <c r="W109" i="11"/>
  <c r="W108" i="11"/>
  <c r="W107" i="11"/>
  <c r="W106" i="11"/>
  <c r="W105" i="11"/>
  <c r="W104" i="11"/>
  <c r="W103" i="11"/>
  <c r="W102" i="11"/>
  <c r="W101" i="11"/>
  <c r="W100" i="11"/>
  <c r="W99" i="11"/>
  <c r="W98" i="11"/>
  <c r="W97" i="11"/>
  <c r="W96" i="11"/>
  <c r="W95" i="11"/>
  <c r="W94" i="11"/>
  <c r="W93" i="11"/>
  <c r="W92" i="11"/>
  <c r="W91" i="11"/>
  <c r="W90" i="11"/>
  <c r="W89" i="11"/>
  <c r="W88" i="11"/>
  <c r="W87" i="11"/>
  <c r="W86" i="11"/>
  <c r="W85" i="11"/>
  <c r="W84" i="11"/>
  <c r="W83" i="11"/>
  <c r="W82" i="11"/>
  <c r="W81" i="11"/>
  <c r="W80" i="11"/>
  <c r="W79" i="11"/>
  <c r="W78" i="11"/>
  <c r="W77" i="11"/>
  <c r="W76" i="11"/>
  <c r="W75" i="11"/>
  <c r="W74" i="11"/>
  <c r="W73" i="11"/>
  <c r="W72" i="11"/>
  <c r="W71" i="11"/>
  <c r="W70" i="11"/>
  <c r="W69" i="11"/>
  <c r="W68" i="11"/>
  <c r="W67" i="11"/>
  <c r="W66" i="11"/>
  <c r="W65" i="11"/>
  <c r="W64" i="11"/>
  <c r="W63" i="11"/>
  <c r="W62" i="11"/>
  <c r="W61" i="11"/>
  <c r="W60" i="11"/>
  <c r="W59" i="11"/>
  <c r="W58" i="11"/>
  <c r="W57" i="11"/>
  <c r="W56" i="11"/>
  <c r="W55" i="11"/>
  <c r="W54" i="11"/>
  <c r="W53" i="11"/>
  <c r="W52" i="11"/>
  <c r="W51" i="11"/>
  <c r="W50" i="11"/>
  <c r="W49" i="11"/>
  <c r="W48" i="11"/>
  <c r="W47" i="11"/>
  <c r="W46" i="11"/>
  <c r="W45" i="11"/>
  <c r="W44" i="11"/>
  <c r="W43" i="11"/>
  <c r="W42" i="11"/>
  <c r="W41" i="11"/>
  <c r="W40" i="11"/>
  <c r="W39" i="11"/>
  <c r="W38" i="11"/>
  <c r="W37" i="11"/>
  <c r="W36" i="11"/>
  <c r="W35" i="11"/>
  <c r="W34" i="11"/>
  <c r="W33" i="11"/>
  <c r="W32" i="11"/>
  <c r="W31" i="11"/>
  <c r="W30" i="11"/>
  <c r="W29" i="11"/>
  <c r="W28" i="11"/>
  <c r="W27" i="11"/>
  <c r="W26" i="11"/>
  <c r="W25" i="11"/>
  <c r="W24" i="11"/>
  <c r="W23" i="11"/>
  <c r="W22" i="11"/>
  <c r="W21" i="11"/>
  <c r="W20" i="11"/>
  <c r="W19" i="11"/>
  <c r="W18" i="11"/>
  <c r="W17" i="11"/>
  <c r="AG16" i="11"/>
  <c r="E19" i="10" s="1"/>
  <c r="W16" i="11"/>
  <c r="W15" i="11"/>
  <c r="W14" i="11"/>
  <c r="W13" i="11"/>
  <c r="W12" i="11"/>
  <c r="W11" i="11"/>
  <c r="W10" i="11"/>
  <c r="W9" i="11"/>
  <c r="W8" i="11"/>
  <c r="W7" i="11"/>
  <c r="AG6" i="11"/>
  <c r="E9" i="10" s="1"/>
  <c r="AC6" i="11"/>
  <c r="A10" i="10" s="1"/>
  <c r="W6" i="11"/>
  <c r="W5" i="11"/>
  <c r="BO4" i="11"/>
  <c r="BF4" i="11"/>
  <c r="AN4" i="11"/>
  <c r="W4" i="11"/>
  <c r="X4" i="11" s="1"/>
  <c r="AA3" i="11"/>
  <c r="W3" i="11"/>
  <c r="X3" i="11" s="1"/>
  <c r="AA2" i="11"/>
  <c r="V2" i="11"/>
  <c r="B40" i="13"/>
  <c r="F38" i="13"/>
  <c r="J24" i="13"/>
  <c r="B19" i="13"/>
  <c r="W2" i="11" l="1" a="1"/>
  <c r="W2" i="11" s="1"/>
  <c r="X2" i="11" s="1"/>
  <c r="AW4" i="11" a="1"/>
  <c r="N24" i="13"/>
  <c r="O2" i="11" a="1"/>
  <c r="O2" i="11" s="1"/>
  <c r="R2" i="11" s="1"/>
  <c r="M3" i="11" a="1"/>
  <c r="AW4" i="11" l="1"/>
  <c r="BY4" i="11" a="1"/>
  <c r="S2" i="11"/>
  <c r="C4" i="10" s="1" a="1"/>
  <c r="C4" i="10" s="1"/>
  <c r="M3" i="11"/>
  <c r="E1533" i="7" l="1"/>
  <c r="H1534" i="7"/>
  <c r="A1538" i="7"/>
  <c r="A1532" i="7"/>
  <c r="B196" i="7"/>
  <c r="B661" i="7"/>
  <c r="B455" i="7"/>
  <c r="B401" i="7"/>
  <c r="B210" i="7"/>
  <c r="C426" i="7"/>
  <c r="C347" i="7"/>
  <c r="B300" i="7"/>
  <c r="B765" i="7"/>
  <c r="B559" i="7"/>
  <c r="B675" i="7"/>
  <c r="B489" i="7"/>
  <c r="B275" i="7"/>
  <c r="C451" i="7"/>
  <c r="B228" i="7"/>
  <c r="B693" i="7"/>
  <c r="B487" i="7"/>
  <c r="B483" i="7"/>
  <c r="B628" i="7"/>
  <c r="B414" i="7"/>
  <c r="B208" i="7"/>
  <c r="B349" i="7"/>
  <c r="B822" i="7"/>
  <c r="B616" i="7"/>
  <c r="B165" i="7"/>
  <c r="B638" i="7"/>
  <c r="B764" i="7"/>
  <c r="B550" i="7"/>
  <c r="B509" i="7"/>
  <c r="B792" i="7"/>
  <c r="B763" i="7"/>
  <c r="B847" i="7"/>
  <c r="B984" i="7"/>
  <c r="B969" i="7"/>
  <c r="B1315" i="7"/>
  <c r="B711" i="7"/>
  <c r="B1469" i="7"/>
  <c r="C178" i="7"/>
  <c r="C323" i="7"/>
  <c r="C428" i="7"/>
  <c r="C309" i="7"/>
  <c r="B326" i="7"/>
  <c r="B845" i="7"/>
  <c r="B1054" i="7"/>
  <c r="B1087" i="7"/>
  <c r="B1240" i="7"/>
  <c r="B1177" i="7"/>
  <c r="B548" i="7"/>
  <c r="B392" i="7"/>
  <c r="C377" i="7"/>
  <c r="C418" i="7"/>
  <c r="B386" i="7"/>
  <c r="B474" i="7"/>
  <c r="B225" i="7"/>
  <c r="B814" i="7"/>
  <c r="B1125" i="7"/>
  <c r="B1310" i="7"/>
  <c r="B1455" i="7"/>
  <c r="C260" i="7"/>
  <c r="B1481" i="7"/>
  <c r="B605" i="7"/>
  <c r="B209" i="7"/>
  <c r="B571" i="7"/>
  <c r="B887" i="7"/>
  <c r="B1040" i="7"/>
  <c r="B1009" i="7"/>
  <c r="B226" i="7"/>
  <c r="B783" i="7"/>
  <c r="B1509" i="7"/>
  <c r="C218" i="7"/>
  <c r="C379" i="7"/>
  <c r="C372" i="7"/>
  <c r="C253" i="7"/>
  <c r="B1363" i="7"/>
  <c r="B479" i="7"/>
  <c r="B1309" i="7"/>
  <c r="B1462" i="7"/>
  <c r="C179" i="7"/>
  <c r="C204" i="7"/>
  <c r="B1425" i="7"/>
  <c r="H1538" i="7"/>
  <c r="E1538" i="7"/>
  <c r="F1538" i="7"/>
  <c r="E1534" i="7"/>
  <c r="B388" i="7"/>
  <c r="B174" i="7"/>
  <c r="B647" i="7"/>
  <c r="B869" i="7"/>
  <c r="B722" i="7"/>
  <c r="B513" i="7"/>
  <c r="B281" i="7"/>
  <c r="B492" i="7"/>
  <c r="B278" i="7"/>
  <c r="B751" i="7"/>
  <c r="B973" i="7"/>
  <c r="B902" i="7"/>
  <c r="B787" i="7"/>
  <c r="B555" i="7"/>
  <c r="B420" i="7"/>
  <c r="B206" i="7"/>
  <c r="B679" i="7"/>
  <c r="B901" i="7"/>
  <c r="B820" i="7"/>
  <c r="B606" i="7"/>
  <c r="B400" i="7"/>
  <c r="B541" i="7"/>
  <c r="B335" i="7"/>
  <c r="B808" i="7"/>
  <c r="B357" i="7"/>
  <c r="B830" i="7"/>
  <c r="B269" i="7"/>
  <c r="B742" i="7"/>
  <c r="B294" i="7"/>
  <c r="B803" i="7"/>
  <c r="B1038" i="7"/>
  <c r="B1071" i="7"/>
  <c r="B1224" i="7"/>
  <c r="B1161" i="7"/>
  <c r="B524" i="7"/>
  <c r="B368" i="7"/>
  <c r="C361" i="7"/>
  <c r="C402" i="7"/>
  <c r="B345" i="7"/>
  <c r="B433" i="7"/>
  <c r="C501" i="7"/>
  <c r="B790" i="7"/>
  <c r="B1109" i="7"/>
  <c r="B1294" i="7"/>
  <c r="B1327" i="7"/>
  <c r="B1464" i="7"/>
  <c r="B1369" i="7"/>
  <c r="B333" i="7"/>
  <c r="B688" i="7"/>
  <c r="B530" i="7"/>
  <c r="B618" i="7"/>
  <c r="B896" i="7"/>
  <c r="B897" i="7"/>
  <c r="B1123" i="7"/>
  <c r="B591" i="7"/>
  <c r="B1381" i="7"/>
  <c r="C202" i="7"/>
  <c r="C363" i="7"/>
  <c r="C452" i="7"/>
  <c r="C333" i="7"/>
  <c r="B390" i="7"/>
  <c r="B885" i="7"/>
  <c r="B966" i="7"/>
  <c r="B1127" i="7"/>
  <c r="B1264" i="7"/>
  <c r="B1201" i="7"/>
  <c r="B620" i="7"/>
  <c r="B432" i="7"/>
  <c r="C289" i="7"/>
  <c r="C458" i="7"/>
  <c r="B450" i="7"/>
  <c r="B282" i="7"/>
  <c r="C445" i="7"/>
  <c r="B212" i="7"/>
  <c r="B823" i="7"/>
  <c r="C201" i="7"/>
  <c r="C370" i="7"/>
  <c r="C403" i="7"/>
  <c r="C396" i="7"/>
  <c r="C181" i="7"/>
  <c r="B701" i="7"/>
  <c r="F1533" i="7"/>
  <c r="G1534" i="7"/>
  <c r="D1534" i="7"/>
  <c r="F1535" i="7"/>
  <c r="B484" i="7"/>
  <c r="B270" i="7"/>
  <c r="B743" i="7"/>
  <c r="B965" i="7"/>
  <c r="B894" i="7"/>
  <c r="B769" i="7"/>
  <c r="B537" i="7"/>
  <c r="B588" i="7"/>
  <c r="B374" i="7"/>
  <c r="B168" i="7"/>
  <c r="B1069" i="7"/>
  <c r="B998" i="7"/>
  <c r="B919" i="7"/>
  <c r="B811" i="7"/>
  <c r="B516" i="7"/>
  <c r="B302" i="7"/>
  <c r="B775" i="7"/>
  <c r="B997" i="7"/>
  <c r="B229" i="7"/>
  <c r="B702" i="7"/>
  <c r="B172" i="7"/>
  <c r="B637" i="7"/>
  <c r="B431" i="7"/>
  <c r="B337" i="7"/>
  <c r="B453" i="7"/>
  <c r="B247" i="7"/>
  <c r="B365" i="7"/>
  <c r="B838" i="7"/>
  <c r="B518" i="7"/>
  <c r="B949" i="7"/>
  <c r="B1150" i="7"/>
  <c r="B1183" i="7"/>
  <c r="B1336" i="7"/>
  <c r="B1257" i="7"/>
  <c r="B740" i="7"/>
  <c r="B512" i="7"/>
  <c r="C473" i="7"/>
  <c r="B234" i="7"/>
  <c r="B642" i="7"/>
  <c r="B689" i="7"/>
  <c r="B795" i="7"/>
  <c r="B327" i="7"/>
  <c r="B1229" i="7"/>
  <c r="B1406" i="7"/>
  <c r="B1439" i="7"/>
  <c r="C244" i="7"/>
  <c r="B1465" i="7"/>
  <c r="B581" i="7"/>
  <c r="B824" i="7"/>
  <c r="B827" i="7"/>
  <c r="B871" i="7"/>
  <c r="B1008" i="7"/>
  <c r="B993" i="7"/>
  <c r="B1379" i="7"/>
  <c r="B759" i="7"/>
  <c r="B1493" i="7"/>
  <c r="C314" i="7"/>
  <c r="C475" i="7"/>
  <c r="B241" i="7"/>
  <c r="C429" i="7"/>
  <c r="B614" i="7"/>
  <c r="B1013" i="7"/>
  <c r="B1078" i="7"/>
  <c r="B1239" i="7"/>
  <c r="B1376" i="7"/>
  <c r="B1297" i="7"/>
  <c r="B836" i="7"/>
  <c r="B584" i="7"/>
  <c r="C417" i="7"/>
  <c r="B385" i="7"/>
  <c r="B747" i="7"/>
  <c r="B538" i="7"/>
  <c r="B394" i="7"/>
  <c r="B444" i="7"/>
  <c r="B312" i="7"/>
  <c r="C329" i="7"/>
  <c r="C482" i="7"/>
  <c r="B217" i="7"/>
  <c r="C492" i="7"/>
  <c r="C277" i="7"/>
  <c r="B238" i="7"/>
  <c r="C1534" i="7"/>
  <c r="F1537" i="7"/>
  <c r="D1536" i="7"/>
  <c r="E1535" i="7"/>
  <c r="G1537" i="7"/>
  <c r="B580" i="7"/>
  <c r="B366" i="7"/>
  <c r="B839" i="7"/>
  <c r="B1061" i="7"/>
  <c r="B990" i="7"/>
  <c r="B911" i="7"/>
  <c r="B793" i="7"/>
  <c r="B684" i="7"/>
  <c r="B470" i="7"/>
  <c r="B264" i="7"/>
  <c r="B1165" i="7"/>
  <c r="B1094" i="7"/>
  <c r="B1015" i="7"/>
  <c r="B928" i="7"/>
  <c r="B612" i="7"/>
  <c r="B398" i="7"/>
  <c r="B192" i="7"/>
  <c r="B1093" i="7"/>
  <c r="B325" i="7"/>
  <c r="B798" i="7"/>
  <c r="B268" i="7"/>
  <c r="B733" i="7"/>
  <c r="B527" i="7"/>
  <c r="B593" i="7"/>
  <c r="B549" i="7"/>
  <c r="B343" i="7"/>
  <c r="B461" i="7"/>
  <c r="B255" i="7"/>
  <c r="B766" i="7"/>
  <c r="B1085" i="7"/>
  <c r="B1262" i="7"/>
  <c r="B1311" i="7"/>
  <c r="B1448" i="7"/>
  <c r="B1353" i="7"/>
  <c r="B301" i="7"/>
  <c r="B664" i="7"/>
  <c r="B443" i="7"/>
  <c r="B577" i="7"/>
  <c r="B880" i="7"/>
  <c r="B881" i="7"/>
  <c r="B1082" i="7"/>
  <c r="B567" i="7"/>
  <c r="B1365" i="7"/>
  <c r="B1518" i="7"/>
  <c r="C219" i="7"/>
  <c r="C340" i="7"/>
  <c r="C221" i="7"/>
  <c r="B797" i="7"/>
  <c r="B529" i="7"/>
  <c r="B950" i="7"/>
  <c r="B983" i="7"/>
  <c r="B1136" i="7"/>
  <c r="B1089" i="7"/>
  <c r="B348" i="7"/>
  <c r="B240" i="7"/>
  <c r="C273" i="7"/>
  <c r="C442" i="7"/>
  <c r="B409" i="7"/>
  <c r="B497" i="7"/>
  <c r="B283" i="7"/>
  <c r="B183" i="7"/>
  <c r="B1133" i="7"/>
  <c r="B1206" i="7"/>
  <c r="B1351" i="7"/>
  <c r="B1488" i="7"/>
  <c r="B1393" i="7"/>
  <c r="B397" i="7"/>
  <c r="B720" i="7"/>
  <c r="B297" i="7"/>
  <c r="B682" i="7"/>
  <c r="B936" i="7"/>
  <c r="B794" i="7"/>
  <c r="B931" i="7"/>
  <c r="B692" i="7"/>
  <c r="B472" i="7"/>
  <c r="C441" i="7"/>
  <c r="B449" i="7"/>
  <c r="B514" i="7"/>
  <c r="B346" i="7"/>
  <c r="C373" i="7"/>
  <c r="D1532" i="7"/>
  <c r="G1535" i="7"/>
  <c r="A1534" i="7"/>
  <c r="G1536" i="7"/>
  <c r="H1532" i="7"/>
  <c r="B676" i="7"/>
  <c r="B462" i="7"/>
  <c r="B256" i="7"/>
  <c r="B1157" i="7"/>
  <c r="B1086" i="7"/>
  <c r="B1007" i="7"/>
  <c r="B920" i="7"/>
  <c r="B780" i="7"/>
  <c r="B566" i="7"/>
  <c r="B360" i="7"/>
  <c r="B1261" i="7"/>
  <c r="B1190" i="7"/>
  <c r="B1111" i="7"/>
  <c r="B1024" i="7"/>
  <c r="B708" i="7"/>
  <c r="B494" i="7"/>
  <c r="B288" i="7"/>
  <c r="B1189" i="7"/>
  <c r="B421" i="7"/>
  <c r="B215" i="7"/>
  <c r="B364" i="7"/>
  <c r="B829" i="7"/>
  <c r="B623" i="7"/>
  <c r="B180" i="7"/>
  <c r="B645" i="7"/>
  <c r="B439" i="7"/>
  <c r="B557" i="7"/>
  <c r="B351" i="7"/>
  <c r="B303" i="7"/>
  <c r="B1213" i="7"/>
  <c r="B1390" i="7"/>
  <c r="B1423" i="7"/>
  <c r="C228" i="7"/>
  <c r="B1449" i="7"/>
  <c r="B525" i="7"/>
  <c r="B800" i="7"/>
  <c r="B786" i="7"/>
  <c r="B855" i="7"/>
  <c r="B992" i="7"/>
  <c r="B977" i="7"/>
  <c r="B1338" i="7"/>
  <c r="B727" i="7"/>
  <c r="B1477" i="7"/>
  <c r="C186" i="7"/>
  <c r="C331" i="7"/>
  <c r="C436" i="7"/>
  <c r="C317" i="7"/>
  <c r="B334" i="7"/>
  <c r="B853" i="7"/>
  <c r="B1062" i="7"/>
  <c r="B1095" i="7"/>
  <c r="B1248" i="7"/>
  <c r="B1185" i="7"/>
  <c r="B596" i="7"/>
  <c r="B408" i="7"/>
  <c r="C385" i="7"/>
  <c r="B339" i="7"/>
  <c r="B706" i="7"/>
  <c r="B753" i="7"/>
  <c r="B890" i="7"/>
  <c r="B399" i="7"/>
  <c r="B1269" i="7"/>
  <c r="B1318" i="7"/>
  <c r="B1463" i="7"/>
  <c r="C268" i="7"/>
  <c r="B1489" i="7"/>
  <c r="B621" i="7"/>
  <c r="B250" i="7"/>
  <c r="B594" i="7"/>
  <c r="B895" i="7"/>
  <c r="B1048" i="7"/>
  <c r="B921" i="7"/>
  <c r="B1187" i="7"/>
  <c r="B221" i="7"/>
  <c r="B608" i="7"/>
  <c r="B361" i="7"/>
  <c r="B746" i="7"/>
  <c r="B848" i="7"/>
  <c r="B602" i="7"/>
  <c r="C469" i="7"/>
  <c r="F1534" i="7"/>
  <c r="C1533" i="7"/>
  <c r="B1538" i="7"/>
  <c r="B1534" i="7"/>
  <c r="D1538" i="7"/>
  <c r="B772" i="7"/>
  <c r="B558" i="7"/>
  <c r="B352" i="7"/>
  <c r="B1253" i="7"/>
  <c r="B1182" i="7"/>
  <c r="B1103" i="7"/>
  <c r="B1016" i="7"/>
  <c r="B189" i="7"/>
  <c r="B662" i="7"/>
  <c r="B456" i="7"/>
  <c r="B1357" i="7"/>
  <c r="B1286" i="7"/>
  <c r="B1207" i="7"/>
  <c r="B1120" i="7"/>
  <c r="B804" i="7"/>
  <c r="B590" i="7"/>
  <c r="B384" i="7"/>
  <c r="B1285" i="7"/>
  <c r="B517" i="7"/>
  <c r="B311" i="7"/>
  <c r="B460" i="7"/>
  <c r="B246" i="7"/>
  <c r="B719" i="7"/>
  <c r="B276" i="7"/>
  <c r="B741" i="7"/>
  <c r="B188" i="7"/>
  <c r="B653" i="7"/>
  <c r="B447" i="7"/>
  <c r="B519" i="7"/>
  <c r="B1333" i="7"/>
  <c r="B1502" i="7"/>
  <c r="C203" i="7"/>
  <c r="C324" i="7"/>
  <c r="C205" i="7"/>
  <c r="B773" i="7"/>
  <c r="B465" i="7"/>
  <c r="B934" i="7"/>
  <c r="B967" i="7"/>
  <c r="B1104" i="7"/>
  <c r="B1073" i="7"/>
  <c r="B316" i="7"/>
  <c r="B216" i="7"/>
  <c r="C257" i="7"/>
  <c r="C298" i="7"/>
  <c r="C459" i="7"/>
  <c r="B195" i="7"/>
  <c r="C413" i="7"/>
  <c r="B582" i="7"/>
  <c r="B989" i="7"/>
  <c r="B1174" i="7"/>
  <c r="B1223" i="7"/>
  <c r="B1360" i="7"/>
  <c r="B1281" i="7"/>
  <c r="B812" i="7"/>
  <c r="B560" i="7"/>
  <c r="B251" i="7"/>
  <c r="B641" i="7"/>
  <c r="B904" i="7"/>
  <c r="B905" i="7"/>
  <c r="B1146" i="7"/>
  <c r="B607" i="7"/>
  <c r="B1389" i="7"/>
  <c r="B1430" i="7"/>
  <c r="C243" i="7"/>
  <c r="C364" i="7"/>
  <c r="C245" i="7"/>
  <c r="B190" i="7"/>
  <c r="B611" i="7"/>
  <c r="B862" i="7"/>
  <c r="B1023" i="7"/>
  <c r="B1160" i="7"/>
  <c r="B1017" i="7"/>
  <c r="B289" i="7"/>
  <c r="B437" i="7"/>
  <c r="B760" i="7"/>
  <c r="B658" i="7"/>
  <c r="B935" i="7"/>
  <c r="B960" i="7"/>
  <c r="B849" i="7"/>
  <c r="B563" i="7"/>
  <c r="E1537" i="7"/>
  <c r="D1537" i="7"/>
  <c r="D1533" i="7"/>
  <c r="G1538" i="7"/>
  <c r="A1537" i="7"/>
  <c r="B181" i="7"/>
  <c r="B654" i="7"/>
  <c r="B448" i="7"/>
  <c r="B1349" i="7"/>
  <c r="B1278" i="7"/>
  <c r="B1199" i="7"/>
  <c r="B1112" i="7"/>
  <c r="B285" i="7"/>
  <c r="B758" i="7"/>
  <c r="B552" i="7"/>
  <c r="B1453" i="7"/>
  <c r="B1382" i="7"/>
  <c r="B1303" i="7"/>
  <c r="B1216" i="7"/>
  <c r="B213" i="7"/>
  <c r="B686" i="7"/>
  <c r="B480" i="7"/>
  <c r="B236" i="7"/>
  <c r="B613" i="7"/>
  <c r="B407" i="7"/>
  <c r="B556" i="7"/>
  <c r="B342" i="7"/>
  <c r="B815" i="7"/>
  <c r="B372" i="7"/>
  <c r="B837" i="7"/>
  <c r="B284" i="7"/>
  <c r="B749" i="7"/>
  <c r="B543" i="7"/>
  <c r="B703" i="7"/>
  <c r="B1461" i="7"/>
  <c r="C170" i="7"/>
  <c r="C315" i="7"/>
  <c r="C420" i="7"/>
  <c r="C301" i="7"/>
  <c r="B310" i="7"/>
  <c r="B826" i="7"/>
  <c r="B1046" i="7"/>
  <c r="B1079" i="7"/>
  <c r="B1232" i="7"/>
  <c r="B1169" i="7"/>
  <c r="B540" i="7"/>
  <c r="B376" i="7"/>
  <c r="C369" i="7"/>
  <c r="C410" i="7"/>
  <c r="B363" i="7"/>
  <c r="B451" i="7"/>
  <c r="C509" i="7"/>
  <c r="B806" i="7"/>
  <c r="B1117" i="7"/>
  <c r="B1302" i="7"/>
  <c r="B1335" i="7"/>
  <c r="B1472" i="7"/>
  <c r="B1377" i="7"/>
  <c r="B341" i="7"/>
  <c r="B696" i="7"/>
  <c r="B553" i="7"/>
  <c r="B879" i="7"/>
  <c r="B1032" i="7"/>
  <c r="B1001" i="7"/>
  <c r="B178" i="7"/>
  <c r="B767" i="7"/>
  <c r="B1501" i="7"/>
  <c r="C210" i="7"/>
  <c r="C371" i="7"/>
  <c r="C460" i="7"/>
  <c r="C341" i="7"/>
  <c r="B406" i="7"/>
  <c r="B893" i="7"/>
  <c r="B974" i="7"/>
  <c r="B1135" i="7"/>
  <c r="B1272" i="7"/>
  <c r="B1113" i="7"/>
  <c r="B891" i="7"/>
  <c r="B685" i="7"/>
  <c r="B314" i="7"/>
  <c r="B886" i="7"/>
  <c r="B1047" i="7"/>
  <c r="B1072" i="7"/>
  <c r="B945" i="7"/>
  <c r="B995" i="7"/>
  <c r="G1533" i="7"/>
  <c r="C1536" i="7"/>
  <c r="E1536" i="7"/>
  <c r="B1536" i="7"/>
  <c r="D1535" i="7"/>
  <c r="B373" i="7"/>
  <c r="B167" i="7"/>
  <c r="B640" i="7"/>
  <c r="C209" i="7"/>
  <c r="B1470" i="7"/>
  <c r="B1391" i="7"/>
  <c r="B1304" i="7"/>
  <c r="B477" i="7"/>
  <c r="B271" i="7"/>
  <c r="B744" i="7"/>
  <c r="C313" i="7"/>
  <c r="C242" i="7"/>
  <c r="B1495" i="7"/>
  <c r="B1408" i="7"/>
  <c r="B405" i="7"/>
  <c r="B199" i="7"/>
  <c r="B672" i="7"/>
  <c r="B340" i="7"/>
  <c r="B805" i="7"/>
  <c r="B599" i="7"/>
  <c r="B748" i="7"/>
  <c r="B534" i="7"/>
  <c r="B328" i="7"/>
  <c r="B564" i="7"/>
  <c r="B350" i="7"/>
  <c r="B476" i="7"/>
  <c r="B262" i="7"/>
  <c r="B508" i="7"/>
  <c r="B344" i="7"/>
  <c r="C353" i="7"/>
  <c r="C394" i="7"/>
  <c r="B322" i="7"/>
  <c r="B410" i="7"/>
  <c r="C493" i="7"/>
  <c r="B774" i="7"/>
  <c r="B1101" i="7"/>
  <c r="B1270" i="7"/>
  <c r="B1319" i="7"/>
  <c r="B1456" i="7"/>
  <c r="B1361" i="7"/>
  <c r="B317" i="7"/>
  <c r="B680" i="7"/>
  <c r="B507" i="7"/>
  <c r="B595" i="7"/>
  <c r="B888" i="7"/>
  <c r="B889" i="7"/>
  <c r="B1100" i="7"/>
  <c r="B575" i="7"/>
  <c r="B1373" i="7"/>
  <c r="B1526" i="7"/>
  <c r="C227" i="7"/>
  <c r="C348" i="7"/>
  <c r="C229" i="7"/>
  <c r="B813" i="7"/>
  <c r="B547" i="7"/>
  <c r="B958" i="7"/>
  <c r="B1119" i="7"/>
  <c r="B1256" i="7"/>
  <c r="B1193" i="7"/>
  <c r="B604" i="7"/>
  <c r="B416" i="7"/>
  <c r="C281" i="7"/>
  <c r="C450" i="7"/>
  <c r="B427" i="7"/>
  <c r="B515" i="7"/>
  <c r="B331" i="7"/>
  <c r="B191" i="7"/>
  <c r="B1141" i="7"/>
  <c r="B1214" i="7"/>
  <c r="B1359" i="7"/>
  <c r="B1496" i="7"/>
  <c r="B1305" i="7"/>
  <c r="B179" i="7"/>
  <c r="B478" i="7"/>
  <c r="B1532" i="7"/>
  <c r="H1533" i="7"/>
  <c r="G1532" i="7"/>
  <c r="C1535" i="7"/>
  <c r="A1536" i="7"/>
  <c r="B469" i="7"/>
  <c r="B263" i="7"/>
  <c r="B736" i="7"/>
  <c r="C305" i="7"/>
  <c r="C234" i="7"/>
  <c r="B1487" i="7"/>
  <c r="B1400" i="7"/>
  <c r="B573" i="7"/>
  <c r="B367" i="7"/>
  <c r="B840" i="7"/>
  <c r="C409" i="7"/>
  <c r="C338" i="7"/>
  <c r="C259" i="7"/>
  <c r="B1504" i="7"/>
  <c r="B501" i="7"/>
  <c r="B295" i="7"/>
  <c r="B768" i="7"/>
  <c r="B436" i="7"/>
  <c r="B222" i="7"/>
  <c r="B695" i="7"/>
  <c r="B844" i="7"/>
  <c r="B630" i="7"/>
  <c r="B424" i="7"/>
  <c r="B660" i="7"/>
  <c r="B446" i="7"/>
  <c r="B572" i="7"/>
  <c r="B358" i="7"/>
  <c r="B732" i="7"/>
  <c r="B504" i="7"/>
  <c r="C465" i="7"/>
  <c r="B211" i="7"/>
  <c r="B619" i="7"/>
  <c r="B666" i="7"/>
  <c r="B737" i="7"/>
  <c r="B319" i="7"/>
  <c r="B1221" i="7"/>
  <c r="B1398" i="7"/>
  <c r="B1431" i="7"/>
  <c r="C236" i="7"/>
  <c r="B1457" i="7"/>
  <c r="B533" i="7"/>
  <c r="B816" i="7"/>
  <c r="B809" i="7"/>
  <c r="B863" i="7"/>
  <c r="B1000" i="7"/>
  <c r="B985" i="7"/>
  <c r="B1356" i="7"/>
  <c r="B735" i="7"/>
  <c r="B1485" i="7"/>
  <c r="C194" i="7"/>
  <c r="C339" i="7"/>
  <c r="C444" i="7"/>
  <c r="C325" i="7"/>
  <c r="B382" i="7"/>
  <c r="B861" i="7"/>
  <c r="B1070" i="7"/>
  <c r="B1231" i="7"/>
  <c r="B1368" i="7"/>
  <c r="B1289" i="7"/>
  <c r="B828" i="7"/>
  <c r="B568" i="7"/>
  <c r="C393" i="7"/>
  <c r="B362" i="7"/>
  <c r="B729" i="7"/>
  <c r="B771" i="7"/>
  <c r="B908" i="7"/>
  <c r="B415" i="7"/>
  <c r="B1277" i="7"/>
  <c r="B1326" i="7"/>
  <c r="B1471" i="7"/>
  <c r="C180" i="7"/>
  <c r="B1401" i="7"/>
  <c r="B851" i="7"/>
  <c r="B694" i="7"/>
  <c r="B1045" i="7"/>
  <c r="B1238" i="7"/>
  <c r="B1383" i="7"/>
  <c r="B1424" i="7"/>
  <c r="B1233" i="7"/>
  <c r="B452" i="7"/>
  <c r="C1532" i="7"/>
  <c r="B1535" i="7"/>
  <c r="A1535" i="7"/>
  <c r="C1538" i="7"/>
  <c r="H1536" i="7"/>
  <c r="B565" i="7"/>
  <c r="B359" i="7"/>
  <c r="B832" i="7"/>
  <c r="C401" i="7"/>
  <c r="C330" i="7"/>
  <c r="C251" i="7"/>
  <c r="B204" i="7"/>
  <c r="B669" i="7"/>
  <c r="B463" i="7"/>
  <c r="B419" i="7"/>
  <c r="B233" i="7"/>
  <c r="C434" i="7"/>
  <c r="C355" i="7"/>
  <c r="C172" i="7"/>
  <c r="B597" i="7"/>
  <c r="B391" i="7"/>
  <c r="B227" i="7"/>
  <c r="B532" i="7"/>
  <c r="B318" i="7"/>
  <c r="B791" i="7"/>
  <c r="B253" i="7"/>
  <c r="B726" i="7"/>
  <c r="B520" i="7"/>
  <c r="B756" i="7"/>
  <c r="B542" i="7"/>
  <c r="B668" i="7"/>
  <c r="B454" i="7"/>
  <c r="B293" i="7"/>
  <c r="B656" i="7"/>
  <c r="B425" i="7"/>
  <c r="B554" i="7"/>
  <c r="B872" i="7"/>
  <c r="B873" i="7"/>
  <c r="B1059" i="7"/>
  <c r="B535" i="7"/>
  <c r="B1341" i="7"/>
  <c r="B1510" i="7"/>
  <c r="C211" i="7"/>
  <c r="C332" i="7"/>
  <c r="C213" i="7"/>
  <c r="B781" i="7"/>
  <c r="B506" i="7"/>
  <c r="B942" i="7"/>
  <c r="B975" i="7"/>
  <c r="B1128" i="7"/>
  <c r="B1081" i="7"/>
  <c r="B332" i="7"/>
  <c r="B224" i="7"/>
  <c r="C265" i="7"/>
  <c r="C306" i="7"/>
  <c r="C467" i="7"/>
  <c r="B218" i="7"/>
  <c r="C421" i="7"/>
  <c r="B598" i="7"/>
  <c r="B1005" i="7"/>
  <c r="B1198" i="7"/>
  <c r="B1343" i="7"/>
  <c r="B1480" i="7"/>
  <c r="B1385" i="7"/>
  <c r="B389" i="7"/>
  <c r="B704" i="7"/>
  <c r="B274" i="7"/>
  <c r="B659" i="7"/>
  <c r="B912" i="7"/>
  <c r="B913" i="7"/>
  <c r="B1164" i="7"/>
  <c r="B615" i="7"/>
  <c r="B1397" i="7"/>
  <c r="B1438" i="7"/>
  <c r="C267" i="7"/>
  <c r="C276" i="7"/>
  <c r="B1497" i="7"/>
  <c r="B1107" i="7"/>
  <c r="B231" i="7"/>
  <c r="B1181" i="7"/>
  <c r="B1350" i="7"/>
  <c r="B1511" i="7"/>
  <c r="B1528" i="7"/>
  <c r="B1329" i="7"/>
  <c r="B700" i="7"/>
  <c r="B292" i="7"/>
  <c r="C443" i="7"/>
  <c r="B531" i="7"/>
  <c r="B724" i="7"/>
  <c r="B261" i="7"/>
  <c r="B926" i="7"/>
  <c r="C249" i="7"/>
  <c r="B981" i="7"/>
  <c r="B536" i="7"/>
  <c r="B383" i="7"/>
  <c r="B821" i="7"/>
  <c r="B404" i="7"/>
  <c r="C349" i="7"/>
  <c r="B1271" i="7"/>
  <c r="B486" i="7"/>
  <c r="B933" i="7"/>
  <c r="B1134" i="7"/>
  <c r="B1279" i="7"/>
  <c r="B1320" i="7"/>
  <c r="B1241" i="7"/>
  <c r="B500" i="7"/>
  <c r="B336" i="7"/>
  <c r="C345" i="7"/>
  <c r="B193" i="7"/>
  <c r="B258" i="7"/>
  <c r="B387" i="7"/>
  <c r="B1392" i="7"/>
  <c r="C302" i="7"/>
  <c r="B1178" i="7"/>
  <c r="B609" i="7"/>
  <c r="D337" i="7"/>
  <c r="D226" i="7"/>
  <c r="C1447" i="7"/>
  <c r="B491" i="7"/>
  <c r="B1468" i="7"/>
  <c r="B940" i="7"/>
  <c r="C597" i="7"/>
  <c r="C1485" i="7"/>
  <c r="C1374" i="7"/>
  <c r="C1263" i="7"/>
  <c r="C1328" i="7"/>
  <c r="C1297" i="7"/>
  <c r="C1276" i="7"/>
  <c r="D786" i="7"/>
  <c r="D328" i="7"/>
  <c r="D813" i="7"/>
  <c r="D333" i="7"/>
  <c r="B770" i="7"/>
  <c r="B1491" i="7"/>
  <c r="B963" i="7"/>
  <c r="C605" i="7"/>
  <c r="C1493" i="7"/>
  <c r="C1478" i="7"/>
  <c r="B937" i="7"/>
  <c r="C640" i="7"/>
  <c r="C327" i="7"/>
  <c r="C598" i="7"/>
  <c r="B651" i="7"/>
  <c r="D250" i="7"/>
  <c r="B1263" i="7"/>
  <c r="C384" i="7"/>
  <c r="B1260" i="7"/>
  <c r="B1098" i="7"/>
  <c r="D177" i="7"/>
  <c r="B631" i="7"/>
  <c r="C485" i="7"/>
  <c r="B1236" i="7"/>
  <c r="B1012" i="7"/>
  <c r="C1037" i="7"/>
  <c r="C830" i="7"/>
  <c r="C425" i="7"/>
  <c r="B1339" i="7"/>
  <c r="C561" i="7"/>
  <c r="B428" i="7"/>
  <c r="B972" i="7"/>
  <c r="B1090" i="7"/>
  <c r="B219" i="7"/>
  <c r="B1217" i="7"/>
  <c r="B185" i="7"/>
  <c r="C490" i="7"/>
  <c r="B1259" i="7"/>
  <c r="D233" i="7"/>
  <c r="C951" i="7"/>
  <c r="C1096" i="7"/>
  <c r="B996" i="7"/>
  <c r="C1165" i="7"/>
  <c r="C847" i="7"/>
  <c r="C1104" i="7"/>
  <c r="C1177" i="7"/>
  <c r="B673" i="7"/>
  <c r="C934" i="7"/>
  <c r="C1319" i="7"/>
  <c r="B1052" i="7"/>
  <c r="B825" i="7"/>
  <c r="C866" i="7"/>
  <c r="D371" i="7"/>
  <c r="B731" i="7"/>
  <c r="C1134" i="7"/>
  <c r="C1439" i="7"/>
  <c r="C400" i="7"/>
  <c r="C165" i="7"/>
  <c r="C1429" i="7"/>
  <c r="C751" i="7"/>
  <c r="C1024" i="7"/>
  <c r="C1209" i="7"/>
  <c r="B866" i="7"/>
  <c r="C1150" i="7"/>
  <c r="C1471" i="7"/>
  <c r="B277" i="7"/>
  <c r="B757" i="7"/>
  <c r="B396" i="7"/>
  <c r="B299" i="7"/>
  <c r="B510" i="7"/>
  <c r="B734" i="7"/>
  <c r="B959" i="7"/>
  <c r="C290" i="7"/>
  <c r="B1166" i="7"/>
  <c r="B187" i="7"/>
  <c r="B1245" i="7"/>
  <c r="B570" i="7"/>
  <c r="B272" i="7"/>
  <c r="C192" i="7"/>
  <c r="B1184" i="7"/>
  <c r="B279" i="7"/>
  <c r="B1197" i="7"/>
  <c r="B1358" i="7"/>
  <c r="B1519" i="7"/>
  <c r="C212" i="7"/>
  <c r="B1433" i="7"/>
  <c r="B245" i="7"/>
  <c r="B632" i="7"/>
  <c r="B402" i="7"/>
  <c r="B833" i="7"/>
  <c r="B864" i="7"/>
  <c r="B865" i="7"/>
  <c r="B817" i="7"/>
  <c r="C616" i="7"/>
  <c r="C263" i="7"/>
  <c r="C709" i="7"/>
  <c r="C519" i="7"/>
  <c r="B1372" i="7"/>
  <c r="C311" i="7"/>
  <c r="C196" i="7"/>
  <c r="C528" i="7"/>
  <c r="B1452" i="7"/>
  <c r="C167" i="7"/>
  <c r="B202" i="7"/>
  <c r="D234" i="7"/>
  <c r="C1455" i="7"/>
  <c r="C1520" i="7"/>
  <c r="C1489" i="7"/>
  <c r="C1468" i="7"/>
  <c r="C835" i="7"/>
  <c r="D524" i="7"/>
  <c r="C914" i="7"/>
  <c r="D527" i="7"/>
  <c r="C284" i="7"/>
  <c r="C536" i="7"/>
  <c r="B1475" i="7"/>
  <c r="C208" i="7"/>
  <c r="B434" i="7"/>
  <c r="B413" i="7"/>
  <c r="C453" i="7"/>
  <c r="B939" i="7"/>
  <c r="C626" i="7"/>
  <c r="C829" i="7"/>
  <c r="C567" i="7"/>
  <c r="B1508" i="7"/>
  <c r="C380" i="7"/>
  <c r="C648" i="7"/>
  <c r="C350" i="7"/>
  <c r="C614" i="7"/>
  <c r="B859" i="7"/>
  <c r="B1405" i="7"/>
  <c r="B978" i="7"/>
  <c r="C326" i="7"/>
  <c r="B1524" i="7"/>
  <c r="C1229" i="7"/>
  <c r="C1022" i="7"/>
  <c r="B903" i="7"/>
  <c r="B1084" i="7"/>
  <c r="B858" i="7"/>
  <c r="B296" i="7"/>
  <c r="B1083" i="7"/>
  <c r="C175" i="7"/>
  <c r="B670" i="7"/>
  <c r="B1036" i="7"/>
  <c r="B1108" i="7"/>
  <c r="B267" i="7"/>
  <c r="B1347" i="7"/>
  <c r="C675" i="7"/>
  <c r="C1191" i="7"/>
  <c r="C1304" i="7"/>
  <c r="C576" i="7"/>
  <c r="F1532" i="7"/>
  <c r="B750" i="7"/>
  <c r="B381" i="7"/>
  <c r="B1312" i="7"/>
  <c r="B503" i="7"/>
  <c r="B380" i="7"/>
  <c r="C427" i="7"/>
  <c r="B1191" i="7"/>
  <c r="B298" i="7"/>
  <c r="B1414" i="7"/>
  <c r="B846" i="7"/>
  <c r="C169" i="7"/>
  <c r="B1021" i="7"/>
  <c r="B230" i="7"/>
  <c r="B1296" i="7"/>
  <c r="B495" i="7"/>
  <c r="B1317" i="7"/>
  <c r="B1486" i="7"/>
  <c r="C187" i="7"/>
  <c r="C308" i="7"/>
  <c r="B1529" i="7"/>
  <c r="B493" i="7"/>
  <c r="B784" i="7"/>
  <c r="B699" i="7"/>
  <c r="B951" i="7"/>
  <c r="B976" i="7"/>
  <c r="B644" i="7"/>
  <c r="B1225" i="7"/>
  <c r="B243" i="7"/>
  <c r="C503" i="7"/>
  <c r="C805" i="7"/>
  <c r="C693" i="7"/>
  <c r="C479" i="7"/>
  <c r="C620" i="7"/>
  <c r="B835" i="7"/>
  <c r="C624" i="7"/>
  <c r="C286" i="7"/>
  <c r="C566" i="7"/>
  <c r="B1507" i="7"/>
  <c r="D330" i="7"/>
  <c r="B1138" i="7"/>
  <c r="B715" i="7"/>
  <c r="D245" i="7"/>
  <c r="D232" i="7"/>
  <c r="C1219" i="7"/>
  <c r="B1074" i="7"/>
  <c r="C1298" i="7"/>
  <c r="C698" i="7"/>
  <c r="B929" i="7"/>
  <c r="C632" i="7"/>
  <c r="C304" i="7"/>
  <c r="C582" i="7"/>
  <c r="C551" i="7"/>
  <c r="B423" i="7"/>
  <c r="B347" i="7"/>
  <c r="B1195" i="7"/>
  <c r="B499" i="7"/>
  <c r="C925" i="7"/>
  <c r="C718" i="7"/>
  <c r="C539" i="7"/>
  <c r="B961" i="7"/>
  <c r="B475" i="7"/>
  <c r="C538" i="7"/>
  <c r="C741" i="7"/>
  <c r="C214" i="7"/>
  <c r="C185" i="7"/>
  <c r="B1252" i="7"/>
  <c r="C529" i="7"/>
  <c r="C335" i="7"/>
  <c r="C1325" i="7"/>
  <c r="C1118" i="7"/>
  <c r="C395" i="7"/>
  <c r="B1386" i="7"/>
  <c r="B1114" i="7"/>
  <c r="B917" i="7"/>
  <c r="H1537" i="7"/>
  <c r="B551" i="7"/>
  <c r="B182" i="7"/>
  <c r="B324" i="7"/>
  <c r="B304" i="7"/>
  <c r="B173" i="7"/>
  <c r="B1096" i="7"/>
  <c r="C435" i="7"/>
  <c r="B1215" i="7"/>
  <c r="B321" i="7"/>
  <c r="B1422" i="7"/>
  <c r="B854" i="7"/>
  <c r="C177" i="7"/>
  <c r="B663" i="7"/>
  <c r="C300" i="7"/>
  <c r="B671" i="7"/>
  <c r="B1429" i="7"/>
  <c r="C266" i="7"/>
  <c r="C299" i="7"/>
  <c r="C404" i="7"/>
  <c r="C189" i="7"/>
  <c r="B717" i="7"/>
  <c r="B378" i="7"/>
  <c r="B918" i="7"/>
  <c r="B1063" i="7"/>
  <c r="B1088" i="7"/>
  <c r="B678" i="7"/>
  <c r="C357" i="7"/>
  <c r="B875" i="7"/>
  <c r="C602" i="7"/>
  <c r="C901" i="7"/>
  <c r="C790" i="7"/>
  <c r="C676" i="7"/>
  <c r="B197" i="7"/>
  <c r="B1249" i="7"/>
  <c r="B306" i="7"/>
  <c r="C513" i="7"/>
  <c r="C717" i="7"/>
  <c r="C535" i="7"/>
  <c r="B1426" i="7"/>
  <c r="C352" i="7"/>
  <c r="C190" i="7"/>
  <c r="B1499" i="7"/>
  <c r="C738" i="7"/>
  <c r="D174" i="7"/>
  <c r="C843" i="7"/>
  <c r="D212" i="7"/>
  <c r="B205" i="7"/>
  <c r="B1313" i="7"/>
  <c r="B354" i="7"/>
  <c r="C522" i="7"/>
  <c r="C725" i="7"/>
  <c r="C710" i="7"/>
  <c r="B728" i="7"/>
  <c r="B932" i="7"/>
  <c r="B1451" i="7"/>
  <c r="B971" i="7"/>
  <c r="C1021" i="7"/>
  <c r="C814" i="7"/>
  <c r="C703" i="7"/>
  <c r="B1345" i="7"/>
  <c r="B962" i="7"/>
  <c r="C634" i="7"/>
  <c r="C837" i="7"/>
  <c r="C583" i="7"/>
  <c r="B982" i="7"/>
  <c r="B522" i="7"/>
  <c r="C625" i="7"/>
  <c r="C533" i="7"/>
  <c r="C1421" i="7"/>
  <c r="C1214" i="7"/>
  <c r="B1176" i="7"/>
  <c r="C238" i="7"/>
  <c r="B1370" i="7"/>
  <c r="C433" i="7"/>
  <c r="B802" i="7"/>
  <c r="C569" i="7"/>
  <c r="B1029" i="7"/>
  <c r="B1106" i="7"/>
  <c r="H1535" i="7"/>
  <c r="B544" i="7"/>
  <c r="B175" i="7"/>
  <c r="B309" i="7"/>
  <c r="B652" i="7"/>
  <c r="B166" i="7"/>
  <c r="C516" i="7"/>
  <c r="B1344" i="7"/>
  <c r="B665" i="7"/>
  <c r="B1447" i="7"/>
  <c r="B991" i="7"/>
  <c r="C322" i="7"/>
  <c r="B1102" i="7"/>
  <c r="B721" i="7"/>
  <c r="B1041" i="7"/>
  <c r="B831" i="7"/>
  <c r="C225" i="7"/>
  <c r="C378" i="7"/>
  <c r="C411" i="7"/>
  <c r="C500" i="7"/>
  <c r="C285" i="7"/>
  <c r="B286" i="7"/>
  <c r="B785" i="7"/>
  <c r="B1030" i="7"/>
  <c r="B1175" i="7"/>
  <c r="B1200" i="7"/>
  <c r="B464" i="7"/>
  <c r="B1210" i="7"/>
  <c r="B1131" i="7"/>
  <c r="B330" i="7"/>
  <c r="C997" i="7"/>
  <c r="C886" i="7"/>
  <c r="C775" i="7"/>
  <c r="B207" i="7"/>
  <c r="C365" i="7"/>
  <c r="B898" i="7"/>
  <c r="C610" i="7"/>
  <c r="C813" i="7"/>
  <c r="C702" i="7"/>
  <c r="C504" i="7"/>
  <c r="C636" i="7"/>
  <c r="C574" i="7"/>
  <c r="C532" i="7"/>
  <c r="C1122" i="7"/>
  <c r="D327" i="7"/>
  <c r="C1227" i="7"/>
  <c r="D350" i="7"/>
  <c r="B223" i="7"/>
  <c r="C389" i="7"/>
  <c r="B916" i="7"/>
  <c r="C618" i="7"/>
  <c r="C821" i="7"/>
  <c r="C806" i="7"/>
  <c r="B1293" i="7"/>
  <c r="B1211" i="7"/>
  <c r="C280" i="7"/>
  <c r="B1227" i="7"/>
  <c r="C1117" i="7"/>
  <c r="C910" i="7"/>
  <c r="C799" i="7"/>
  <c r="C461" i="7"/>
  <c r="B1218" i="7"/>
  <c r="B562" i="7"/>
  <c r="C933" i="7"/>
  <c r="C726" i="7"/>
  <c r="B403" i="7"/>
  <c r="B1002" i="7"/>
  <c r="B650" i="7"/>
  <c r="C629" i="7"/>
  <c r="C1517" i="7"/>
  <c r="C1310" i="7"/>
  <c r="B323" i="7"/>
  <c r="C488" i="7"/>
  <c r="C199" i="7"/>
  <c r="B1230" i="7"/>
  <c r="B1130" i="7"/>
  <c r="B249" i="7"/>
  <c r="B315" i="7"/>
  <c r="B1380" i="7"/>
  <c r="C454" i="7"/>
  <c r="B639" i="7"/>
  <c r="C422" i="7"/>
  <c r="C1254" i="7"/>
  <c r="C1527" i="7"/>
  <c r="B883" i="7"/>
  <c r="C1537" i="7"/>
  <c r="B657" i="7"/>
  <c r="B655" i="7"/>
  <c r="B789" i="7"/>
  <c r="B445" i="7"/>
  <c r="B646" i="7"/>
  <c r="B1065" i="7"/>
  <c r="B177" i="7"/>
  <c r="B1352" i="7"/>
  <c r="B683" i="7"/>
  <c r="C235" i="7"/>
  <c r="B999" i="7"/>
  <c r="C346" i="7"/>
  <c r="B925" i="7"/>
  <c r="B1137" i="7"/>
  <c r="B320" i="7"/>
  <c r="C337" i="7"/>
  <c r="B170" i="7"/>
  <c r="B235" i="7"/>
  <c r="B369" i="7"/>
  <c r="C381" i="7"/>
  <c r="B502" i="7"/>
  <c r="B941" i="7"/>
  <c r="B1142" i="7"/>
  <c r="B1287" i="7"/>
  <c r="B1328" i="7"/>
  <c r="B1037" i="7"/>
  <c r="B850" i="7"/>
  <c r="B1387" i="7"/>
  <c r="B907" i="7"/>
  <c r="C1093" i="7"/>
  <c r="C982" i="7"/>
  <c r="C871" i="7"/>
  <c r="B592" i="7"/>
  <c r="B1228" i="7"/>
  <c r="B1154" i="7"/>
  <c r="B393" i="7"/>
  <c r="C909" i="7"/>
  <c r="C798" i="7"/>
  <c r="C685" i="7"/>
  <c r="C752" i="7"/>
  <c r="C721" i="7"/>
  <c r="C700" i="7"/>
  <c r="C1506" i="7"/>
  <c r="D427" i="7"/>
  <c r="D179" i="7"/>
  <c r="D446" i="7"/>
  <c r="B600" i="7"/>
  <c r="B1292" i="7"/>
  <c r="B1172" i="7"/>
  <c r="B441" i="7"/>
  <c r="C917" i="7"/>
  <c r="C902" i="7"/>
  <c r="B870" i="7"/>
  <c r="B411" i="7"/>
  <c r="C512" i="7"/>
  <c r="B1483" i="7"/>
  <c r="C1213" i="7"/>
  <c r="C1006" i="7"/>
  <c r="B429" i="7"/>
  <c r="B395" i="7"/>
  <c r="B1474" i="7"/>
  <c r="B994" i="7"/>
  <c r="C1029" i="7"/>
  <c r="C822" i="7"/>
  <c r="B1367" i="7"/>
  <c r="B1276" i="7"/>
  <c r="B1027" i="7"/>
  <c r="B1180" i="7"/>
  <c r="D185" i="7"/>
  <c r="C1406" i="7"/>
  <c r="B1129" i="7"/>
  <c r="C592" i="7"/>
  <c r="C455" i="7"/>
  <c r="B1537" i="7"/>
  <c r="B466" i="7"/>
  <c r="B877" i="7"/>
  <c r="B583" i="7"/>
  <c r="B239" i="7"/>
  <c r="B725" i="7"/>
  <c r="B308" i="7"/>
  <c r="C405" i="7"/>
  <c r="B1273" i="7"/>
  <c r="B730" i="7"/>
  <c r="C356" i="7"/>
  <c r="B1152" i="7"/>
  <c r="C491" i="7"/>
  <c r="B1014" i="7"/>
  <c r="B1251" i="7"/>
  <c r="B624" i="7"/>
  <c r="B379" i="7"/>
  <c r="B810" i="7"/>
  <c r="B856" i="7"/>
  <c r="B857" i="7"/>
  <c r="B626" i="7"/>
  <c r="B287" i="7"/>
  <c r="B1205" i="7"/>
  <c r="B1366" i="7"/>
  <c r="B1527" i="7"/>
  <c r="C220" i="7"/>
  <c r="B1342" i="7"/>
  <c r="B242" i="7"/>
  <c r="C472" i="7"/>
  <c r="B1419" i="7"/>
  <c r="C1285" i="7"/>
  <c r="C1174" i="7"/>
  <c r="C1063" i="7"/>
  <c r="B617" i="7"/>
  <c r="B1170" i="7"/>
  <c r="C239" i="7"/>
  <c r="B1186" i="7"/>
  <c r="C1101" i="7"/>
  <c r="C990" i="7"/>
  <c r="C879" i="7"/>
  <c r="C944" i="7"/>
  <c r="C913" i="7"/>
  <c r="C892" i="7"/>
  <c r="D402" i="7"/>
  <c r="B988" i="7"/>
  <c r="B1533" i="7"/>
  <c r="B1374" i="7"/>
  <c r="C217" i="7"/>
  <c r="B576" i="7"/>
  <c r="B232" i="7"/>
  <c r="B184" i="7"/>
  <c r="B526" i="7"/>
  <c r="B788" i="7"/>
  <c r="B843" i="7"/>
  <c r="B1473" i="7"/>
  <c r="B1097" i="7"/>
  <c r="B259" i="7"/>
  <c r="B1384" i="7"/>
  <c r="B1126" i="7"/>
  <c r="B220" i="7"/>
  <c r="B776" i="7"/>
  <c r="B681" i="7"/>
  <c r="B943" i="7"/>
  <c r="B968" i="7"/>
  <c r="B953" i="7"/>
  <c r="B1018" i="7"/>
  <c r="B511" i="7"/>
  <c r="B1325" i="7"/>
  <c r="B1494" i="7"/>
  <c r="C195" i="7"/>
  <c r="C316" i="7"/>
  <c r="C250" i="7"/>
  <c r="B892" i="7"/>
  <c r="C585" i="7"/>
  <c r="A1533" i="7"/>
  <c r="B257" i="7"/>
  <c r="B745" i="7"/>
  <c r="B739" i="7"/>
  <c r="B712" i="7"/>
  <c r="B442" i="7"/>
  <c r="B200" i="7"/>
  <c r="B574" i="7"/>
  <c r="B796" i="7"/>
  <c r="B867" i="7"/>
  <c r="C237" i="7"/>
  <c r="B1105" i="7"/>
  <c r="C468" i="7"/>
  <c r="C258" i="7"/>
  <c r="B237" i="7"/>
  <c r="B355" i="7"/>
  <c r="B910" i="7"/>
  <c r="B1055" i="7"/>
  <c r="B1080" i="7"/>
  <c r="B1049" i="7"/>
  <c r="B1274" i="7"/>
  <c r="B687" i="7"/>
  <c r="B1437" i="7"/>
  <c r="C274" i="7"/>
  <c r="C307" i="7"/>
  <c r="C412" i="7"/>
  <c r="B1039" i="7"/>
  <c r="B1171" i="7"/>
  <c r="B370" i="7"/>
  <c r="C481" i="7"/>
  <c r="C1477" i="7"/>
  <c r="C1366" i="7"/>
  <c r="C1255" i="7"/>
  <c r="C354" i="7"/>
  <c r="B915" i="7"/>
  <c r="C593" i="7"/>
  <c r="C248" i="7"/>
  <c r="C1293" i="7"/>
  <c r="C1182" i="7"/>
  <c r="C1071" i="7"/>
  <c r="C1136" i="7"/>
  <c r="C1105" i="7"/>
  <c r="C1084" i="7"/>
  <c r="D594" i="7"/>
  <c r="C1226" i="7"/>
  <c r="D621" i="7"/>
  <c r="C1267" i="7"/>
  <c r="C362" i="7"/>
  <c r="B938" i="7"/>
  <c r="C601" i="7"/>
  <c r="C271" i="7"/>
  <c r="C1301" i="7"/>
  <c r="C1286" i="7"/>
  <c r="B1520" i="7"/>
  <c r="C366" i="7"/>
  <c r="B1242" i="7"/>
  <c r="B1011" i="7"/>
  <c r="D169" i="7"/>
  <c r="C1390" i="7"/>
  <c r="B878" i="7"/>
  <c r="B979" i="7"/>
  <c r="B587" i="7"/>
  <c r="C525" i="7"/>
  <c r="C1413" i="7"/>
  <c r="C1206" i="7"/>
  <c r="F1536" i="7"/>
  <c r="B1295" i="7"/>
  <c r="B1478" i="7"/>
  <c r="B244" i="7"/>
  <c r="B468" i="7"/>
  <c r="C241" i="7"/>
  <c r="B957" i="7"/>
  <c r="B528" i="7"/>
  <c r="B375" i="7"/>
  <c r="B589" i="7"/>
  <c r="B356" i="7"/>
  <c r="C437" i="7"/>
  <c r="B1209" i="7"/>
  <c r="B1159" i="7"/>
  <c r="B485" i="7"/>
  <c r="B762" i="7"/>
  <c r="B1022" i="7"/>
  <c r="B1167" i="7"/>
  <c r="B1192" i="7"/>
  <c r="B1145" i="7"/>
  <c r="B252" i="7"/>
  <c r="B176" i="7"/>
  <c r="C233" i="7"/>
  <c r="C386" i="7"/>
  <c r="C419" i="7"/>
  <c r="C508" i="7"/>
  <c r="B473" i="7"/>
  <c r="B1450" i="7"/>
  <c r="B922" i="7"/>
  <c r="C589" i="7"/>
  <c r="D241" i="7"/>
  <c r="C1462" i="7"/>
  <c r="C1351" i="7"/>
  <c r="B1143" i="7"/>
  <c r="B1194" i="7"/>
  <c r="B418" i="7"/>
  <c r="C496" i="7"/>
  <c r="C1389" i="7"/>
  <c r="C1278" i="7"/>
  <c r="C1167" i="7"/>
  <c r="C1232" i="7"/>
  <c r="C1201" i="7"/>
  <c r="C1180" i="7"/>
  <c r="D690" i="7"/>
  <c r="D175" i="7"/>
  <c r="D717" i="7"/>
  <c r="D182" i="7"/>
  <c r="B1151" i="7"/>
  <c r="B1212" i="7"/>
  <c r="B481" i="7"/>
  <c r="C506" i="7"/>
  <c r="C1397" i="7"/>
  <c r="C1382" i="7"/>
  <c r="C292" i="7"/>
  <c r="C544" i="7"/>
  <c r="B1498" i="7"/>
  <c r="B260" i="7"/>
  <c r="C483" i="7"/>
  <c r="B467" i="7"/>
  <c r="B1254" i="7"/>
  <c r="B1163" i="7"/>
  <c r="B1149" i="7"/>
  <c r="C1005" i="7"/>
  <c r="C817" i="7"/>
  <c r="D331" i="7"/>
  <c r="B914" i="7"/>
  <c r="C1013" i="7"/>
  <c r="B956" i="7"/>
  <c r="C733" i="7"/>
  <c r="B752" i="7"/>
  <c r="B1004" i="7"/>
  <c r="C918" i="7"/>
  <c r="C560" i="7"/>
  <c r="C630" i="7"/>
  <c r="B412" i="7"/>
  <c r="B755" i="7"/>
  <c r="B171" i="7"/>
  <c r="B818" i="7"/>
  <c r="C226" i="7"/>
  <c r="C608" i="7"/>
  <c r="B1140" i="7"/>
  <c r="C773" i="7"/>
  <c r="C839" i="7"/>
  <c r="C1512" i="7"/>
  <c r="C440" i="7"/>
  <c r="D274" i="7"/>
  <c r="C792" i="7"/>
  <c r="C969" i="7"/>
  <c r="C641" i="7"/>
  <c r="C1126" i="7"/>
  <c r="B1220" i="7"/>
  <c r="C769" i="7"/>
  <c r="C852" i="7"/>
  <c r="D570" i="7"/>
  <c r="B1057" i="7"/>
  <c r="C1373" i="7"/>
  <c r="C991" i="7"/>
  <c r="C1336" i="7"/>
  <c r="B634" i="7"/>
  <c r="C1237" i="7"/>
  <c r="C887" i="7"/>
  <c r="C1240" i="7"/>
  <c r="C1521" i="7"/>
  <c r="C861" i="7"/>
  <c r="C603" i="7"/>
  <c r="C1032" i="7"/>
  <c r="B1459" i="7"/>
  <c r="B1110" i="7"/>
  <c r="C637" i="7"/>
  <c r="C1398" i="7"/>
  <c r="B265" i="7"/>
  <c r="C558" i="7"/>
  <c r="C570" i="7"/>
  <c r="C647" i="7"/>
  <c r="C1175" i="7"/>
  <c r="B1044" i="7"/>
  <c r="D225" i="7"/>
  <c r="C184" i="7"/>
  <c r="C905" i="7"/>
  <c r="C1292" i="7"/>
  <c r="C995" i="7"/>
  <c r="C907" i="7"/>
  <c r="C1023" i="7"/>
  <c r="B1412" i="7"/>
  <c r="C1090" i="7"/>
  <c r="C559" i="7"/>
  <c r="D693" i="7"/>
  <c r="D535" i="7"/>
  <c r="D887" i="7"/>
  <c r="D734" i="7"/>
  <c r="D929" i="7"/>
  <c r="D994" i="7"/>
  <c r="D1443" i="7"/>
  <c r="D1028" i="7"/>
  <c r="E344" i="7"/>
  <c r="E522" i="7"/>
  <c r="C635" i="7"/>
  <c r="C1377" i="7"/>
  <c r="C668" i="7"/>
  <c r="C581" i="7"/>
  <c r="C486" i="7"/>
  <c r="C1204" i="7"/>
  <c r="C282" i="7"/>
  <c r="B622" i="7"/>
  <c r="B1407" i="7"/>
  <c r="B490" i="7"/>
  <c r="C230" i="7"/>
  <c r="B1446" i="7"/>
  <c r="C1197" i="7"/>
  <c r="C1009" i="7"/>
  <c r="D429" i="7"/>
  <c r="B1188" i="7"/>
  <c r="C1109" i="7"/>
  <c r="B1235" i="7"/>
  <c r="C1309" i="7"/>
  <c r="B1301" i="7"/>
  <c r="B1516" i="7"/>
  <c r="C1014" i="7"/>
  <c r="C656" i="7"/>
  <c r="C749" i="7"/>
  <c r="B422" i="7"/>
  <c r="B1067" i="7"/>
  <c r="B1280" i="7"/>
  <c r="B1346" i="7"/>
  <c r="B1031" i="7"/>
  <c r="B852" i="7"/>
  <c r="B1503" i="7"/>
  <c r="C965" i="7"/>
  <c r="C1079" i="7"/>
  <c r="C272" i="7"/>
  <c r="C669" i="7"/>
  <c r="B1116" i="7"/>
  <c r="C896" i="7"/>
  <c r="C1073" i="7"/>
  <c r="B1396" i="7"/>
  <c r="C1302" i="7"/>
  <c r="C480" i="7"/>
  <c r="C873" i="7"/>
  <c r="C956" i="7"/>
  <c r="D674" i="7"/>
  <c r="B1042" i="7"/>
  <c r="D305" i="7"/>
  <c r="C1103" i="7"/>
  <c r="C1440" i="7"/>
  <c r="B1121" i="7"/>
  <c r="D313" i="7"/>
  <c r="C999" i="7"/>
  <c r="C1344" i="7"/>
  <c r="B698" i="7"/>
  <c r="C1053" i="7"/>
  <c r="C759" i="7"/>
  <c r="B1413" i="7"/>
  <c r="C673" i="7"/>
  <c r="B723" i="7"/>
  <c r="C701" i="7"/>
  <c r="D210" i="7"/>
  <c r="C183" i="7"/>
  <c r="C729" i="7"/>
  <c r="B1291" i="7"/>
  <c r="C854" i="7"/>
  <c r="C1287" i="7"/>
  <c r="C545" i="7"/>
  <c r="B1371" i="7"/>
  <c r="C1077" i="7"/>
  <c r="C1049" i="7"/>
  <c r="C1404" i="7"/>
  <c r="C1443" i="7"/>
  <c r="C1323" i="7"/>
  <c r="C1375" i="7"/>
  <c r="C548" i="7"/>
  <c r="D336" i="7"/>
  <c r="C1066" i="7"/>
  <c r="D797" i="7"/>
  <c r="C954" i="7"/>
  <c r="D983" i="7"/>
  <c r="D862" i="7"/>
  <c r="D1025" i="7"/>
  <c r="D1090" i="7"/>
  <c r="E207" i="7"/>
  <c r="D1314" i="7"/>
  <c r="E465" i="7"/>
  <c r="E618" i="7"/>
  <c r="C1031" i="7"/>
  <c r="D221" i="7"/>
  <c r="C1154" i="7"/>
  <c r="C1453" i="7"/>
  <c r="C793" i="7"/>
  <c r="C397" i="7"/>
  <c r="B1247" i="7"/>
  <c r="B578" i="7"/>
  <c r="B1415" i="7"/>
  <c r="C550" i="7"/>
  <c r="B1416" i="7"/>
  <c r="D249" i="7"/>
  <c r="C1393" i="7"/>
  <c r="D525" i="7"/>
  <c r="B353" i="7"/>
  <c r="C1205" i="7"/>
  <c r="B1514" i="7"/>
  <c r="C1405" i="7"/>
  <c r="C474" i="7"/>
  <c r="B1250" i="7"/>
  <c r="C1110" i="7"/>
  <c r="B523" i="7"/>
  <c r="C845" i="7"/>
  <c r="B280" i="7"/>
  <c r="B1323" i="7"/>
  <c r="B561" i="7"/>
  <c r="C431" i="7"/>
  <c r="B194" i="7"/>
  <c r="B1364" i="7"/>
  <c r="B1056" i="7"/>
  <c r="C1157" i="7"/>
  <c r="C1303" i="7"/>
  <c r="C622" i="7"/>
  <c r="C497" i="7"/>
  <c r="C523" i="7"/>
  <c r="C1000" i="7"/>
  <c r="C1281" i="7"/>
  <c r="C463" i="7"/>
  <c r="C1446" i="7"/>
  <c r="C695" i="7"/>
  <c r="C977" i="7"/>
  <c r="C1060" i="7"/>
  <c r="D778" i="7"/>
  <c r="B1340" i="7"/>
  <c r="C342" i="7"/>
  <c r="C1215" i="7"/>
  <c r="B1139" i="7"/>
  <c r="B1275" i="7"/>
  <c r="C383" i="7"/>
  <c r="C1111" i="7"/>
  <c r="C1448" i="7"/>
  <c r="C193" i="7"/>
  <c r="C1245" i="7"/>
  <c r="C895" i="7"/>
  <c r="C297" i="7"/>
  <c r="C869" i="7"/>
  <c r="C275" i="7"/>
  <c r="C893" i="7"/>
  <c r="B667" i="7"/>
  <c r="C604" i="7"/>
  <c r="B198" i="7"/>
  <c r="C376" i="7"/>
  <c r="C1046" i="7"/>
  <c r="C1399" i="7"/>
  <c r="B1324" i="7"/>
  <c r="C662" i="7"/>
  <c r="C1166" i="7"/>
  <c r="C1225" i="7"/>
  <c r="C1516" i="7"/>
  <c r="D295" i="7"/>
  <c r="D243" i="7"/>
  <c r="C652" i="7"/>
  <c r="C724" i="7"/>
  <c r="D450" i="7"/>
  <c r="C1514" i="7"/>
  <c r="C946" i="7"/>
  <c r="D457" i="7"/>
  <c r="D1079" i="7"/>
  <c r="D960" i="7"/>
  <c r="D1121" i="7"/>
  <c r="D1186" i="7"/>
  <c r="E303" i="7"/>
  <c r="D1506" i="7"/>
  <c r="E561" i="7"/>
  <c r="E714" i="7"/>
  <c r="C1383" i="7"/>
  <c r="B1458" i="7"/>
  <c r="D172" i="7"/>
  <c r="B1028" i="7"/>
  <c r="C937" i="7"/>
  <c r="E1532" i="7"/>
  <c r="B1158" i="7"/>
  <c r="B1147" i="7"/>
  <c r="B1432" i="7"/>
  <c r="B601" i="7"/>
  <c r="C1189" i="7"/>
  <c r="B868" i="7"/>
  <c r="C894" i="7"/>
  <c r="C796" i="7"/>
  <c r="C191" i="7"/>
  <c r="C343" i="7"/>
  <c r="D257" i="7"/>
  <c r="B417" i="7"/>
  <c r="C1501" i="7"/>
  <c r="B944" i="7"/>
  <c r="B1506" i="7"/>
  <c r="B629" i="7"/>
  <c r="B980" i="7"/>
  <c r="C941" i="7"/>
  <c r="B909" i="7"/>
  <c r="C408" i="7"/>
  <c r="B1153" i="7"/>
  <c r="B876" i="7"/>
  <c r="B1288" i="7"/>
  <c r="C198" i="7"/>
  <c r="C484" i="7"/>
  <c r="C1349" i="7"/>
  <c r="C1415" i="7"/>
  <c r="C753" i="7"/>
  <c r="C781" i="7"/>
  <c r="C727" i="7"/>
  <c r="C1208" i="7"/>
  <c r="C1385" i="7"/>
  <c r="B377" i="7"/>
  <c r="D282" i="7"/>
  <c r="C800" i="7"/>
  <c r="C1081" i="7"/>
  <c r="C1164" i="7"/>
  <c r="B1330" i="7"/>
  <c r="C664" i="7"/>
  <c r="C750" i="7"/>
  <c r="C1327" i="7"/>
  <c r="C667" i="7"/>
  <c r="C672" i="7"/>
  <c r="C758" i="7"/>
  <c r="C1223" i="7"/>
  <c r="B1226" i="7"/>
  <c r="B1417" i="7"/>
  <c r="C1437" i="7"/>
  <c r="C1007" i="7"/>
  <c r="B1441" i="7"/>
  <c r="C1061" i="7"/>
  <c r="B674" i="7"/>
  <c r="C1085" i="7"/>
  <c r="C310" i="7"/>
  <c r="C760" i="7"/>
  <c r="B1118" i="7"/>
  <c r="C645" i="7"/>
  <c r="C1238" i="7"/>
  <c r="C1511" i="7"/>
  <c r="C650" i="7"/>
  <c r="C862" i="7"/>
  <c r="C264" i="7"/>
  <c r="C1361" i="7"/>
  <c r="D184" i="7"/>
  <c r="B1445" i="7"/>
  <c r="B1265" i="7"/>
  <c r="B1421" i="7"/>
  <c r="B625" i="7"/>
  <c r="B1440" i="7"/>
  <c r="C1381" i="7"/>
  <c r="B290" i="7"/>
  <c r="C1086" i="7"/>
  <c r="C988" i="7"/>
  <c r="D542" i="7"/>
  <c r="B1428" i="7"/>
  <c r="C998" i="7"/>
  <c r="C609" i="7"/>
  <c r="D265" i="7"/>
  <c r="B955" i="7"/>
  <c r="C312" i="7"/>
  <c r="B273" i="7"/>
  <c r="B1492" i="7"/>
  <c r="C1133" i="7"/>
  <c r="B1222" i="7"/>
  <c r="B201" i="7"/>
  <c r="C269" i="7"/>
  <c r="B1132" i="7"/>
  <c r="B579" i="7"/>
  <c r="C577" i="7"/>
  <c r="B627" i="7"/>
  <c r="B1420" i="7"/>
  <c r="B882" i="7"/>
  <c r="B799" i="7"/>
  <c r="C973" i="7"/>
  <c r="C959" i="7"/>
  <c r="C1312" i="7"/>
  <c r="C1497" i="7"/>
  <c r="C518" i="7"/>
  <c r="B1203" i="7"/>
  <c r="C904" i="7"/>
  <c r="C1185" i="7"/>
  <c r="C1268" i="7"/>
  <c r="C899" i="7"/>
  <c r="B1515" i="7"/>
  <c r="C942" i="7"/>
  <c r="B1307" i="7"/>
  <c r="C777" i="7"/>
  <c r="B713" i="7"/>
  <c r="C950" i="7"/>
  <c r="C1335" i="7"/>
  <c r="C446" i="7"/>
  <c r="C173" i="7"/>
  <c r="D321" i="7"/>
  <c r="C1119" i="7"/>
  <c r="C197" i="7"/>
  <c r="C1253" i="7"/>
  <c r="B1208" i="7"/>
  <c r="B169" i="7"/>
  <c r="C291" i="7"/>
  <c r="B1337" i="7"/>
  <c r="B643" i="7"/>
  <c r="B1466" i="7"/>
  <c r="C320" i="7"/>
  <c r="C1470" i="7"/>
  <c r="C1372" i="7"/>
  <c r="B1443" i="7"/>
  <c r="C262" i="7"/>
  <c r="C1094" i="7"/>
  <c r="B539" i="7"/>
  <c r="C168" i="7"/>
  <c r="B1234" i="7"/>
  <c r="C621" i="7"/>
  <c r="C171" i="7"/>
  <c r="B1283" i="7"/>
  <c r="D281" i="7"/>
  <c r="B1513" i="7"/>
  <c r="C578" i="7"/>
  <c r="B738" i="7"/>
  <c r="B1388" i="7"/>
  <c r="C293" i="7"/>
  <c r="B307" i="7"/>
  <c r="B1066" i="7"/>
  <c r="C870" i="7"/>
  <c r="C398" i="7"/>
  <c r="B1064" i="7"/>
  <c r="C1357" i="7"/>
  <c r="C1087" i="7"/>
  <c r="C1416" i="7"/>
  <c r="B807" i="7"/>
  <c r="C789" i="7"/>
  <c r="C555" i="7"/>
  <c r="C1008" i="7"/>
  <c r="C1289" i="7"/>
  <c r="C1380" i="7"/>
  <c r="C1315" i="7"/>
  <c r="C649" i="7"/>
  <c r="C1318" i="7"/>
  <c r="C505" i="7"/>
  <c r="C881" i="7"/>
  <c r="C176" i="7"/>
  <c r="C1142" i="7"/>
  <c r="C1463" i="7"/>
  <c r="C678" i="7"/>
  <c r="B1298" i="7"/>
  <c r="C424" i="7"/>
  <c r="C1231" i="7"/>
  <c r="B1316" i="7"/>
  <c r="C1445" i="7"/>
  <c r="C430" i="7"/>
  <c r="C1469" i="7"/>
  <c r="C815" i="7"/>
  <c r="C968" i="7"/>
  <c r="C283" i="7"/>
  <c r="C757" i="7"/>
  <c r="D218" i="7"/>
  <c r="B214" i="7"/>
  <c r="C399" i="7"/>
  <c r="C1246" i="7"/>
  <c r="C1367" i="7"/>
  <c r="B1348" i="7"/>
  <c r="C1058" i="7"/>
  <c r="B648" i="7"/>
  <c r="B707" i="7"/>
  <c r="B1521" i="7"/>
  <c r="C477" i="7"/>
  <c r="B338" i="7"/>
  <c r="C1078" i="7"/>
  <c r="B1410" i="7"/>
  <c r="C783" i="7"/>
  <c r="D294" i="7"/>
  <c r="C883" i="7"/>
  <c r="C502" i="7"/>
  <c r="C1190" i="7"/>
  <c r="B986" i="7"/>
  <c r="C1102" i="7"/>
  <c r="B459" i="7"/>
  <c r="C295" i="7"/>
  <c r="B952" i="7"/>
  <c r="C368" i="7"/>
  <c r="B946" i="7"/>
  <c r="C261" i="7"/>
  <c r="C674" i="7"/>
  <c r="B1362" i="7"/>
  <c r="C222" i="7"/>
  <c r="B801" i="7"/>
  <c r="B899" i="7"/>
  <c r="C568" i="7"/>
  <c r="C1062" i="7"/>
  <c r="C677" i="7"/>
  <c r="B305" i="7"/>
  <c r="D289" i="7"/>
  <c r="C1199" i="7"/>
  <c r="C1528" i="7"/>
  <c r="B1168" i="7"/>
  <c r="C981" i="7"/>
  <c r="C735" i="7"/>
  <c r="C1112" i="7"/>
  <c r="C1401" i="7"/>
  <c r="C1484" i="7"/>
  <c r="D238" i="7"/>
  <c r="C541" i="7"/>
  <c r="C1454" i="7"/>
  <c r="C704" i="7"/>
  <c r="C985" i="7"/>
  <c r="B779" i="7"/>
  <c r="C1326" i="7"/>
  <c r="B1394" i="7"/>
  <c r="C785" i="7"/>
  <c r="C680" i="7"/>
  <c r="C766" i="7"/>
  <c r="C1343" i="7"/>
  <c r="B586" i="7"/>
  <c r="D329" i="7"/>
  <c r="B1003" i="7"/>
  <c r="D209" i="7"/>
  <c r="C927" i="7"/>
  <c r="C1072" i="7"/>
  <c r="B521" i="7"/>
  <c r="C949" i="7"/>
  <c r="B860" i="7"/>
  <c r="B1479" i="7"/>
  <c r="C653" i="7"/>
  <c r="C1422" i="7"/>
  <c r="C588" i="7"/>
  <c r="C515" i="7"/>
  <c r="D326" i="7"/>
  <c r="B709" i="7"/>
  <c r="B186" i="7"/>
  <c r="B1053" i="7"/>
  <c r="B496" i="7"/>
  <c r="C520" i="7"/>
  <c r="C967" i="7"/>
  <c r="B930" i="7"/>
  <c r="C848" i="7"/>
  <c r="D523" i="7"/>
  <c r="B635" i="7"/>
  <c r="B1204" i="7"/>
  <c r="B1255" i="7"/>
  <c r="C517" i="7"/>
  <c r="C1486" i="7"/>
  <c r="C303" i="7"/>
  <c r="C1317" i="7"/>
  <c r="B1409" i="7"/>
  <c r="B610" i="7"/>
  <c r="C734" i="7"/>
  <c r="B1060" i="7"/>
  <c r="B1355" i="7"/>
  <c r="C499" i="7"/>
  <c r="B636" i="7"/>
  <c r="B1427" i="7"/>
  <c r="C240" i="7"/>
  <c r="B1332" i="7"/>
  <c r="B1034" i="7"/>
  <c r="C992" i="7"/>
  <c r="C633" i="7"/>
  <c r="C1070" i="7"/>
  <c r="B964" i="7"/>
  <c r="C638" i="7"/>
  <c r="B1322" i="7"/>
  <c r="D297" i="7"/>
  <c r="C1095" i="7"/>
  <c r="C1432" i="7"/>
  <c r="C247" i="7"/>
  <c r="D220" i="7"/>
  <c r="C714" i="7"/>
  <c r="C797" i="7"/>
  <c r="C571" i="7"/>
  <c r="C1016" i="7"/>
  <c r="C1305" i="7"/>
  <c r="C646" i="7"/>
  <c r="D298" i="7"/>
  <c r="C816" i="7"/>
  <c r="C1097" i="7"/>
  <c r="C557" i="7"/>
  <c r="C1510" i="7"/>
  <c r="C720" i="7"/>
  <c r="B1035" i="7"/>
  <c r="C966" i="7"/>
  <c r="B438" i="7"/>
  <c r="B1144" i="7"/>
  <c r="C449" i="7"/>
  <c r="B1077" i="7"/>
  <c r="C216" i="7"/>
  <c r="C1159" i="7"/>
  <c r="B1442" i="7"/>
  <c r="C1040" i="7"/>
  <c r="C842" i="7"/>
  <c r="B1454" i="7"/>
  <c r="B1460" i="7"/>
  <c r="B834" i="7"/>
  <c r="C613" i="7"/>
  <c r="B203" i="7"/>
  <c r="C521" i="7"/>
  <c r="C1509" i="7"/>
  <c r="B458" i="7"/>
  <c r="B1268" i="7"/>
  <c r="C926" i="7"/>
  <c r="B754" i="7"/>
  <c r="B430" i="7"/>
  <c r="C600" i="7"/>
  <c r="B440" i="7"/>
  <c r="C279" i="7"/>
  <c r="C594" i="7"/>
  <c r="C661" i="7"/>
  <c r="C438" i="7"/>
  <c r="C1200" i="7"/>
  <c r="C666" i="7"/>
  <c r="C1262" i="7"/>
  <c r="C439" i="7"/>
  <c r="C761" i="7"/>
  <c r="C584" i="7"/>
  <c r="C296" i="7"/>
  <c r="C1207" i="7"/>
  <c r="C359" i="7"/>
  <c r="C612" i="7"/>
  <c r="D362" i="7"/>
  <c r="C1130" i="7"/>
  <c r="C989" i="7"/>
  <c r="C743" i="7"/>
  <c r="C1120" i="7"/>
  <c r="C1409" i="7"/>
  <c r="C853" i="7"/>
  <c r="B1467" i="7"/>
  <c r="C920" i="7"/>
  <c r="C1313" i="7"/>
  <c r="B1418" i="7"/>
  <c r="D178" i="7"/>
  <c r="C824" i="7"/>
  <c r="C166" i="7"/>
  <c r="B254" i="7"/>
  <c r="B248" i="7"/>
  <c r="B1246" i="7"/>
  <c r="C457" i="7"/>
  <c r="B1434" i="7"/>
  <c r="B1051" i="7"/>
  <c r="B841" i="7"/>
  <c r="C1424" i="7"/>
  <c r="D428" i="7"/>
  <c r="B1512" i="7"/>
  <c r="B924" i="7"/>
  <c r="B1321" i="7"/>
  <c r="C254" i="7"/>
  <c r="B471" i="7"/>
  <c r="C617" i="7"/>
  <c r="D273" i="7"/>
  <c r="C407" i="7"/>
  <c r="C336" i="7"/>
  <c r="C1502" i="7"/>
  <c r="C688" i="7"/>
  <c r="B927" i="7"/>
  <c r="C696" i="7"/>
  <c r="B1334" i="7"/>
  <c r="B1124" i="7"/>
  <c r="B948" i="7"/>
  <c r="B1025" i="7"/>
  <c r="C586" i="7"/>
  <c r="C719" i="7"/>
  <c r="C686" i="7"/>
  <c r="C1431" i="7"/>
  <c r="B291" i="7"/>
  <c r="C1513" i="7"/>
  <c r="C1417" i="7"/>
  <c r="C565" i="7"/>
  <c r="B1202" i="7"/>
  <c r="C1176" i="7"/>
  <c r="C1141" i="7"/>
  <c r="C387" i="7"/>
  <c r="D258" i="7"/>
  <c r="C716" i="7"/>
  <c r="D539" i="7"/>
  <c r="C207" i="7"/>
  <c r="C1369" i="7"/>
  <c r="D682" i="7"/>
  <c r="C1355" i="7"/>
  <c r="D311" i="7"/>
  <c r="D1271" i="7"/>
  <c r="D1440" i="7"/>
  <c r="D779" i="7"/>
  <c r="D687" i="7"/>
  <c r="D167" i="7"/>
  <c r="E292" i="7"/>
  <c r="C952" i="7"/>
  <c r="C1076" i="7"/>
  <c r="C1507" i="7"/>
  <c r="C1249" i="7"/>
  <c r="C1186" i="7"/>
  <c r="C679" i="7"/>
  <c r="C976" i="7"/>
  <c r="C868" i="7"/>
  <c r="D602" i="7"/>
  <c r="C744" i="7"/>
  <c r="C628" i="7"/>
  <c r="C1247" i="7"/>
  <c r="C1473" i="7"/>
  <c r="B1525" i="7"/>
  <c r="C1504" i="7"/>
  <c r="C1228" i="7"/>
  <c r="D254" i="7"/>
  <c r="D332" i="7"/>
  <c r="D990" i="7"/>
  <c r="E203" i="7"/>
  <c r="D1520" i="7"/>
  <c r="D640" i="7"/>
  <c r="D1259" i="7"/>
  <c r="E607" i="7"/>
  <c r="C1236" i="7"/>
  <c r="C778" i="7"/>
  <c r="C689" i="7"/>
  <c r="D763" i="7"/>
  <c r="D1335" i="7"/>
  <c r="D1320" i="7"/>
  <c r="D1481" i="7"/>
  <c r="C1004" i="7"/>
  <c r="D555" i="7"/>
  <c r="D741" i="7"/>
  <c r="D463" i="7"/>
  <c r="D927" i="7"/>
  <c r="D912" i="7"/>
  <c r="D1177" i="7"/>
  <c r="D705" i="7"/>
  <c r="D1326" i="7"/>
  <c r="C1260" i="7"/>
  <c r="C874" i="7"/>
  <c r="D861" i="7"/>
  <c r="D583" i="7"/>
  <c r="D1039" i="7"/>
  <c r="D1024" i="7"/>
  <c r="D1289" i="7"/>
  <c r="C1284" i="7"/>
  <c r="C1270" i="7"/>
  <c r="D242" i="7"/>
  <c r="C546" i="7"/>
  <c r="B874" i="7"/>
  <c r="C784" i="7"/>
  <c r="B970" i="7"/>
  <c r="C1216" i="7"/>
  <c r="B1267" i="7"/>
  <c r="C549" i="7"/>
  <c r="B761" i="7"/>
  <c r="C470" i="7"/>
  <c r="C631" i="7"/>
  <c r="C1280" i="7"/>
  <c r="C1333" i="7"/>
  <c r="C476" i="7"/>
  <c r="B947" i="7"/>
  <c r="C828" i="7"/>
  <c r="C487" i="7"/>
  <c r="C1261" i="7"/>
  <c r="D213" i="7"/>
  <c r="D802" i="7"/>
  <c r="D255" i="7"/>
  <c r="D423" i="7"/>
  <c r="D1367" i="7"/>
  <c r="C987" i="7"/>
  <c r="D898" i="7"/>
  <c r="D1117" i="7"/>
  <c r="D965" i="7"/>
  <c r="E420" i="7"/>
  <c r="C1168" i="7"/>
  <c r="C1196" i="7"/>
  <c r="C174" i="7"/>
  <c r="C1425" i="7"/>
  <c r="D188" i="7"/>
  <c r="C215" i="7"/>
  <c r="C1192" i="7"/>
  <c r="C980" i="7"/>
  <c r="D714" i="7"/>
  <c r="C984" i="7"/>
  <c r="C764" i="7"/>
  <c r="C270" i="7"/>
  <c r="D181" i="7"/>
  <c r="B585" i="7"/>
  <c r="B1395" i="7"/>
  <c r="C1460" i="7"/>
  <c r="D396" i="7"/>
  <c r="D454" i="7"/>
  <c r="D1094" i="7"/>
  <c r="E307" i="7"/>
  <c r="C731" i="7"/>
  <c r="D790" i="7"/>
  <c r="D1363" i="7"/>
  <c r="D654" i="7"/>
  <c r="C1476" i="7"/>
  <c r="C1322" i="7"/>
  <c r="C1138" i="7"/>
  <c r="D894" i="7"/>
  <c r="D1439" i="7"/>
  <c r="D1424" i="7"/>
  <c r="D303" i="7"/>
  <c r="C1244" i="7"/>
  <c r="C810" i="7"/>
  <c r="D853" i="7"/>
  <c r="D575" i="7"/>
  <c r="D1031" i="7"/>
  <c r="D1016" i="7"/>
  <c r="D1281" i="7"/>
  <c r="D844" i="7"/>
  <c r="B705" i="7"/>
  <c r="C1508" i="7"/>
  <c r="C1386" i="7"/>
  <c r="C754" i="7"/>
  <c r="D283" i="7"/>
  <c r="D1143" i="7"/>
  <c r="D1128" i="7"/>
  <c r="D1393" i="7"/>
  <c r="D248" i="7"/>
  <c r="D318" i="7"/>
  <c r="C1234" i="7"/>
  <c r="D656" i="7"/>
  <c r="D1255" i="7"/>
  <c r="D1240" i="7"/>
  <c r="D1513" i="7"/>
  <c r="C780" i="7"/>
  <c r="D595" i="7"/>
  <c r="D765" i="7"/>
  <c r="D322" i="7"/>
  <c r="C466" i="7"/>
  <c r="C642" i="7"/>
  <c r="B1148" i="7"/>
  <c r="C888" i="7"/>
  <c r="C318" i="7"/>
  <c r="C1320" i="7"/>
  <c r="C534" i="7"/>
  <c r="B1354" i="7"/>
  <c r="C391" i="7"/>
  <c r="C774" i="7"/>
  <c r="C846" i="7"/>
  <c r="C1384" i="7"/>
  <c r="C1525" i="7"/>
  <c r="B569" i="7"/>
  <c r="C392" i="7"/>
  <c r="C940" i="7"/>
  <c r="C1034" i="7"/>
  <c r="D193" i="7"/>
  <c r="C836" i="7"/>
  <c r="C456" i="7"/>
  <c r="D381" i="7"/>
  <c r="D688" i="7"/>
  <c r="D1463" i="7"/>
  <c r="D472" i="7"/>
  <c r="C1531" i="7"/>
  <c r="D1358" i="7"/>
  <c r="D1284" i="7"/>
  <c r="E810" i="7"/>
  <c r="C1376" i="7"/>
  <c r="C1308" i="7"/>
  <c r="C1350" i="7"/>
  <c r="D229" i="7"/>
  <c r="D354" i="7"/>
  <c r="B1500" i="7"/>
  <c r="C1400" i="7"/>
  <c r="C1100" i="7"/>
  <c r="D826" i="7"/>
  <c r="C1248" i="7"/>
  <c r="C876" i="7"/>
  <c r="C840" i="7"/>
  <c r="B1092" i="7"/>
  <c r="C344" i="7"/>
  <c r="C697" i="7"/>
  <c r="D168" i="7"/>
  <c r="D540" i="7"/>
  <c r="D566" i="7"/>
  <c r="D1198" i="7"/>
  <c r="E411" i="7"/>
  <c r="D440" i="7"/>
  <c r="D914" i="7"/>
  <c r="D1467" i="7"/>
  <c r="D1124" i="7"/>
  <c r="D176" i="7"/>
  <c r="D264" i="7"/>
  <c r="D342" i="7"/>
  <c r="D998" i="7"/>
  <c r="E211" i="7"/>
  <c r="D1528" i="7"/>
  <c r="C367" i="7"/>
  <c r="C1500" i="7"/>
  <c r="C1354" i="7"/>
  <c r="C722" i="7"/>
  <c r="D235" i="7"/>
  <c r="D1135" i="7"/>
  <c r="D1120" i="7"/>
  <c r="D1385" i="7"/>
  <c r="D955" i="7"/>
  <c r="C692" i="7"/>
  <c r="D240" i="7"/>
  <c r="D286" i="7"/>
  <c r="C1202" i="7"/>
  <c r="D646" i="7"/>
  <c r="D1247" i="7"/>
  <c r="D1232" i="7"/>
  <c r="C1069" i="7"/>
  <c r="C1250" i="7"/>
  <c r="D452" i="7"/>
  <c r="D228" i="7"/>
  <c r="D795" i="7"/>
  <c r="D1359" i="7"/>
  <c r="D1352" i="7"/>
  <c r="C762" i="7"/>
  <c r="C1036" i="7"/>
  <c r="C938" i="7"/>
  <c r="B1399" i="7"/>
  <c r="C489" i="7"/>
  <c r="C530" i="7"/>
  <c r="C255" i="7"/>
  <c r="C511" i="7"/>
  <c r="C1408" i="7"/>
  <c r="C865" i="7"/>
  <c r="C654" i="7"/>
  <c r="C1181" i="7"/>
  <c r="C1045" i="7"/>
  <c r="C660" i="7"/>
  <c r="C1158" i="7"/>
  <c r="C1038" i="7"/>
  <c r="C1488" i="7"/>
  <c r="D217" i="7"/>
  <c r="B1043" i="7"/>
  <c r="C711" i="7"/>
  <c r="C1052" i="7"/>
  <c r="C1482" i="7"/>
  <c r="C1222" i="7"/>
  <c r="C948" i="7"/>
  <c r="C1027" i="7"/>
  <c r="D485" i="7"/>
  <c r="D816" i="7"/>
  <c r="E227" i="7"/>
  <c r="D692" i="7"/>
  <c r="D608" i="7"/>
  <c r="E266" i="7"/>
  <c r="D1476" i="7"/>
  <c r="C1179" i="7"/>
  <c r="C231" i="7"/>
  <c r="C1420" i="7"/>
  <c r="D186" i="7"/>
  <c r="C580" i="7"/>
  <c r="D474" i="7"/>
  <c r="C1461" i="7"/>
  <c r="C507" i="7"/>
  <c r="C1212" i="7"/>
  <c r="B426" i="7"/>
  <c r="C1456" i="7"/>
  <c r="C996" i="7"/>
  <c r="C1080" i="7"/>
  <c r="C416" i="7"/>
  <c r="C885" i="7"/>
  <c r="B782" i="7"/>
  <c r="B1196" i="7"/>
  <c r="C294" i="7"/>
  <c r="C599" i="7"/>
  <c r="B1155" i="7"/>
  <c r="B1299" i="7"/>
  <c r="B1033" i="7"/>
  <c r="C1505" i="7"/>
  <c r="D290" i="7"/>
  <c r="C1494" i="7"/>
  <c r="C958" i="7"/>
  <c r="B677" i="7"/>
  <c r="C1230" i="7"/>
  <c r="B1523" i="7"/>
  <c r="B1284" i="7"/>
  <c r="C471" i="7"/>
  <c r="B1050" i="7"/>
  <c r="C1172" i="7"/>
  <c r="D296" i="7"/>
  <c r="C619" i="7"/>
  <c r="C1068" i="7"/>
  <c r="C1475" i="7"/>
  <c r="D589" i="7"/>
  <c r="D926" i="7"/>
  <c r="E323" i="7"/>
  <c r="D820" i="7"/>
  <c r="D737" i="7"/>
  <c r="E394" i="7"/>
  <c r="E216" i="7"/>
  <c r="D941" i="7"/>
  <c r="C745" i="7"/>
  <c r="D200" i="7"/>
  <c r="C651" i="7"/>
  <c r="C740" i="7"/>
  <c r="D586" i="7"/>
  <c r="B1115" i="7"/>
  <c r="C801" i="7"/>
  <c r="C1324" i="7"/>
  <c r="B649" i="7"/>
  <c r="C526" i="7"/>
  <c r="C1108" i="7"/>
  <c r="C1288" i="7"/>
  <c r="C682" i="7"/>
  <c r="C974" i="7"/>
  <c r="B1237" i="7"/>
  <c r="C975" i="7"/>
  <c r="C1198" i="7"/>
  <c r="B954" i="7"/>
  <c r="B1411" i="7"/>
  <c r="B1282" i="7"/>
  <c r="B1019" i="7"/>
  <c r="D165" i="7"/>
  <c r="B1290" i="7"/>
  <c r="D170" i="7"/>
  <c r="C1334" i="7"/>
  <c r="B691" i="7"/>
  <c r="C663" i="7"/>
  <c r="B1375" i="7"/>
  <c r="C1414" i="7"/>
  <c r="B1314" i="7"/>
  <c r="C1015" i="7"/>
  <c r="C543" i="7"/>
  <c r="D412" i="7"/>
  <c r="C936" i="7"/>
  <c r="C1188" i="7"/>
  <c r="D307" i="7"/>
  <c r="C1362" i="7"/>
  <c r="D1022" i="7"/>
  <c r="E419" i="7"/>
  <c r="D1217" i="7"/>
  <c r="D865" i="7"/>
  <c r="E503" i="7"/>
  <c r="E657" i="7"/>
  <c r="D1270" i="7"/>
  <c r="C929" i="7"/>
  <c r="D346" i="7"/>
  <c r="C1055" i="7"/>
  <c r="C860" i="7"/>
  <c r="D706" i="7"/>
  <c r="C1358" i="7"/>
  <c r="C945" i="7"/>
  <c r="C1436" i="7"/>
  <c r="C432" i="7"/>
  <c r="C809" i="7"/>
  <c r="C1220" i="7"/>
  <c r="C1496" i="7"/>
  <c r="C804" i="7"/>
  <c r="C182" i="7"/>
  <c r="B716" i="7"/>
  <c r="D431" i="7"/>
  <c r="C1125" i="7"/>
  <c r="B1404" i="7"/>
  <c r="C464" i="7"/>
  <c r="C1438" i="7"/>
  <c r="C742" i="7"/>
  <c r="D466" i="7"/>
  <c r="C1224" i="7"/>
  <c r="C1128" i="7"/>
  <c r="C928" i="7"/>
  <c r="B1122" i="7"/>
  <c r="C1391" i="7"/>
  <c r="C537" i="7"/>
  <c r="C935" i="7"/>
  <c r="C1149" i="7"/>
  <c r="B1482" i="7"/>
  <c r="D794" i="7"/>
  <c r="D477" i="7"/>
  <c r="C921" i="7"/>
  <c r="D192" i="7"/>
  <c r="D420" i="7"/>
  <c r="D590" i="7"/>
  <c r="D636" i="7"/>
  <c r="D1152" i="7"/>
  <c r="B1243" i="7"/>
  <c r="D1251" i="7"/>
  <c r="E364" i="7"/>
  <c r="D792" i="7"/>
  <c r="D201" i="7"/>
  <c r="C732" i="7"/>
  <c r="D810" i="7"/>
  <c r="C1184" i="7"/>
  <c r="C1428" i="7"/>
  <c r="D339" i="7"/>
  <c r="C1479" i="7"/>
  <c r="D237" i="7"/>
  <c r="D204" i="7"/>
  <c r="C1135" i="7"/>
  <c r="C1441" i="7"/>
  <c r="B718" i="7"/>
  <c r="B1173" i="7"/>
  <c r="C1221" i="7"/>
  <c r="C256" i="7"/>
  <c r="C1430" i="7"/>
  <c r="C1311" i="7"/>
  <c r="C855" i="7"/>
  <c r="D475" i="7"/>
  <c r="C1089" i="7"/>
  <c r="C889" i="7"/>
  <c r="B819" i="7"/>
  <c r="C358" i="7"/>
  <c r="C1503" i="7"/>
  <c r="B1306" i="7"/>
  <c r="C1047" i="7"/>
  <c r="C1341" i="7"/>
  <c r="C713" i="7"/>
  <c r="C287" i="7"/>
  <c r="D581" i="7"/>
  <c r="C1057" i="7"/>
  <c r="C607" i="7"/>
  <c r="D532" i="7"/>
  <c r="C723" i="7"/>
  <c r="D764" i="7"/>
  <c r="D1248" i="7"/>
  <c r="D345" i="7"/>
  <c r="D1347" i="7"/>
  <c r="E480" i="7"/>
  <c r="D1196" i="7"/>
  <c r="C1342" i="7"/>
  <c r="C844" i="7"/>
  <c r="C188" i="7"/>
  <c r="B1219" i="7"/>
  <c r="C388" i="7"/>
  <c r="C478" i="7"/>
  <c r="D266" i="7"/>
  <c r="C1423" i="7"/>
  <c r="C983" i="7"/>
  <c r="D579" i="7"/>
  <c r="C1193" i="7"/>
  <c r="C993" i="7"/>
  <c r="C414" i="7"/>
  <c r="C1277" i="7"/>
  <c r="C864" i="7"/>
  <c r="C382" i="7"/>
  <c r="B482" i="7"/>
  <c r="C1054" i="7"/>
  <c r="B690" i="7"/>
  <c r="C748" i="7"/>
  <c r="C390" i="7"/>
  <c r="C423" i="7"/>
  <c r="B1402" i="7"/>
  <c r="D547" i="7"/>
  <c r="D593" i="7"/>
  <c r="D481" i="7"/>
  <c r="C1241" i="7"/>
  <c r="C1113" i="7"/>
  <c r="C767" i="7"/>
  <c r="D370" i="7"/>
  <c r="C1332" i="7"/>
  <c r="C916" i="7"/>
  <c r="C857" i="7"/>
  <c r="D834" i="7"/>
  <c r="D837" i="7"/>
  <c r="D247" i="7"/>
  <c r="D896" i="7"/>
  <c r="D1369" i="7"/>
  <c r="E239" i="7"/>
  <c r="C1144" i="7"/>
  <c r="D190" i="7"/>
  <c r="D462" i="7"/>
  <c r="D657" i="7"/>
  <c r="D1008" i="7"/>
  <c r="C683" i="7"/>
  <c r="D434" i="7"/>
  <c r="D365" i="7"/>
  <c r="D635" i="7"/>
  <c r="E219" i="7"/>
  <c r="D863" i="7"/>
  <c r="D1067" i="7"/>
  <c r="C1264" i="7"/>
  <c r="D222" i="7"/>
  <c r="D196" i="7"/>
  <c r="D1126" i="7"/>
  <c r="D659" i="7"/>
  <c r="C782" i="7"/>
  <c r="D866" i="7"/>
  <c r="D517" i="7"/>
  <c r="D479" i="7"/>
  <c r="D1151" i="7"/>
  <c r="C1371" i="7"/>
  <c r="B435" i="7"/>
  <c r="D722" i="7"/>
  <c r="D405" i="7"/>
  <c r="D230" i="7"/>
  <c r="D700" i="7"/>
  <c r="C1464" i="7"/>
  <c r="D730" i="7"/>
  <c r="D277" i="7"/>
  <c r="C915" i="7"/>
  <c r="C955" i="7"/>
  <c r="C1017" i="7"/>
  <c r="C1283" i="7"/>
  <c r="D549" i="7"/>
  <c r="D259" i="7"/>
  <c r="C1132" i="7"/>
  <c r="C1162" i="7"/>
  <c r="C360" i="7"/>
  <c r="C1082" i="7"/>
  <c r="D1095" i="7"/>
  <c r="D976" i="7"/>
  <c r="C903" i="7"/>
  <c r="D394" i="7"/>
  <c r="C1003" i="7"/>
  <c r="D550" i="7"/>
  <c r="D1078" i="7"/>
  <c r="E187" i="7"/>
  <c r="D410" i="7"/>
  <c r="D414" i="7"/>
  <c r="D376" i="7"/>
  <c r="D759" i="7"/>
  <c r="E181" i="7"/>
  <c r="D1029" i="7"/>
  <c r="E196" i="7"/>
  <c r="E459" i="7"/>
  <c r="E169" i="7"/>
  <c r="E275" i="7"/>
  <c r="D704" i="7"/>
  <c r="E215" i="7"/>
  <c r="E193" i="7"/>
  <c r="E841" i="7"/>
  <c r="D909" i="7"/>
  <c r="E1139" i="7"/>
  <c r="D838" i="7"/>
  <c r="D1097" i="7"/>
  <c r="D1051" i="7"/>
  <c r="E615" i="7"/>
  <c r="E429" i="7"/>
  <c r="E586" i="7"/>
  <c r="E763" i="7"/>
  <c r="C1211" i="7"/>
  <c r="D1257" i="7"/>
  <c r="D1195" i="7"/>
  <c r="D782" i="7"/>
  <c r="E545" i="7"/>
  <c r="E698" i="7"/>
  <c r="E867" i="7"/>
  <c r="D183" i="7"/>
  <c r="D1305" i="7"/>
  <c r="D1203" i="7"/>
  <c r="D824" i="7"/>
  <c r="E449" i="7"/>
  <c r="E602" i="7"/>
  <c r="E875" i="7"/>
  <c r="D950" i="7"/>
  <c r="D1129" i="7"/>
  <c r="D971" i="7"/>
  <c r="E527" i="7"/>
  <c r="E184" i="7"/>
  <c r="E388" i="7"/>
  <c r="E691" i="7"/>
  <c r="D958" i="7"/>
  <c r="D937" i="7"/>
  <c r="D833" i="7"/>
  <c r="E416" i="7"/>
  <c r="D1428" i="7"/>
  <c r="D461" i="7"/>
  <c r="C1457" i="7"/>
  <c r="C1410" i="7"/>
  <c r="D260" i="7"/>
  <c r="D1460" i="7"/>
  <c r="E987" i="7"/>
  <c r="E998" i="7"/>
  <c r="F247" i="7"/>
  <c r="F304" i="7"/>
  <c r="E1087" i="7"/>
  <c r="D1088" i="7"/>
  <c r="D353" i="7"/>
  <c r="E410" i="7"/>
  <c r="E718" i="7"/>
  <c r="E1299" i="7"/>
  <c r="E1356" i="7"/>
  <c r="E564" i="7"/>
  <c r="D288" i="7"/>
  <c r="E175" i="7"/>
  <c r="E450" i="7"/>
  <c r="D1517" i="7"/>
  <c r="B842" i="7"/>
  <c r="B906" i="7"/>
  <c r="B1091" i="7"/>
  <c r="C765" i="7"/>
  <c r="D373" i="7"/>
  <c r="D308" i="7"/>
  <c r="D1056" i="7"/>
  <c r="E236" i="7"/>
  <c r="C564" i="7"/>
  <c r="C972" i="7"/>
  <c r="C1127" i="7"/>
  <c r="D482" i="7"/>
  <c r="B1517" i="7"/>
  <c r="C1028" i="7"/>
  <c r="C1033" i="7"/>
  <c r="C867" i="7"/>
  <c r="C639" i="7"/>
  <c r="D647" i="7"/>
  <c r="D1000" i="7"/>
  <c r="D1473" i="7"/>
  <c r="E343" i="7"/>
  <c r="C825" i="7"/>
  <c r="D387" i="7"/>
  <c r="D574" i="7"/>
  <c r="D796" i="7"/>
  <c r="D1112" i="7"/>
  <c r="C498" i="7"/>
  <c r="D642" i="7"/>
  <c r="D501" i="7"/>
  <c r="D774" i="7"/>
  <c r="E331" i="7"/>
  <c r="D969" i="7"/>
  <c r="D1171" i="7"/>
  <c r="C841" i="7"/>
  <c r="D403" i="7"/>
  <c r="D366" i="7"/>
  <c r="C415" i="7"/>
  <c r="D798" i="7"/>
  <c r="D338" i="7"/>
  <c r="C1155" i="7"/>
  <c r="D645" i="7"/>
  <c r="D591" i="7"/>
  <c r="D1471" i="7"/>
  <c r="D600" i="7"/>
  <c r="C1519" i="7"/>
  <c r="B313" i="7"/>
  <c r="D533" i="7"/>
  <c r="D375" i="7"/>
  <c r="D839" i="7"/>
  <c r="B498" i="7"/>
  <c r="B1530" i="7"/>
  <c r="D413" i="7"/>
  <c r="C1363" i="7"/>
  <c r="D496" i="7"/>
  <c r="C1449" i="7"/>
  <c r="D285" i="7"/>
  <c r="D669" i="7"/>
  <c r="D391" i="7"/>
  <c r="C1396" i="7"/>
  <c r="D207" i="7"/>
  <c r="C1010" i="7"/>
  <c r="D521" i="7"/>
  <c r="D1199" i="7"/>
  <c r="D1080" i="7"/>
  <c r="C1048" i="7"/>
  <c r="D610" i="7"/>
  <c r="C1483" i="7"/>
  <c r="C514" i="7"/>
  <c r="D1182" i="7"/>
  <c r="C943" i="7"/>
  <c r="D618" i="7"/>
  <c r="D269" i="7"/>
  <c r="D809" i="7"/>
  <c r="D907" i="7"/>
  <c r="E330" i="7"/>
  <c r="D1332" i="7"/>
  <c r="E334" i="7"/>
  <c r="E555" i="7"/>
  <c r="E297" i="7"/>
  <c r="C986" i="7"/>
  <c r="D864" i="7"/>
  <c r="E335" i="7"/>
  <c r="E342" i="7"/>
  <c r="E953" i="7"/>
  <c r="D1286" i="7"/>
  <c r="E1235" i="7"/>
  <c r="C1083" i="7"/>
  <c r="D1249" i="7"/>
  <c r="D1187" i="7"/>
  <c r="D739" i="7"/>
  <c r="E537" i="7"/>
  <c r="E690" i="7"/>
  <c r="E859" i="7"/>
  <c r="D975" i="7"/>
  <c r="D1449" i="7"/>
  <c r="D1315" i="7"/>
  <c r="D1234" i="7"/>
  <c r="E649" i="7"/>
  <c r="E802" i="7"/>
  <c r="E963" i="7"/>
  <c r="D1007" i="7"/>
  <c r="D1457" i="7"/>
  <c r="D1323" i="7"/>
  <c r="D1250" i="7"/>
  <c r="E553" i="7"/>
  <c r="E706" i="7"/>
  <c r="E971" i="7"/>
  <c r="D528" i="7"/>
  <c r="D1321" i="7"/>
  <c r="D1091" i="7"/>
  <c r="E639" i="7"/>
  <c r="E322" i="7"/>
  <c r="E506" i="7"/>
  <c r="E787" i="7"/>
  <c r="D560" i="7"/>
  <c r="D1137" i="7"/>
  <c r="D979" i="7"/>
  <c r="E535" i="7"/>
  <c r="E194" i="7"/>
  <c r="C1522" i="7"/>
  <c r="C375" i="7"/>
  <c r="B1331" i="7"/>
  <c r="D1145" i="7"/>
  <c r="E258" i="7"/>
  <c r="E1179" i="7"/>
  <c r="E1094" i="7"/>
  <c r="F343" i="7"/>
  <c r="F400" i="7"/>
  <c r="E1215" i="7"/>
  <c r="D302" i="7"/>
  <c r="E448" i="7"/>
  <c r="E611" i="7"/>
  <c r="E814" i="7"/>
  <c r="E1395" i="7"/>
  <c r="E1452" i="7"/>
  <c r="E797" i="7"/>
  <c r="D775" i="7"/>
  <c r="E439" i="7"/>
  <c r="E658" i="7"/>
  <c r="E265" i="7"/>
  <c r="B1099" i="7"/>
  <c r="C1282" i="7"/>
  <c r="C562" i="7"/>
  <c r="C957" i="7"/>
  <c r="B1068" i="7"/>
  <c r="C939" i="7"/>
  <c r="D1344" i="7"/>
  <c r="E576" i="7"/>
  <c r="C964" i="7"/>
  <c r="C1092" i="7"/>
  <c r="B714" i="7"/>
  <c r="C1518" i="7"/>
  <c r="B505" i="7"/>
  <c r="C1140" i="7"/>
  <c r="C1143" i="7"/>
  <c r="D379" i="7"/>
  <c r="C1106" i="7"/>
  <c r="D785" i="7"/>
  <c r="D1104" i="7"/>
  <c r="D261" i="7"/>
  <c r="C923" i="7"/>
  <c r="C1217" i="7"/>
  <c r="D531" i="7"/>
  <c r="C690" i="7"/>
  <c r="D919" i="7"/>
  <c r="D1216" i="7"/>
  <c r="C1239" i="7"/>
  <c r="D850" i="7"/>
  <c r="D629" i="7"/>
  <c r="D902" i="7"/>
  <c r="E435" i="7"/>
  <c r="D1073" i="7"/>
  <c r="D1275" i="7"/>
  <c r="C1321" i="7"/>
  <c r="D571" i="7"/>
  <c r="D478" i="7"/>
  <c r="D400" i="7"/>
  <c r="D920" i="7"/>
  <c r="C1495" i="7"/>
  <c r="D253" i="7"/>
  <c r="D757" i="7"/>
  <c r="D325" i="7"/>
  <c r="E243" i="7"/>
  <c r="D745" i="7"/>
  <c r="C572" i="7"/>
  <c r="C1187" i="7"/>
  <c r="D653" i="7"/>
  <c r="D487" i="7"/>
  <c r="D951" i="7"/>
  <c r="C1001" i="7"/>
  <c r="C1251" i="7"/>
  <c r="D541" i="7"/>
  <c r="D246" i="7"/>
  <c r="D711" i="7"/>
  <c r="C334" i="7"/>
  <c r="D467" i="7"/>
  <c r="D781" i="7"/>
  <c r="D503" i="7"/>
  <c r="C802" i="7"/>
  <c r="D372" i="7"/>
  <c r="C1458" i="7"/>
  <c r="D720" i="7"/>
  <c r="D1303" i="7"/>
  <c r="D1184" i="7"/>
  <c r="C590" i="7"/>
  <c r="D762" i="7"/>
  <c r="D319" i="7"/>
  <c r="C1043" i="7"/>
  <c r="C1467" i="7"/>
  <c r="C1056" i="7"/>
  <c r="D770" i="7"/>
  <c r="D710" i="7"/>
  <c r="D1041" i="7"/>
  <c r="D1027" i="7"/>
  <c r="E471" i="7"/>
  <c r="E269" i="7"/>
  <c r="E466" i="7"/>
  <c r="E651" i="7"/>
  <c r="E425" i="7"/>
  <c r="D712" i="7"/>
  <c r="D986" i="7"/>
  <c r="D456" i="7"/>
  <c r="E472" i="7"/>
  <c r="D876" i="7"/>
  <c r="D1494" i="7"/>
  <c r="D856" i="7"/>
  <c r="D967" i="7"/>
  <c r="D1441" i="7"/>
  <c r="D1307" i="7"/>
  <c r="D1218" i="7"/>
  <c r="E641" i="7"/>
  <c r="E794" i="7"/>
  <c r="E955" i="7"/>
  <c r="D1383" i="7"/>
  <c r="D473" i="7"/>
  <c r="D1435" i="7"/>
  <c r="D1458" i="7"/>
  <c r="E761" i="7"/>
  <c r="D231" i="7"/>
  <c r="C252" i="7"/>
  <c r="B884" i="7"/>
  <c r="C863" i="7"/>
  <c r="C1039" i="7"/>
  <c r="C880" i="7"/>
  <c r="C1160" i="7"/>
  <c r="D256" i="7"/>
  <c r="D1313" i="7"/>
  <c r="E753" i="7"/>
  <c r="D458" i="7"/>
  <c r="C1316" i="7"/>
  <c r="C736" i="7"/>
  <c r="D202" i="7"/>
  <c r="C877" i="7"/>
  <c r="C1252" i="7"/>
  <c r="C1064" i="7"/>
  <c r="D515" i="7"/>
  <c r="C643" i="7"/>
  <c r="D911" i="7"/>
  <c r="D1208" i="7"/>
  <c r="D1018" i="7"/>
  <c r="D957" i="7"/>
  <c r="B1010" i="7"/>
  <c r="D404" i="7"/>
  <c r="C1171" i="7"/>
  <c r="D1023" i="7"/>
  <c r="C859" i="7"/>
  <c r="B1522" i="7"/>
  <c r="C963" i="7"/>
  <c r="C1170" i="7"/>
  <c r="D1006" i="7"/>
  <c r="D293" i="7"/>
  <c r="D1489" i="7"/>
  <c r="D1379" i="7"/>
  <c r="B1266" i="7"/>
  <c r="D444" i="7"/>
  <c r="D598" i="7"/>
  <c r="D679" i="7"/>
  <c r="D1336" i="7"/>
  <c r="C224" i="7"/>
  <c r="D411" i="7"/>
  <c r="D869" i="7"/>
  <c r="D918" i="7"/>
  <c r="E347" i="7"/>
  <c r="D881" i="7"/>
  <c r="C1352" i="7"/>
  <c r="D263" i="7"/>
  <c r="B546" i="7"/>
  <c r="D599" i="7"/>
  <c r="D1055" i="7"/>
  <c r="C1353" i="7"/>
  <c r="D275" i="7"/>
  <c r="D661" i="7"/>
  <c r="D383" i="7"/>
  <c r="D849" i="7"/>
  <c r="C812" i="7"/>
  <c r="B329" i="7"/>
  <c r="B1403" i="7"/>
  <c r="C406" i="7"/>
  <c r="C1442" i="7"/>
  <c r="D492" i="7"/>
  <c r="D300" i="7"/>
  <c r="D859" i="7"/>
  <c r="D1407" i="7"/>
  <c r="D1288" i="7"/>
  <c r="C1145" i="7"/>
  <c r="C771" i="7"/>
  <c r="D453" i="7"/>
  <c r="C1491" i="7"/>
  <c r="D615" i="7"/>
  <c r="C606" i="7"/>
  <c r="C803" i="7"/>
  <c r="D1166" i="7"/>
  <c r="D1233" i="7"/>
  <c r="D1163" i="7"/>
  <c r="E583" i="7"/>
  <c r="E408" i="7"/>
  <c r="E570" i="7"/>
  <c r="E747" i="7"/>
  <c r="D378" i="7"/>
  <c r="D968" i="7"/>
  <c r="D1114" i="7"/>
  <c r="D1149" i="7"/>
  <c r="E584" i="7"/>
  <c r="D1253" i="7"/>
  <c r="B710" i="7"/>
  <c r="C553" i="7"/>
  <c r="C808" i="7"/>
  <c r="C1151" i="7"/>
  <c r="C1152" i="7"/>
  <c r="C1368" i="7"/>
  <c r="D382" i="7"/>
  <c r="D1409" i="7"/>
  <c r="E849" i="7"/>
  <c r="D578" i="7"/>
  <c r="D208" i="7"/>
  <c r="C1121" i="7"/>
  <c r="C791" i="7"/>
  <c r="C838" i="7"/>
  <c r="C1364" i="7"/>
  <c r="C705" i="7"/>
  <c r="C746" i="7"/>
  <c r="C1107" i="7"/>
  <c r="D1015" i="7"/>
  <c r="D1312" i="7"/>
  <c r="D1122" i="7"/>
  <c r="D1294" i="7"/>
  <c r="C671" i="7"/>
  <c r="D548" i="7"/>
  <c r="D343" i="7"/>
  <c r="D1127" i="7"/>
  <c r="D504" i="7"/>
  <c r="C1256" i="7"/>
  <c r="D206" i="7"/>
  <c r="D180" i="7"/>
  <c r="D1110" i="7"/>
  <c r="D648" i="7"/>
  <c r="D377" i="7"/>
  <c r="D1483" i="7"/>
  <c r="C708" i="7"/>
  <c r="D564" i="7"/>
  <c r="C787" i="7"/>
  <c r="D817" i="7"/>
  <c r="D1448" i="7"/>
  <c r="C1272" i="7"/>
  <c r="D587" i="7"/>
  <c r="C786" i="7"/>
  <c r="D1030" i="7"/>
  <c r="B900" i="7"/>
  <c r="D985" i="7"/>
  <c r="B266" i="7"/>
  <c r="D443" i="7"/>
  <c r="C818" i="7"/>
  <c r="D361" i="7"/>
  <c r="D1159" i="7"/>
  <c r="C288" i="7"/>
  <c r="D459" i="7"/>
  <c r="D773" i="7"/>
  <c r="D495" i="7"/>
  <c r="D959" i="7"/>
  <c r="C1116" i="7"/>
  <c r="C1002" i="7"/>
  <c r="C882" i="7"/>
  <c r="C831" i="7"/>
  <c r="D386" i="7"/>
  <c r="B545" i="7"/>
  <c r="D422" i="7"/>
  <c r="D966" i="7"/>
  <c r="D1511" i="7"/>
  <c r="D1392" i="7"/>
  <c r="C1481" i="7"/>
  <c r="C1411" i="7"/>
  <c r="D573" i="7"/>
  <c r="D291" i="7"/>
  <c r="D753" i="7"/>
  <c r="C1153" i="7"/>
  <c r="D363" i="7"/>
  <c r="D871" i="7"/>
  <c r="D1425" i="7"/>
  <c r="D1291" i="7"/>
  <c r="D609" i="7"/>
  <c r="E521" i="7"/>
  <c r="E674" i="7"/>
  <c r="E843" i="7"/>
  <c r="C1359" i="7"/>
  <c r="B1378" i="7"/>
  <c r="C587" i="7"/>
  <c r="B1020" i="7"/>
  <c r="D205" i="7"/>
  <c r="C1233" i="7"/>
  <c r="C1139" i="7"/>
  <c r="D651" i="7"/>
  <c r="D1397" i="7"/>
  <c r="C547" i="7"/>
  <c r="D818" i="7"/>
  <c r="C1433" i="7"/>
  <c r="B1476" i="7"/>
  <c r="B1308" i="7"/>
  <c r="C919" i="7"/>
  <c r="B923" i="7"/>
  <c r="C494" i="7"/>
  <c r="D447" i="7"/>
  <c r="D1223" i="7"/>
  <c r="D703" i="7"/>
  <c r="D416" i="7"/>
  <c r="E234" i="7"/>
  <c r="C962" i="7"/>
  <c r="C1099" i="7"/>
  <c r="D567" i="7"/>
  <c r="E315" i="7"/>
  <c r="D852" i="7"/>
  <c r="C1273" i="7"/>
  <c r="D276" i="7"/>
  <c r="D470" i="7"/>
  <c r="D368" i="7"/>
  <c r="D1224" i="7"/>
  <c r="D811" i="7"/>
  <c r="E359" i="7"/>
  <c r="C1026" i="7"/>
  <c r="C1163" i="7"/>
  <c r="D198" i="7"/>
  <c r="D1351" i="7"/>
  <c r="D568" i="7"/>
  <c r="C1329" i="7"/>
  <c r="C1418" i="7"/>
  <c r="D494" i="7"/>
  <c r="C699" i="7"/>
  <c r="D670" i="7"/>
  <c r="D1193" i="7"/>
  <c r="C1345" i="7"/>
  <c r="D340" i="7"/>
  <c r="D244" i="7"/>
  <c r="D806" i="7"/>
  <c r="D1375" i="7"/>
  <c r="C1044" i="7"/>
  <c r="C970" i="7"/>
  <c r="C850" i="7"/>
  <c r="D393" i="7"/>
  <c r="D1167" i="7"/>
  <c r="C278" i="7"/>
  <c r="D476" i="7"/>
  <c r="D278" i="7"/>
  <c r="C542" i="7"/>
  <c r="D754" i="7"/>
  <c r="C1451" i="7"/>
  <c r="C374" i="7"/>
  <c r="D1174" i="7"/>
  <c r="E283" i="7"/>
  <c r="D344" i="7"/>
  <c r="C495" i="7"/>
  <c r="D499" i="7"/>
  <c r="D821" i="7"/>
  <c r="D543" i="7"/>
  <c r="D999" i="7"/>
  <c r="B603" i="7"/>
  <c r="C623" i="7"/>
  <c r="E267" i="7"/>
  <c r="D694" i="7"/>
  <c r="D1531" i="7"/>
  <c r="D1410" i="7"/>
  <c r="E729" i="7"/>
  <c r="E882" i="7"/>
  <c r="E1035" i="7"/>
  <c r="D438" i="7"/>
  <c r="D408" i="7"/>
  <c r="D769" i="7"/>
  <c r="E341" i="7"/>
  <c r="D1348" i="7"/>
  <c r="E345" i="7"/>
  <c r="C1294" i="7"/>
  <c r="B1300" i="7"/>
  <c r="D306" i="7"/>
  <c r="C351" i="7"/>
  <c r="D666" i="7"/>
  <c r="C1524" i="7"/>
  <c r="D292" i="7"/>
  <c r="D1155" i="7"/>
  <c r="C1269" i="7"/>
  <c r="C728" i="7"/>
  <c r="D451" i="7"/>
  <c r="D216" i="7"/>
  <c r="C1265" i="7"/>
  <c r="C1025" i="7"/>
  <c r="C856" i="7"/>
  <c r="C930" i="7"/>
  <c r="D469" i="7"/>
  <c r="D612" i="7"/>
  <c r="D187" i="7"/>
  <c r="D1057" i="7"/>
  <c r="D939" i="7"/>
  <c r="D1378" i="7"/>
  <c r="D634" i="7"/>
  <c r="D613" i="7"/>
  <c r="D1102" i="7"/>
  <c r="D638" i="7"/>
  <c r="D1169" i="7"/>
  <c r="D224" i="7"/>
  <c r="C627" i="7"/>
  <c r="C1203" i="7"/>
  <c r="D1239" i="7"/>
  <c r="C1115" i="7"/>
  <c r="D1138" i="7"/>
  <c r="C615" i="7"/>
  <c r="D650" i="7"/>
  <c r="D509" i="7"/>
  <c r="D784" i="7"/>
  <c r="E339" i="7"/>
  <c r="D977" i="7"/>
  <c r="D272" i="7"/>
  <c r="C1195" i="7"/>
  <c r="C1299" i="7"/>
  <c r="D828" i="7"/>
  <c r="D1032" i="7"/>
  <c r="C321" i="7"/>
  <c r="C1314" i="7"/>
  <c r="C747" i="7"/>
  <c r="D614" i="7"/>
  <c r="D1142" i="7"/>
  <c r="C554" i="7"/>
  <c r="C1346" i="7"/>
  <c r="D588" i="7"/>
  <c r="D398" i="7"/>
  <c r="D942" i="7"/>
  <c r="C776" i="7"/>
  <c r="D530" i="7"/>
  <c r="C1387" i="7"/>
  <c r="B1156" i="7"/>
  <c r="D189" i="7"/>
  <c r="D347" i="7"/>
  <c r="D565" i="7"/>
  <c r="D279" i="7"/>
  <c r="D743" i="7"/>
  <c r="D529" i="7"/>
  <c r="D921" i="7"/>
  <c r="C1444" i="7"/>
  <c r="D223" i="7"/>
  <c r="C1490" i="7"/>
  <c r="D731" i="7"/>
  <c r="D1311" i="7"/>
  <c r="C1156" i="7"/>
  <c r="C1388" i="7"/>
  <c r="D952" i="7"/>
  <c r="D1106" i="7"/>
  <c r="C1435" i="7"/>
  <c r="E464" i="7"/>
  <c r="D835" i="7"/>
  <c r="D1478" i="7"/>
  <c r="D814" i="7"/>
  <c r="D1190" i="7"/>
  <c r="D1241" i="7"/>
  <c r="D1179" i="7"/>
  <c r="D696" i="7"/>
  <c r="E529" i="7"/>
  <c r="E682" i="7"/>
  <c r="B1258" i="7"/>
  <c r="C1173" i="7"/>
  <c r="B1435" i="7"/>
  <c r="C694" i="7"/>
  <c r="D419" i="7"/>
  <c r="D562" i="7"/>
  <c r="D1175" i="7"/>
  <c r="E399" i="7"/>
  <c r="C665" i="7"/>
  <c r="C960" i="7"/>
  <c r="D563" i="7"/>
  <c r="C770" i="7"/>
  <c r="B371" i="7"/>
  <c r="C1161" i="7"/>
  <c r="C1088" i="7"/>
  <c r="D418" i="7"/>
  <c r="D605" i="7"/>
  <c r="D752" i="7"/>
  <c r="D627" i="7"/>
  <c r="D1161" i="7"/>
  <c r="D1043" i="7"/>
  <c r="E300" i="7"/>
  <c r="D842" i="7"/>
  <c r="D733" i="7"/>
  <c r="D1206" i="7"/>
  <c r="D776" i="7"/>
  <c r="D1273" i="7"/>
  <c r="C994" i="7"/>
  <c r="C1131" i="7"/>
  <c r="D166" i="7"/>
  <c r="D1343" i="7"/>
  <c r="D536" i="7"/>
  <c r="C891" i="7"/>
  <c r="D314" i="7"/>
  <c r="D858" i="7"/>
  <c r="D637" i="7"/>
  <c r="D910" i="7"/>
  <c r="E443" i="7"/>
  <c r="D1081" i="7"/>
  <c r="D506" i="7"/>
  <c r="D227" i="7"/>
  <c r="D214" i="7"/>
  <c r="D943" i="7"/>
  <c r="D1136" i="7"/>
  <c r="B457" i="7"/>
  <c r="D284" i="7"/>
  <c r="C1259" i="7"/>
  <c r="C851" i="7"/>
  <c r="C827" i="7"/>
  <c r="C1526" i="7"/>
  <c r="D304" i="7"/>
  <c r="C779" i="7"/>
  <c r="D510" i="7"/>
  <c r="D1046" i="7"/>
  <c r="C1472" i="7"/>
  <c r="D738" i="7"/>
  <c r="D287" i="7"/>
  <c r="C947" i="7"/>
  <c r="C462" i="7"/>
  <c r="D491" i="7"/>
  <c r="D685" i="7"/>
  <c r="D407" i="7"/>
  <c r="D879" i="7"/>
  <c r="D723" i="7"/>
  <c r="D1033" i="7"/>
  <c r="C834" i="7"/>
  <c r="D380" i="7"/>
  <c r="D310" i="7"/>
  <c r="D870" i="7"/>
  <c r="D1415" i="7"/>
  <c r="C1452" i="7"/>
  <c r="C1419" i="7"/>
  <c r="D1168" i="7"/>
  <c r="C763" i="7"/>
  <c r="D1085" i="7"/>
  <c r="E568" i="7"/>
  <c r="D1237" i="7"/>
  <c r="E208" i="7"/>
  <c r="D1212" i="7"/>
  <c r="C552" i="7"/>
  <c r="C1365" i="7"/>
  <c r="C540" i="7"/>
  <c r="C823" i="7"/>
  <c r="D516" i="7"/>
  <c r="D435" i="7"/>
  <c r="C1498" i="7"/>
  <c r="E599" i="7"/>
  <c r="C1065" i="7"/>
  <c r="C1392" i="7"/>
  <c r="D194" i="7"/>
  <c r="C1218" i="7"/>
  <c r="C206" i="7"/>
  <c r="C1337" i="7"/>
  <c r="C1296" i="7"/>
  <c r="D626" i="7"/>
  <c r="D725" i="7"/>
  <c r="D886" i="7"/>
  <c r="D766" i="7"/>
  <c r="D1265" i="7"/>
  <c r="D1147" i="7"/>
  <c r="C1183" i="7"/>
  <c r="C931" i="7"/>
  <c r="D845" i="7"/>
  <c r="D334" i="7"/>
  <c r="D904" i="7"/>
  <c r="D1377" i="7"/>
  <c r="D252" i="7"/>
  <c r="D195" i="7"/>
  <c r="D351" i="7"/>
  <c r="D1447" i="7"/>
  <c r="D724" i="7"/>
  <c r="D480" i="7"/>
  <c r="C1295" i="7"/>
  <c r="C1123" i="7"/>
  <c r="D749" i="7"/>
  <c r="D1014" i="7"/>
  <c r="D335" i="7"/>
  <c r="D1185" i="7"/>
  <c r="D658" i="7"/>
  <c r="D397" i="7"/>
  <c r="D367" i="7"/>
  <c r="D1047" i="7"/>
  <c r="D1456" i="7"/>
  <c r="C1030" i="7"/>
  <c r="D514" i="7"/>
  <c r="D267" i="7"/>
  <c r="C1331" i="7"/>
  <c r="D464" i="7"/>
  <c r="C768" i="7"/>
  <c r="D522" i="7"/>
  <c r="C1291" i="7"/>
  <c r="B777" i="7"/>
  <c r="D1150" i="7"/>
  <c r="B1436" i="7"/>
  <c r="C670" i="7"/>
  <c r="D421" i="7"/>
  <c r="C1395" i="7"/>
  <c r="C884" i="7"/>
  <c r="B1531" i="7"/>
  <c r="D805" i="7"/>
  <c r="D519" i="7"/>
  <c r="D991" i="7"/>
  <c r="D872" i="7"/>
  <c r="B697" i="7"/>
  <c r="C1474" i="7"/>
  <c r="D500" i="7"/>
  <c r="D430" i="7"/>
  <c r="D974" i="7"/>
  <c r="D1519" i="7"/>
  <c r="C898" i="7"/>
  <c r="D789" i="7"/>
  <c r="D1376" i="7"/>
  <c r="D544" i="7"/>
  <c r="D1406" i="7"/>
  <c r="D360" i="7"/>
  <c r="D1445" i="7"/>
  <c r="E336" i="7"/>
  <c r="D1405" i="7"/>
  <c r="C1279" i="7"/>
  <c r="D1505" i="7"/>
  <c r="C1257" i="7"/>
  <c r="C1169" i="7"/>
  <c r="D1416" i="7"/>
  <c r="C563" i="7"/>
  <c r="C833" i="7"/>
  <c r="D787" i="7"/>
  <c r="C681" i="7"/>
  <c r="C897" i="7"/>
  <c r="D369" i="7"/>
  <c r="C1266" i="7"/>
  <c r="D603" i="7"/>
  <c r="C1356" i="7"/>
  <c r="D546" i="7"/>
  <c r="E179" i="7"/>
  <c r="D701" i="7"/>
  <c r="D507" i="7"/>
  <c r="D1156" i="7"/>
  <c r="C1515" i="7"/>
  <c r="C1019" i="7"/>
  <c r="D488" i="7"/>
  <c r="E218" i="7"/>
  <c r="E308" i="7"/>
  <c r="D1400" i="7"/>
  <c r="D1427" i="7"/>
  <c r="E488" i="7"/>
  <c r="E217" i="7"/>
  <c r="E1051" i="7"/>
  <c r="D992" i="7"/>
  <c r="D791" i="7"/>
  <c r="E214" i="7"/>
  <c r="D1285" i="7"/>
  <c r="E579" i="7"/>
  <c r="D878" i="7"/>
  <c r="D736" i="7"/>
  <c r="D729" i="7"/>
  <c r="D697" i="7"/>
  <c r="E238" i="7"/>
  <c r="E779" i="7"/>
  <c r="D1399" i="7"/>
  <c r="D747" i="7"/>
  <c r="D772" i="7"/>
  <c r="D740" i="7"/>
  <c r="E249" i="7"/>
  <c r="E979" i="7"/>
  <c r="D465" i="7"/>
  <c r="D922" i="7"/>
  <c r="D1262" i="7"/>
  <c r="D1220" i="7"/>
  <c r="C1338" i="7"/>
  <c r="D597" i="7"/>
  <c r="C1098" i="7"/>
  <c r="D1390" i="7"/>
  <c r="E795" i="7"/>
  <c r="D1260" i="7"/>
  <c r="E844" i="7"/>
  <c r="F976" i="7"/>
  <c r="F561" i="7"/>
  <c r="E447" i="7"/>
  <c r="E995" i="7"/>
  <c r="E1198" i="7"/>
  <c r="E668" i="7"/>
  <c r="F888" i="7"/>
  <c r="D317" i="7"/>
  <c r="D932" i="7"/>
  <c r="E421" i="7"/>
  <c r="E918" i="7"/>
  <c r="E1499" i="7"/>
  <c r="E1460" i="7"/>
  <c r="E980" i="7"/>
  <c r="E501" i="7"/>
  <c r="E983" i="7"/>
  <c r="E936" i="7"/>
  <c r="F836" i="7"/>
  <c r="F1261" i="7"/>
  <c r="E1490" i="7"/>
  <c r="D860" i="7"/>
  <c r="D857" i="7"/>
  <c r="E666" i="7"/>
  <c r="E446" i="7"/>
  <c r="E954" i="7"/>
  <c r="E892" i="7"/>
  <c r="F808" i="7"/>
  <c r="D1235" i="7"/>
  <c r="D1221" i="7"/>
  <c r="D988" i="7"/>
  <c r="D1516" i="7"/>
  <c r="D1076" i="7"/>
  <c r="F528" i="7"/>
  <c r="E1349" i="7"/>
  <c r="D1243" i="7"/>
  <c r="E921" i="7"/>
  <c r="E1219" i="7"/>
  <c r="E1230" i="7"/>
  <c r="D1204" i="7"/>
  <c r="D1267" i="7"/>
  <c r="D1365" i="7"/>
  <c r="D1052" i="7"/>
  <c r="E166" i="7"/>
  <c r="D945" i="7"/>
  <c r="E289" i="7"/>
  <c r="E282" i="7"/>
  <c r="E670" i="7"/>
  <c r="E1251" i="7"/>
  <c r="D557" i="7"/>
  <c r="C448" i="7"/>
  <c r="D963" i="7"/>
  <c r="C596" i="7"/>
  <c r="C659" i="7"/>
  <c r="D841" i="7"/>
  <c r="D357" i="7"/>
  <c r="B1179" i="7"/>
  <c r="D1328" i="7"/>
  <c r="D211" i="7"/>
  <c r="C772" i="7"/>
  <c r="D808" i="7"/>
  <c r="D390" i="7"/>
  <c r="D348" i="7"/>
  <c r="C1378" i="7"/>
  <c r="C739" i="7"/>
  <c r="E387" i="7"/>
  <c r="C510" i="7"/>
  <c r="C1258" i="7"/>
  <c r="E182" i="7"/>
  <c r="D829" i="7"/>
  <c r="D576" i="7"/>
  <c r="D1061" i="7"/>
  <c r="E346" i="7"/>
  <c r="E436" i="7"/>
  <c r="D617" i="7"/>
  <c r="E223" i="7"/>
  <c r="E592" i="7"/>
  <c r="E356" i="7"/>
  <c r="E1147" i="7"/>
  <c r="D1200" i="7"/>
  <c r="D931" i="7"/>
  <c r="E374" i="7"/>
  <c r="D1493" i="7"/>
  <c r="E675" i="7"/>
  <c r="D1391" i="7"/>
  <c r="D890" i="7"/>
  <c r="D1230" i="7"/>
  <c r="D1157" i="7"/>
  <c r="E377" i="7"/>
  <c r="E1067" i="7"/>
  <c r="E363" i="7"/>
  <c r="D906" i="7"/>
  <c r="D1246" i="7"/>
  <c r="D1189" i="7"/>
  <c r="E610" i="7"/>
  <c r="E1075" i="7"/>
  <c r="D840" i="7"/>
  <c r="D1050" i="7"/>
  <c r="D1518" i="7"/>
  <c r="E333" i="7"/>
  <c r="D982" i="7"/>
  <c r="C1523" i="7"/>
  <c r="D1158" i="7"/>
  <c r="E437" i="7"/>
  <c r="D771" i="7"/>
  <c r="E422" i="7"/>
  <c r="E1000" i="7"/>
  <c r="D1404" i="7"/>
  <c r="D721" i="7"/>
  <c r="D825" i="7"/>
  <c r="E1187" i="7"/>
  <c r="D1324" i="7"/>
  <c r="E860" i="7"/>
  <c r="F984" i="7"/>
  <c r="C527" i="7"/>
  <c r="E456" i="7"/>
  <c r="E619" i="7"/>
  <c r="E1014" i="7"/>
  <c r="F167" i="7"/>
  <c r="F224" i="7"/>
  <c r="E1108" i="7"/>
  <c r="E767" i="7"/>
  <c r="E1111" i="7"/>
  <c r="E1069" i="7"/>
  <c r="F932" i="7"/>
  <c r="F1357" i="7"/>
  <c r="F390" i="7"/>
  <c r="C730" i="7"/>
  <c r="E463" i="7"/>
  <c r="E874" i="7"/>
  <c r="E542" i="7"/>
  <c r="E1084" i="7"/>
  <c r="E1032" i="7"/>
  <c r="F904" i="7"/>
  <c r="D1515" i="7"/>
  <c r="E260" i="7"/>
  <c r="D1325" i="7"/>
  <c r="E556" i="7"/>
  <c r="E381" i="7"/>
  <c r="F624" i="7"/>
  <c r="E1445" i="7"/>
  <c r="D1523" i="7"/>
  <c r="D1349" i="7"/>
  <c r="D1020" i="7"/>
  <c r="E588" i="7"/>
  <c r="E424" i="7"/>
  <c r="E287" i="7"/>
  <c r="E281" i="7"/>
  <c r="D1357" i="7"/>
  <c r="E620" i="7"/>
  <c r="D1353" i="7"/>
  <c r="E560" i="7"/>
  <c r="E515" i="7"/>
  <c r="E766" i="7"/>
  <c r="E1347" i="7"/>
  <c r="D699" i="7"/>
  <c r="B1026" i="7"/>
  <c r="D1059" i="7"/>
  <c r="C756" i="7"/>
  <c r="C924" i="7"/>
  <c r="D953" i="7"/>
  <c r="D493" i="7"/>
  <c r="C691" i="7"/>
  <c r="D1432" i="7"/>
  <c r="D389" i="7"/>
  <c r="C1020" i="7"/>
  <c r="D928" i="7"/>
  <c r="D502" i="7"/>
  <c r="D468" i="7"/>
  <c r="D316" i="7"/>
  <c r="C1379" i="7"/>
  <c r="C1114" i="7"/>
  <c r="C1042" i="7"/>
  <c r="D239" i="7"/>
  <c r="E332" i="7"/>
  <c r="D301" i="7"/>
  <c r="D915" i="7"/>
  <c r="E280" i="7"/>
  <c r="E467" i="7"/>
  <c r="D538" i="7"/>
  <c r="D889" i="7"/>
  <c r="E351" i="7"/>
  <c r="D611" i="7"/>
  <c r="E482" i="7"/>
  <c r="E1243" i="7"/>
  <c r="D1408" i="7"/>
  <c r="D1075" i="7"/>
  <c r="E496" i="7"/>
  <c r="E228" i="7"/>
  <c r="E771" i="7"/>
  <c r="E355" i="7"/>
  <c r="D1026" i="7"/>
  <c r="D1470" i="7"/>
  <c r="D1396" i="7"/>
  <c r="E498" i="7"/>
  <c r="E1163" i="7"/>
  <c r="D433" i="7"/>
  <c r="D1042" i="7"/>
  <c r="D1486" i="7"/>
  <c r="D1412" i="7"/>
  <c r="E722" i="7"/>
  <c r="E1171" i="7"/>
  <c r="D1064" i="7"/>
  <c r="D1170" i="7"/>
  <c r="E256" i="7"/>
  <c r="E473" i="7"/>
  <c r="D625" i="7"/>
  <c r="D489" i="7"/>
  <c r="E395" i="7"/>
  <c r="E438" i="7"/>
  <c r="D1261" i="7"/>
  <c r="E728" i="7"/>
  <c r="E1128" i="7"/>
  <c r="E532" i="7"/>
  <c r="E403" i="7"/>
  <c r="D1492" i="7"/>
  <c r="D892" i="7"/>
  <c r="E460" i="7"/>
  <c r="E1010" i="7"/>
  <c r="D1468" i="7"/>
  <c r="D1096" i="7"/>
  <c r="D868" i="7"/>
  <c r="E811" i="7"/>
  <c r="E1110" i="7"/>
  <c r="F263" i="7"/>
  <c r="F320" i="7"/>
  <c r="E1236" i="7"/>
  <c r="E946" i="7"/>
  <c r="E1238" i="7"/>
  <c r="E1197" i="7"/>
  <c r="D1450" i="7"/>
  <c r="F1453" i="7"/>
  <c r="F562" i="7"/>
  <c r="D1144" i="7"/>
  <c r="D964" i="7"/>
  <c r="D1238" i="7"/>
  <c r="E638" i="7"/>
  <c r="E1212" i="7"/>
  <c r="E1160" i="7"/>
  <c r="C1427" i="7"/>
  <c r="E191" i="7"/>
  <c r="E514" i="7"/>
  <c r="E286" i="7"/>
  <c r="E792" i="7"/>
  <c r="E716" i="7"/>
  <c r="F720" i="7"/>
  <c r="F209" i="7"/>
  <c r="E279" i="7"/>
  <c r="E270" i="7"/>
  <c r="D1341" i="7"/>
  <c r="E808" i="7"/>
  <c r="C1035" i="7"/>
  <c r="D989" i="7"/>
  <c r="E538" i="7"/>
  <c r="E329" i="7"/>
  <c r="E824" i="7"/>
  <c r="D800" i="7"/>
  <c r="D1252" i="7"/>
  <c r="E707" i="7"/>
  <c r="E862" i="7"/>
  <c r="E1443" i="7"/>
  <c r="D1495" i="7"/>
  <c r="B488" i="7"/>
  <c r="C1360" i="7"/>
  <c r="E945" i="7"/>
  <c r="C1487" i="7"/>
  <c r="C1290" i="7"/>
  <c r="C595" i="7"/>
  <c r="D455" i="7"/>
  <c r="D395" i="7"/>
  <c r="D672" i="7"/>
  <c r="C1235" i="7"/>
  <c r="C906" i="7"/>
  <c r="D1089" i="7"/>
  <c r="D667" i="7"/>
  <c r="B1075" i="7"/>
  <c r="D356" i="7"/>
  <c r="C971" i="7"/>
  <c r="D1496" i="7"/>
  <c r="D415" i="7"/>
  <c r="D1287" i="7"/>
  <c r="E625" i="7"/>
  <c r="D742" i="7"/>
  <c r="D1035" i="7"/>
  <c r="E418" i="7"/>
  <c r="E563" i="7"/>
  <c r="D191" i="7"/>
  <c r="D441" i="7"/>
  <c r="D584" i="7"/>
  <c r="D1093" i="7"/>
  <c r="C657" i="7"/>
  <c r="D746" i="7"/>
  <c r="D628" i="7"/>
  <c r="E231" i="7"/>
  <c r="E600" i="7"/>
  <c r="E366" i="7"/>
  <c r="E1059" i="7"/>
  <c r="D401" i="7"/>
  <c r="D1154" i="7"/>
  <c r="E224" i="7"/>
  <c r="E173" i="7"/>
  <c r="E818" i="7"/>
  <c r="C1434" i="7"/>
  <c r="D830" i="7"/>
  <c r="D1162" i="7"/>
  <c r="E245" i="7"/>
  <c r="E457" i="7"/>
  <c r="E826" i="7"/>
  <c r="D173" i="7"/>
  <c r="D1272" i="7"/>
  <c r="D270" i="7"/>
  <c r="E647" i="7"/>
  <c r="E577" i="7"/>
  <c r="D1111" i="7"/>
  <c r="D1062" i="7"/>
  <c r="D1072" i="7"/>
  <c r="E593" i="7"/>
  <c r="D1485" i="7"/>
  <c r="E916" i="7"/>
  <c r="E1252" i="7"/>
  <c r="E781" i="7"/>
  <c r="D1153" i="7"/>
  <c r="E354" i="7"/>
  <c r="D1277" i="7"/>
  <c r="E744" i="7"/>
  <c r="E1138" i="7"/>
  <c r="E969" i="7"/>
  <c r="D681" i="7"/>
  <c r="D1508" i="7"/>
  <c r="E1003" i="7"/>
  <c r="E1206" i="7"/>
  <c r="F359" i="7"/>
  <c r="F416" i="7"/>
  <c r="E1333" i="7"/>
  <c r="E1077" i="7"/>
  <c r="E1335" i="7"/>
  <c r="E1304" i="7"/>
  <c r="E1103" i="7"/>
  <c r="G217" i="7"/>
  <c r="F697" i="7"/>
  <c r="D756" i="7"/>
  <c r="E528" i="7"/>
  <c r="E176" i="7"/>
  <c r="E734" i="7"/>
  <c r="D498" i="7"/>
  <c r="D442" i="7"/>
  <c r="D1462" i="7"/>
  <c r="C953" i="7"/>
  <c r="C1067" i="7"/>
  <c r="D684" i="7"/>
  <c r="D171" i="7"/>
  <c r="D436" i="7"/>
  <c r="D930" i="7"/>
  <c r="D359" i="7"/>
  <c r="D572" i="7"/>
  <c r="D1297" i="7"/>
  <c r="D934" i="7"/>
  <c r="C1330" i="7"/>
  <c r="D596" i="7"/>
  <c r="D309" i="7"/>
  <c r="D660" i="7"/>
  <c r="C1210" i="7"/>
  <c r="C858" i="7"/>
  <c r="E833" i="7"/>
  <c r="D903" i="7"/>
  <c r="D1299" i="7"/>
  <c r="E633" i="7"/>
  <c r="E659" i="7"/>
  <c r="D526" i="7"/>
  <c r="D715" i="7"/>
  <c r="D1181" i="7"/>
  <c r="D1364" i="7"/>
  <c r="D973" i="7"/>
  <c r="D364" i="7"/>
  <c r="D897" i="7"/>
  <c r="E367" i="7"/>
  <c r="D655" i="7"/>
  <c r="E490" i="7"/>
  <c r="E1155" i="7"/>
  <c r="D819" i="7"/>
  <c r="C1403" i="7"/>
  <c r="E384" i="7"/>
  <c r="E312" i="7"/>
  <c r="D392" i="7"/>
  <c r="B1505" i="7"/>
  <c r="D1048" i="7"/>
  <c r="D215" i="7"/>
  <c r="E405" i="7"/>
  <c r="E569" i="7"/>
  <c r="D520" i="7"/>
  <c r="D508" i="7"/>
  <c r="D1480" i="7"/>
  <c r="D663" i="7"/>
  <c r="D900" i="7"/>
  <c r="E681" i="7"/>
  <c r="D1479" i="7"/>
  <c r="D732" i="7"/>
  <c r="D1512" i="7"/>
  <c r="E817" i="7"/>
  <c r="E244" i="7"/>
  <c r="E1052" i="7"/>
  <c r="E1348" i="7"/>
  <c r="E957" i="7"/>
  <c r="D601" i="7"/>
  <c r="E601" i="7"/>
  <c r="D1501" i="7"/>
  <c r="E928" i="7"/>
  <c r="E1260" i="7"/>
  <c r="E1097" i="7"/>
  <c r="D1201" i="7"/>
  <c r="E365" i="7"/>
  <c r="E1195" i="7"/>
  <c r="D1388" i="7"/>
  <c r="D803" i="7"/>
  <c r="F512" i="7"/>
  <c r="E1429" i="7"/>
  <c r="E1205" i="7"/>
  <c r="E1431" i="7"/>
  <c r="E1400" i="7"/>
  <c r="E1521" i="7"/>
  <c r="G313" i="7"/>
  <c r="F825" i="7"/>
  <c r="D1209" i="7"/>
  <c r="D901" i="7"/>
  <c r="E432" i="7"/>
  <c r="E830" i="7"/>
  <c r="E1411" i="7"/>
  <c r="E1372" i="7"/>
  <c r="D561" i="7"/>
  <c r="B987" i="7"/>
  <c r="D554" i="7"/>
  <c r="C573" i="7"/>
  <c r="C1129" i="7"/>
  <c r="D349" i="7"/>
  <c r="D823" i="7"/>
  <c r="D624" i="7"/>
  <c r="D556" i="7"/>
  <c r="D1034" i="7"/>
  <c r="D471" i="7"/>
  <c r="C715" i="7"/>
  <c r="D1401" i="7"/>
  <c r="D1038" i="7"/>
  <c r="D268" i="7"/>
  <c r="C811" i="7"/>
  <c r="D445" i="7"/>
  <c r="D799" i="7"/>
  <c r="D553" i="7"/>
  <c r="D702" i="7"/>
  <c r="E937" i="7"/>
  <c r="D1295" i="7"/>
  <c r="D1419" i="7"/>
  <c r="E737" i="7"/>
  <c r="E755" i="7"/>
  <c r="D399" i="7"/>
  <c r="D874" i="7"/>
  <c r="D1438" i="7"/>
  <c r="E290" i="7"/>
  <c r="D1302" i="7"/>
  <c r="C575" i="7"/>
  <c r="D1105" i="7"/>
  <c r="D644" i="7"/>
  <c r="D1125" i="7"/>
  <c r="E594" i="7"/>
  <c r="C922" i="7"/>
  <c r="D1040" i="7"/>
  <c r="D641" i="7"/>
  <c r="E519" i="7"/>
  <c r="E665" i="7"/>
  <c r="D1037" i="7"/>
  <c r="C1347" i="7"/>
  <c r="D1264" i="7"/>
  <c r="D652" i="7"/>
  <c r="D867" i="7"/>
  <c r="E673" i="7"/>
  <c r="D1069" i="7"/>
  <c r="D437" i="7"/>
  <c r="B1162" i="7"/>
  <c r="D1099" i="7"/>
  <c r="D1282" i="7"/>
  <c r="E785" i="7"/>
  <c r="E379" i="7"/>
  <c r="C1480" i="7"/>
  <c r="C1530" i="7"/>
  <c r="D1068" i="7"/>
  <c r="E393" i="7"/>
  <c r="E1180" i="7"/>
  <c r="E1444" i="7"/>
  <c r="E1317" i="7"/>
  <c r="D954" i="7"/>
  <c r="E825" i="7"/>
  <c r="E254" i="7"/>
  <c r="E1063" i="7"/>
  <c r="F216" i="7"/>
  <c r="E1225" i="7"/>
  <c r="D619" i="7"/>
  <c r="E609" i="7"/>
  <c r="D924" i="7"/>
  <c r="E492" i="7"/>
  <c r="E296" i="7"/>
  <c r="F608" i="7"/>
  <c r="E1525" i="7"/>
  <c r="E1310" i="7"/>
  <c r="E1527" i="7"/>
  <c r="E1496" i="7"/>
  <c r="F410" i="7"/>
  <c r="G409" i="7"/>
  <c r="F953" i="7"/>
  <c r="D630" i="7"/>
  <c r="D1524" i="7"/>
  <c r="E627" i="7"/>
  <c r="E926" i="7"/>
  <c r="E1507" i="7"/>
  <c r="E1468" i="7"/>
  <c r="D1160" i="7"/>
  <c r="D996" i="7"/>
  <c r="C658" i="7"/>
  <c r="C737" i="7"/>
  <c r="D698" i="7"/>
  <c r="C911" i="7"/>
  <c r="D323" i="7"/>
  <c r="D1502" i="7"/>
  <c r="D1231" i="7"/>
  <c r="D358" i="7"/>
  <c r="E255" i="7"/>
  <c r="D935" i="7"/>
  <c r="D374" i="7"/>
  <c r="C961" i="7"/>
  <c r="D1263" i="7"/>
  <c r="D607" i="7"/>
  <c r="C1394" i="7"/>
  <c r="D534" i="7"/>
  <c r="D197" i="7"/>
  <c r="D895" i="7"/>
  <c r="D203" i="7"/>
  <c r="E778" i="7"/>
  <c r="D1176" i="7"/>
  <c r="D1422" i="7"/>
  <c r="D1461" i="7"/>
  <c r="E851" i="7"/>
  <c r="D1319" i="7"/>
  <c r="D1002" i="7"/>
  <c r="E202" i="7"/>
  <c r="E745" i="7"/>
  <c r="D1510" i="7"/>
  <c r="D558" i="7"/>
  <c r="D726" i="7"/>
  <c r="D1213" i="7"/>
  <c r="D1380" i="7"/>
  <c r="D1005" i="7"/>
  <c r="C707" i="7"/>
  <c r="D1256" i="7"/>
  <c r="D801" i="7"/>
  <c r="E631" i="7"/>
  <c r="E769" i="7"/>
  <c r="D1334" i="7"/>
  <c r="D484" i="7"/>
  <c r="D1472" i="7"/>
  <c r="D812" i="7"/>
  <c r="D1266" i="7"/>
  <c r="E777" i="7"/>
  <c r="D1350" i="7"/>
  <c r="C1426" i="7"/>
  <c r="D671" i="7"/>
  <c r="D1219" i="7"/>
  <c r="D1522" i="7"/>
  <c r="E889" i="7"/>
  <c r="D497" i="7"/>
  <c r="C820" i="7"/>
  <c r="D946" i="7"/>
  <c r="E430" i="7"/>
  <c r="E518" i="7"/>
  <c r="E1291" i="7"/>
  <c r="F208" i="7"/>
  <c r="E1413" i="7"/>
  <c r="B1444" i="7"/>
  <c r="D1100" i="7"/>
  <c r="E404" i="7"/>
  <c r="E1191" i="7"/>
  <c r="F312" i="7"/>
  <c r="E1325" i="7"/>
  <c r="D962" i="7"/>
  <c r="E897" i="7"/>
  <c r="D1293" i="7"/>
  <c r="E760" i="7"/>
  <c r="E684" i="7"/>
  <c r="F704" i="7"/>
  <c r="F193" i="7"/>
  <c r="E1406" i="7"/>
  <c r="F195" i="7"/>
  <c r="F260" i="7"/>
  <c r="F573" i="7"/>
  <c r="G505" i="7"/>
  <c r="F1062" i="7"/>
  <c r="D970" i="7"/>
  <c r="E376" i="7"/>
  <c r="E819" i="7"/>
  <c r="E1022" i="7"/>
  <c r="F175" i="7"/>
  <c r="F232" i="7"/>
  <c r="D767" i="7"/>
  <c r="C684" i="7"/>
  <c r="C1300" i="7"/>
  <c r="C1059" i="7"/>
  <c r="C687" i="7"/>
  <c r="D559" i="7"/>
  <c r="E373" i="7"/>
  <c r="E427" i="7"/>
  <c r="D582" i="7"/>
  <c r="D324" i="7"/>
  <c r="D1455" i="7"/>
  <c r="D606" i="7"/>
  <c r="C1340" i="7"/>
  <c r="B1006" i="7"/>
  <c r="D678" i="7"/>
  <c r="D406" i="7"/>
  <c r="C1011" i="7"/>
  <c r="C900" i="7"/>
  <c r="D1103" i="7"/>
  <c r="D854" i="7"/>
  <c r="D877" i="7"/>
  <c r="D1384" i="7"/>
  <c r="E192" i="7"/>
  <c r="E206" i="7"/>
  <c r="E947" i="7"/>
  <c r="E291" i="7"/>
  <c r="D1130" i="7"/>
  <c r="E352" i="7"/>
  <c r="E857" i="7"/>
  <c r="E229" i="7"/>
  <c r="D439" i="7"/>
  <c r="D882" i="7"/>
  <c r="D1454" i="7"/>
  <c r="E301" i="7"/>
  <c r="D1318" i="7"/>
  <c r="D388" i="7"/>
  <c r="D1464" i="7"/>
  <c r="D947" i="7"/>
  <c r="D1474" i="7"/>
  <c r="E873" i="7"/>
  <c r="E250" i="7"/>
  <c r="D341" i="7"/>
  <c r="D649" i="7"/>
  <c r="D1211" i="7"/>
  <c r="D1490" i="7"/>
  <c r="E881" i="7"/>
  <c r="E261" i="7"/>
  <c r="C979" i="7"/>
  <c r="D1329" i="7"/>
  <c r="D1339" i="7"/>
  <c r="E257" i="7"/>
  <c r="D385" i="7"/>
  <c r="D851" i="7"/>
  <c r="C875" i="7"/>
  <c r="D1210" i="7"/>
  <c r="E642" i="7"/>
  <c r="E614" i="7"/>
  <c r="E1387" i="7"/>
  <c r="F496" i="7"/>
  <c r="E1509" i="7"/>
  <c r="D875" i="7"/>
  <c r="E441" i="7"/>
  <c r="E526" i="7"/>
  <c r="E1491" i="7"/>
  <c r="F408" i="7"/>
  <c r="E1421" i="7"/>
  <c r="D312" i="7"/>
  <c r="D1132" i="7"/>
  <c r="E414" i="7"/>
  <c r="E941" i="7"/>
  <c r="E876" i="7"/>
  <c r="F800" i="7"/>
  <c r="F289" i="7"/>
  <c r="C912" i="7"/>
  <c r="D486" i="7"/>
  <c r="C706" i="7"/>
  <c r="C1492" i="7"/>
  <c r="D1119" i="7"/>
  <c r="C932" i="7"/>
  <c r="D713" i="7"/>
  <c r="B778" i="7"/>
  <c r="C1012" i="7"/>
  <c r="C1243" i="7"/>
  <c r="D1134" i="7"/>
  <c r="C1450" i="7"/>
  <c r="C788" i="7"/>
  <c r="D1063" i="7"/>
  <c r="C872" i="7"/>
  <c r="D1070" i="7"/>
  <c r="D355" i="7"/>
  <c r="C1529" i="7"/>
  <c r="D1411" i="7"/>
  <c r="E939" i="7"/>
  <c r="D1049" i="7"/>
  <c r="E591" i="7"/>
  <c r="E578" i="7"/>
  <c r="D1229" i="7"/>
  <c r="D744" i="7"/>
  <c r="D620" i="7"/>
  <c r="D1442" i="7"/>
  <c r="D908" i="7"/>
  <c r="E475" i="7"/>
  <c r="E299" i="7"/>
  <c r="D1146" i="7"/>
  <c r="E362" i="7"/>
  <c r="E865" i="7"/>
  <c r="E240" i="7"/>
  <c r="C978" i="7"/>
  <c r="D905" i="7"/>
  <c r="D1451" i="7"/>
  <c r="E385" i="7"/>
  <c r="D972" i="7"/>
  <c r="E491" i="7"/>
  <c r="C579" i="7"/>
  <c r="D1465" i="7"/>
  <c r="D1459" i="7"/>
  <c r="E396" i="7"/>
  <c r="D1004" i="7"/>
  <c r="E499" i="7"/>
  <c r="D1087" i="7"/>
  <c r="C890" i="7"/>
  <c r="E271" i="7"/>
  <c r="E520" i="7"/>
  <c r="D1333" i="7"/>
  <c r="C447" i="7"/>
  <c r="B1076" i="7"/>
  <c r="D1123" i="7"/>
  <c r="D1165" i="7"/>
  <c r="E806" i="7"/>
  <c r="C795" i="7"/>
  <c r="F688" i="7"/>
  <c r="F273" i="7"/>
  <c r="D1491" i="7"/>
  <c r="E858" i="7"/>
  <c r="E910" i="7"/>
  <c r="F351" i="7"/>
  <c r="F600" i="7"/>
  <c r="F185" i="7"/>
  <c r="D1139" i="7"/>
  <c r="E866" i="7"/>
  <c r="E630" i="7"/>
  <c r="E1201" i="7"/>
  <c r="E1149" i="7"/>
  <c r="F992" i="7"/>
  <c r="F481" i="7"/>
  <c r="F266" i="7"/>
  <c r="D1306" i="7"/>
  <c r="F548" i="7"/>
  <c r="F962" i="7"/>
  <c r="G793" i="7"/>
  <c r="F1350" i="7"/>
  <c r="D1227" i="7"/>
  <c r="D1164" i="7"/>
  <c r="D956" i="7"/>
  <c r="D1452" i="7"/>
  <c r="C524" i="7"/>
  <c r="D1118" i="7"/>
  <c r="C611" i="7"/>
  <c r="C1271" i="7"/>
  <c r="D1327" i="7"/>
  <c r="D236" i="7"/>
  <c r="D961" i="7"/>
  <c r="D668" i="7"/>
  <c r="D262" i="7"/>
  <c r="D735" i="7"/>
  <c r="D432" i="7"/>
  <c r="D460" i="7"/>
  <c r="C1348" i="7"/>
  <c r="B1058" i="7"/>
  <c r="C1137" i="7"/>
  <c r="C1339" i="7"/>
  <c r="C319" i="7"/>
  <c r="C644" i="7"/>
  <c r="E199" i="7"/>
  <c r="E1131" i="7"/>
  <c r="D1433" i="7"/>
  <c r="D1188" i="7"/>
  <c r="E786" i="7"/>
  <c r="D1421" i="7"/>
  <c r="D984" i="7"/>
  <c r="D780" i="7"/>
  <c r="E204" i="7"/>
  <c r="D1269" i="7"/>
  <c r="E571" i="7"/>
  <c r="C1370" i="7"/>
  <c r="C1275" i="7"/>
  <c r="E511" i="7"/>
  <c r="C655" i="7"/>
  <c r="E368" i="7"/>
  <c r="C200" i="7"/>
  <c r="D1113" i="7"/>
  <c r="E247" i="7"/>
  <c r="E504" i="7"/>
  <c r="D1301" i="7"/>
  <c r="E587" i="7"/>
  <c r="D551" i="7"/>
  <c r="C591" i="7"/>
  <c r="E263" i="7"/>
  <c r="E512" i="7"/>
  <c r="D1317" i="7"/>
  <c r="E595" i="7"/>
  <c r="D1423" i="7"/>
  <c r="D569" i="7"/>
  <c r="E391" i="7"/>
  <c r="E624" i="7"/>
  <c r="D604" i="7"/>
  <c r="D483" i="7"/>
  <c r="C807" i="7"/>
  <c r="D1403" i="7"/>
  <c r="E400" i="7"/>
  <c r="E902" i="7"/>
  <c r="E210" i="7"/>
  <c r="F784" i="7"/>
  <c r="F369" i="7"/>
  <c r="E167" i="7"/>
  <c r="D1197" i="7"/>
  <c r="E1006" i="7"/>
  <c r="D632" i="7"/>
  <c r="F696" i="7"/>
  <c r="F281" i="7"/>
  <c r="D1499" i="7"/>
  <c r="D1222" i="7"/>
  <c r="E726" i="7"/>
  <c r="E1307" i="7"/>
  <c r="E1268" i="7"/>
  <c r="E596" i="7"/>
  <c r="F577" i="7"/>
  <c r="C712" i="7"/>
  <c r="D1214" i="7"/>
  <c r="C1091" i="7"/>
  <c r="C556" i="7"/>
  <c r="D1431" i="7"/>
  <c r="D426" i="7"/>
  <c r="D1065" i="7"/>
  <c r="D807" i="7"/>
  <c r="D490" i="7"/>
  <c r="D873" i="7"/>
  <c r="D689" i="7"/>
  <c r="D580" i="7"/>
  <c r="B1490" i="7"/>
  <c r="C223" i="7"/>
  <c r="C1465" i="7"/>
  <c r="D592" i="7"/>
  <c r="C1194" i="7"/>
  <c r="C908" i="7"/>
  <c r="E327" i="7"/>
  <c r="E1227" i="7"/>
  <c r="D409" i="7"/>
  <c r="D1426" i="7"/>
  <c r="E890" i="7"/>
  <c r="E180" i="7"/>
  <c r="D1192" i="7"/>
  <c r="D923" i="7"/>
  <c r="E353" i="7"/>
  <c r="D1477" i="7"/>
  <c r="E667" i="7"/>
  <c r="D755" i="7"/>
  <c r="D631" i="7"/>
  <c r="E623" i="7"/>
  <c r="D940" i="7"/>
  <c r="E483" i="7"/>
  <c r="D511" i="7"/>
  <c r="D505" i="7"/>
  <c r="E375" i="7"/>
  <c r="E608" i="7"/>
  <c r="D1509" i="7"/>
  <c r="E683" i="7"/>
  <c r="D1071" i="7"/>
  <c r="D537" i="7"/>
  <c r="E383" i="7"/>
  <c r="E616" i="7"/>
  <c r="D1525" i="7"/>
  <c r="E883" i="7"/>
  <c r="E371" i="7"/>
  <c r="D758" i="7"/>
  <c r="D815" i="7"/>
  <c r="D783" i="7"/>
  <c r="C1075" i="7"/>
  <c r="C328" i="7"/>
  <c r="C1124" i="7"/>
  <c r="E423" i="7"/>
  <c r="E603" i="7"/>
  <c r="E1190" i="7"/>
  <c r="E652" i="7"/>
  <c r="F880" i="7"/>
  <c r="F465" i="7"/>
  <c r="E431" i="7"/>
  <c r="E803" i="7"/>
  <c r="E1102" i="7"/>
  <c r="E253" i="7"/>
  <c r="F792" i="7"/>
  <c r="F377" i="7"/>
  <c r="E455" i="7"/>
  <c r="E165" i="7"/>
  <c r="E822" i="7"/>
  <c r="E1403" i="7"/>
  <c r="E1364" i="7"/>
  <c r="E813" i="7"/>
  <c r="D1354" i="7"/>
  <c r="E816" i="7"/>
  <c r="E756" i="7"/>
  <c r="F740" i="7"/>
  <c r="F1165" i="7"/>
  <c r="E1061" i="7"/>
  <c r="D320" i="7"/>
  <c r="E183" i="7"/>
  <c r="E458" i="7"/>
  <c r="E276" i="7"/>
  <c r="E776" i="7"/>
  <c r="E235" i="7"/>
  <c r="E479" i="7"/>
  <c r="D1526" i="7"/>
  <c r="E389" i="7"/>
  <c r="F592" i="7"/>
  <c r="E1021" i="7"/>
  <c r="F706" i="7"/>
  <c r="E617" i="7"/>
  <c r="D948" i="7"/>
  <c r="D1058" i="7"/>
  <c r="D623" i="7"/>
  <c r="E838" i="7"/>
  <c r="F279" i="7"/>
  <c r="F912" i="7"/>
  <c r="D1337" i="7"/>
  <c r="E397" i="7"/>
  <c r="E462" i="7"/>
  <c r="E1427" i="7"/>
  <c r="D512" i="7"/>
  <c r="D708" i="7"/>
  <c r="E854" i="7"/>
  <c r="D691" i="7"/>
  <c r="E713" i="7"/>
  <c r="D1373" i="7"/>
  <c r="E999" i="7"/>
  <c r="D888" i="7"/>
  <c r="D1310" i="7"/>
  <c r="E324" i="7"/>
  <c r="D1437" i="7"/>
  <c r="E294" i="7"/>
  <c r="D1009" i="7"/>
  <c r="D1362" i="7"/>
  <c r="E314" i="7"/>
  <c r="D1504" i="7"/>
  <c r="E426" i="7"/>
  <c r="E842" i="7"/>
  <c r="E523" i="7"/>
  <c r="E1492" i="7"/>
  <c r="F201" i="7"/>
  <c r="F250" i="7"/>
  <c r="E445" i="7"/>
  <c r="F748" i="7"/>
  <c r="F1277" i="7"/>
  <c r="F611" i="7"/>
  <c r="G586" i="7"/>
  <c r="F1135" i="7"/>
  <c r="G859" i="7"/>
  <c r="F1128" i="7"/>
  <c r="G852" i="7"/>
  <c r="F722" i="7"/>
  <c r="E298" i="7"/>
  <c r="E1500" i="7"/>
  <c r="E1493" i="7"/>
  <c r="E1478" i="7"/>
  <c r="E509" i="7"/>
  <c r="F756" i="7"/>
  <c r="F1285" i="7"/>
  <c r="F622" i="7"/>
  <c r="G594" i="7"/>
  <c r="F1143" i="7"/>
  <c r="E1117" i="7"/>
  <c r="E1204" i="7"/>
  <c r="E1382" i="7"/>
  <c r="F275" i="7"/>
  <c r="F444" i="7"/>
  <c r="F973" i="7"/>
  <c r="G801" i="7"/>
  <c r="F1454" i="7"/>
  <c r="F550" i="7"/>
  <c r="G491" i="7"/>
  <c r="F678" i="7"/>
  <c r="G484" i="7"/>
  <c r="E1174" i="7"/>
  <c r="F672" i="7"/>
  <c r="E178" i="7"/>
  <c r="E880" i="7"/>
  <c r="E994" i="7"/>
  <c r="F980" i="7"/>
  <c r="F1509" i="7"/>
  <c r="F643" i="7"/>
  <c r="G610" i="7"/>
  <c r="F1159" i="7"/>
  <c r="G979" i="7"/>
  <c r="F1248" i="7"/>
  <c r="G1068" i="7"/>
  <c r="E930" i="7"/>
  <c r="E1055" i="7"/>
  <c r="E1294" i="7"/>
  <c r="E1511" i="7"/>
  <c r="F252" i="7"/>
  <c r="F717" i="7"/>
  <c r="G609" i="7"/>
  <c r="D1116" i="7"/>
  <c r="F376" i="7"/>
  <c r="F505" i="7"/>
  <c r="E316" i="7"/>
  <c r="E852" i="7"/>
  <c r="F892" i="7"/>
  <c r="F1421" i="7"/>
  <c r="F510" i="7"/>
  <c r="G530" i="7"/>
  <c r="E252" i="7"/>
  <c r="F760" i="7"/>
  <c r="E434" i="7"/>
  <c r="E1100" i="7"/>
  <c r="D880" i="7"/>
  <c r="E1300" i="7"/>
  <c r="F313" i="7"/>
  <c r="D1356" i="7"/>
  <c r="E724" i="7"/>
  <c r="F828" i="7"/>
  <c r="E380" i="7"/>
  <c r="F776" i="7"/>
  <c r="D1290" i="7"/>
  <c r="E993" i="7"/>
  <c r="E1229" i="7"/>
  <c r="E898" i="7"/>
  <c r="G553" i="7"/>
  <c r="G666" i="7"/>
  <c r="G323" i="7"/>
  <c r="F966" i="7"/>
  <c r="G1196" i="7"/>
  <c r="F1137" i="7"/>
  <c r="E663" i="7"/>
  <c r="F1484" i="7"/>
  <c r="G1304" i="7"/>
  <c r="E628" i="7"/>
  <c r="F812" i="7"/>
  <c r="F718" i="7"/>
  <c r="F602" i="7"/>
  <c r="G835" i="7"/>
  <c r="F1488" i="7"/>
  <c r="G1516" i="7"/>
  <c r="D1098" i="7"/>
  <c r="E1217" i="7"/>
  <c r="F1445" i="7"/>
  <c r="G194" i="7"/>
  <c r="C819" i="7"/>
  <c r="E474" i="7"/>
  <c r="D299" i="7"/>
  <c r="C826" i="7"/>
  <c r="F177" i="7"/>
  <c r="F896" i="7"/>
  <c r="F834" i="7"/>
  <c r="E905" i="7"/>
  <c r="E338" i="7"/>
  <c r="D384" i="7"/>
  <c r="D1366" i="7"/>
  <c r="E934" i="7"/>
  <c r="F375" i="7"/>
  <c r="C1306" i="7"/>
  <c r="D683" i="7"/>
  <c r="E697" i="7"/>
  <c r="E558" i="7"/>
  <c r="E1523" i="7"/>
  <c r="D995" i="7"/>
  <c r="D1398" i="7"/>
  <c r="E950" i="7"/>
  <c r="D1304" i="7"/>
  <c r="D513" i="7"/>
  <c r="E190" i="7"/>
  <c r="E1127" i="7"/>
  <c r="D1368" i="7"/>
  <c r="E309" i="7"/>
  <c r="E562" i="7"/>
  <c r="E212" i="7"/>
  <c r="E680" i="7"/>
  <c r="D1521" i="7"/>
  <c r="E417" i="7"/>
  <c r="E539" i="7"/>
  <c r="D199" i="7"/>
  <c r="C1050" i="7"/>
  <c r="D1133" i="7"/>
  <c r="E222" i="7"/>
  <c r="F296" i="7"/>
  <c r="F329" i="7"/>
  <c r="D1484" i="7"/>
  <c r="E772" i="7"/>
  <c r="F852" i="7"/>
  <c r="F1381" i="7"/>
  <c r="F750" i="7"/>
  <c r="G682" i="7"/>
  <c r="F1231" i="7"/>
  <c r="G955" i="7"/>
  <c r="F1224" i="7"/>
  <c r="G948" i="7"/>
  <c r="F850" i="7"/>
  <c r="E715" i="7"/>
  <c r="F168" i="7"/>
  <c r="F217" i="7"/>
  <c r="F258" i="7"/>
  <c r="E788" i="7"/>
  <c r="F860" i="7"/>
  <c r="F1389" i="7"/>
  <c r="F761" i="7"/>
  <c r="G690" i="7"/>
  <c r="E575" i="7"/>
  <c r="E1332" i="7"/>
  <c r="E1373" i="7"/>
  <c r="E1486" i="7"/>
  <c r="F379" i="7"/>
  <c r="F556" i="7"/>
  <c r="F1085" i="7"/>
  <c r="E285" i="7"/>
  <c r="G218" i="7"/>
  <c r="F687" i="7"/>
  <c r="G587" i="7"/>
  <c r="F806" i="7"/>
  <c r="G580" i="7"/>
  <c r="E856" i="7"/>
  <c r="F848" i="7"/>
  <c r="E655" i="7"/>
  <c r="E1036" i="7"/>
  <c r="E1133" i="7"/>
  <c r="E869" i="7"/>
  <c r="G177" i="7"/>
  <c r="F782" i="7"/>
  <c r="G706" i="7"/>
  <c r="F1255" i="7"/>
  <c r="G1075" i="7"/>
  <c r="F1344" i="7"/>
  <c r="G1164" i="7"/>
  <c r="E1192" i="7"/>
  <c r="E1261" i="7"/>
  <c r="E1398" i="7"/>
  <c r="F187" i="7"/>
  <c r="F364" i="7"/>
  <c r="F855" i="7"/>
  <c r="G713" i="7"/>
  <c r="E486" i="7"/>
  <c r="F552" i="7"/>
  <c r="D271" i="7"/>
  <c r="B1244" i="7"/>
  <c r="E1043" i="7"/>
  <c r="D639" i="7"/>
  <c r="D1497" i="7"/>
  <c r="D1131" i="7"/>
  <c r="F385" i="7"/>
  <c r="F1069" i="7"/>
  <c r="E185" i="7"/>
  <c r="E700" i="7"/>
  <c r="D899" i="7"/>
  <c r="E186" i="7"/>
  <c r="E1030" i="7"/>
  <c r="E904" i="7"/>
  <c r="E220" i="7"/>
  <c r="D1066" i="7"/>
  <c r="E530" i="7"/>
  <c r="E654" i="7"/>
  <c r="F191" i="7"/>
  <c r="E277" i="7"/>
  <c r="E272" i="7"/>
  <c r="E1046" i="7"/>
  <c r="D1082" i="7"/>
  <c r="D1381" i="7"/>
  <c r="E340" i="7"/>
  <c r="F207" i="7"/>
  <c r="C531" i="7"/>
  <c r="B1484" i="7"/>
  <c r="E770" i="7"/>
  <c r="E361" i="7"/>
  <c r="E872" i="7"/>
  <c r="C1274" i="7"/>
  <c r="C246" i="7"/>
  <c r="E731" i="7"/>
  <c r="D1017" i="7"/>
  <c r="D1394" i="7"/>
  <c r="E325" i="7"/>
  <c r="E694" i="7"/>
  <c r="F472" i="7"/>
  <c r="F449" i="7"/>
  <c r="E572" i="7"/>
  <c r="E962" i="7"/>
  <c r="F956" i="7"/>
  <c r="F1485" i="7"/>
  <c r="F889" i="7"/>
  <c r="G778" i="7"/>
  <c r="F1327" i="7"/>
  <c r="G1051" i="7"/>
  <c r="F1320" i="7"/>
  <c r="G1044" i="7"/>
  <c r="F978" i="7"/>
  <c r="E233" i="7"/>
  <c r="F344" i="7"/>
  <c r="F337" i="7"/>
  <c r="E636" i="7"/>
  <c r="E973" i="7"/>
  <c r="F964" i="7"/>
  <c r="F1493" i="7"/>
  <c r="F899" i="7"/>
  <c r="G786" i="7"/>
  <c r="E313" i="7"/>
  <c r="E1508" i="7"/>
  <c r="E1501" i="7"/>
  <c r="F274" i="7"/>
  <c r="D1370" i="7"/>
  <c r="F660" i="7"/>
  <c r="F1189" i="7"/>
  <c r="E1189" i="7"/>
  <c r="G314" i="7"/>
  <c r="F815" i="7"/>
  <c r="G683" i="7"/>
  <c r="F934" i="7"/>
  <c r="G676" i="7"/>
  <c r="E1283" i="7"/>
  <c r="D633" i="7"/>
  <c r="E863" i="7"/>
  <c r="E1175" i="7"/>
  <c r="E1264" i="7"/>
  <c r="E1393" i="7"/>
  <c r="G281" i="7"/>
  <c r="F921" i="7"/>
  <c r="G802" i="7"/>
  <c r="F1351" i="7"/>
  <c r="D885" i="7"/>
  <c r="F1440" i="7"/>
  <c r="D1330" i="7"/>
  <c r="E1388" i="7"/>
  <c r="E1389" i="7"/>
  <c r="E1510" i="7"/>
  <c r="F299" i="7"/>
  <c r="F468" i="7"/>
  <c r="F994" i="7"/>
  <c r="G817" i="7"/>
  <c r="E870" i="7"/>
  <c r="F728" i="7"/>
  <c r="E264" i="7"/>
  <c r="C878" i="7"/>
  <c r="B633" i="7"/>
  <c r="C1242" i="7"/>
  <c r="D1083" i="7"/>
  <c r="D1475" i="7"/>
  <c r="E650" i="7"/>
  <c r="E1502" i="7"/>
  <c r="G601" i="7"/>
  <c r="E1011" i="7"/>
  <c r="E1276" i="7"/>
  <c r="D893" i="7"/>
  <c r="E442" i="7"/>
  <c r="E1126" i="7"/>
  <c r="E1042" i="7"/>
  <c r="E653" i="7"/>
  <c r="D448" i="7"/>
  <c r="E738" i="7"/>
  <c r="E750" i="7"/>
  <c r="F287" i="7"/>
  <c r="E559" i="7"/>
  <c r="E507" i="7"/>
  <c r="E1142" i="7"/>
  <c r="D673" i="7"/>
  <c r="E302" i="7"/>
  <c r="E478" i="7"/>
  <c r="F303" i="7"/>
  <c r="D1001" i="7"/>
  <c r="D1346" i="7"/>
  <c r="D836" i="7"/>
  <c r="E494" i="7"/>
  <c r="E1020" i="7"/>
  <c r="D843" i="7"/>
  <c r="D1316" i="7"/>
  <c r="E923" i="7"/>
  <c r="D1529" i="7"/>
  <c r="E428" i="7"/>
  <c r="E547" i="7"/>
  <c r="E1078" i="7"/>
  <c r="F648" i="7"/>
  <c r="F569" i="7"/>
  <c r="E832" i="7"/>
  <c r="E1101" i="7"/>
  <c r="E677" i="7"/>
  <c r="G257" i="7"/>
  <c r="F1022" i="7"/>
  <c r="G874" i="7"/>
  <c r="F1423" i="7"/>
  <c r="G1147" i="7"/>
  <c r="F1416" i="7"/>
  <c r="G1140" i="7"/>
  <c r="F1081" i="7"/>
  <c r="E702" i="7"/>
  <c r="F480" i="7"/>
  <c r="F457" i="7"/>
  <c r="E848" i="7"/>
  <c r="E1112" i="7"/>
  <c r="E741" i="7"/>
  <c r="G265" i="7"/>
  <c r="F1030" i="7"/>
  <c r="D760" i="7"/>
  <c r="E907" i="7"/>
  <c r="F176" i="7"/>
  <c r="F225" i="7"/>
  <c r="E188" i="7"/>
  <c r="E541" i="7"/>
  <c r="F764" i="7"/>
  <c r="F1293" i="7"/>
  <c r="F190" i="7"/>
  <c r="G410" i="7"/>
  <c r="F943" i="7"/>
  <c r="G779" i="7"/>
  <c r="F1048" i="7"/>
  <c r="G772" i="7"/>
  <c r="F319" i="7"/>
  <c r="E390" i="7"/>
  <c r="E1024" i="7"/>
  <c r="E1295" i="7"/>
  <c r="E1368" i="7"/>
  <c r="F346" i="7"/>
  <c r="G385" i="7"/>
  <c r="F1046" i="7"/>
  <c r="D1514" i="7"/>
  <c r="F1447" i="7"/>
  <c r="E1029" i="7"/>
  <c r="G204" i="7"/>
  <c r="E762" i="7"/>
  <c r="E1524" i="7"/>
  <c r="F241" i="7"/>
  <c r="F186" i="7"/>
  <c r="F403" i="7"/>
  <c r="F572" i="7"/>
  <c r="F1101" i="7"/>
  <c r="E581" i="7"/>
  <c r="D761" i="7"/>
  <c r="F864" i="7"/>
  <c r="E687" i="7"/>
  <c r="E1057" i="7"/>
  <c r="E1280" i="7"/>
  <c r="E1457" i="7"/>
  <c r="G297" i="7"/>
  <c r="F942" i="7"/>
  <c r="G818" i="7"/>
  <c r="C1412" i="7"/>
  <c r="D827" i="7"/>
  <c r="C1147" i="7"/>
  <c r="E225" i="7"/>
  <c r="E406" i="7"/>
  <c r="E622" i="7"/>
  <c r="F170" i="7"/>
  <c r="G697" i="7"/>
  <c r="E1203" i="7"/>
  <c r="F328" i="7"/>
  <c r="E543" i="7"/>
  <c r="E635" i="7"/>
  <c r="E1222" i="7"/>
  <c r="E1170" i="7"/>
  <c r="E845" i="7"/>
  <c r="D987" i="7"/>
  <c r="D665" i="7"/>
  <c r="E846" i="7"/>
  <c r="F383" i="7"/>
  <c r="D1092" i="7"/>
  <c r="E699" i="7"/>
  <c r="C794" i="7"/>
  <c r="D1003" i="7"/>
  <c r="E546" i="7"/>
  <c r="E574" i="7"/>
  <c r="F399" i="7"/>
  <c r="D1417" i="7"/>
  <c r="E321" i="7"/>
  <c r="D1446" i="7"/>
  <c r="E590" i="7"/>
  <c r="E1148" i="7"/>
  <c r="D1194" i="7"/>
  <c r="E237" i="7"/>
  <c r="E1115" i="7"/>
  <c r="C1402" i="7"/>
  <c r="C1051" i="7"/>
  <c r="E739" i="7"/>
  <c r="E664" i="7"/>
  <c r="F824" i="7"/>
  <c r="D1418" i="7"/>
  <c r="E1004" i="7"/>
  <c r="E1239" i="7"/>
  <c r="E1297" i="7"/>
  <c r="G361" i="7"/>
  <c r="F1126" i="7"/>
  <c r="E985" i="7"/>
  <c r="F1519" i="7"/>
  <c r="E887" i="7"/>
  <c r="F1512" i="7"/>
  <c r="G1236" i="7"/>
  <c r="F1177" i="7"/>
  <c r="E1086" i="7"/>
  <c r="F656" i="7"/>
  <c r="F585" i="7"/>
  <c r="E1015" i="7"/>
  <c r="E1248" i="7"/>
  <c r="E1329" i="7"/>
  <c r="G369" i="7"/>
  <c r="F1134" i="7"/>
  <c r="E1028" i="7"/>
  <c r="E350" i="7"/>
  <c r="F352" i="7"/>
  <c r="F345" i="7"/>
  <c r="E656" i="7"/>
  <c r="E804" i="7"/>
  <c r="F868" i="7"/>
  <c r="F1397" i="7"/>
  <c r="F471" i="7"/>
  <c r="G506" i="7"/>
  <c r="F1055" i="7"/>
  <c r="G875" i="7"/>
  <c r="F1144" i="7"/>
  <c r="G868" i="7"/>
  <c r="E168" i="7"/>
  <c r="E829" i="7"/>
  <c r="E1162" i="7"/>
  <c r="E1399" i="7"/>
  <c r="E1472" i="7"/>
  <c r="F547" i="7"/>
  <c r="G489" i="7"/>
  <c r="F1150" i="7"/>
  <c r="E1113" i="7"/>
  <c r="G211" i="7"/>
  <c r="C1407" i="7"/>
  <c r="D518" i="7"/>
  <c r="E487" i="7"/>
  <c r="C1178" i="7"/>
  <c r="D1036" i="7"/>
  <c r="F255" i="7"/>
  <c r="E604" i="7"/>
  <c r="D1244" i="7"/>
  <c r="D1309" i="7"/>
  <c r="F424" i="7"/>
  <c r="E172" i="7"/>
  <c r="E827" i="7"/>
  <c r="E967" i="7"/>
  <c r="E1284" i="7"/>
  <c r="E1001" i="7"/>
  <c r="D925" i="7"/>
  <c r="D1382" i="7"/>
  <c r="E942" i="7"/>
  <c r="D1215" i="7"/>
  <c r="E278" i="7"/>
  <c r="E891" i="7"/>
  <c r="E988" i="7"/>
  <c r="D1283" i="7"/>
  <c r="E754" i="7"/>
  <c r="E958" i="7"/>
  <c r="D1338" i="7"/>
  <c r="C1146" i="7"/>
  <c r="E640" i="7"/>
  <c r="E304" i="7"/>
  <c r="E686" i="7"/>
  <c r="D709" i="7"/>
  <c r="D727" i="7"/>
  <c r="E513" i="7"/>
  <c r="D686" i="7"/>
  <c r="D938" i="7"/>
  <c r="D1444" i="7"/>
  <c r="E931" i="7"/>
  <c r="E1259" i="7"/>
  <c r="F960" i="7"/>
  <c r="E565" i="7"/>
  <c r="E1143" i="7"/>
  <c r="E1344" i="7"/>
  <c r="F282" i="7"/>
  <c r="G465" i="7"/>
  <c r="F1230" i="7"/>
  <c r="E1433" i="7"/>
  <c r="G187" i="7"/>
  <c r="E1370" i="7"/>
  <c r="G180" i="7"/>
  <c r="G1332" i="7"/>
  <c r="F1273" i="7"/>
  <c r="E696" i="7"/>
  <c r="F832" i="7"/>
  <c r="D1482" i="7"/>
  <c r="E1153" i="7"/>
  <c r="E1352" i="7"/>
  <c r="F302" i="7"/>
  <c r="G473" i="7"/>
  <c r="F1238" i="7"/>
  <c r="E1465" i="7"/>
  <c r="E774" i="7"/>
  <c r="F488" i="7"/>
  <c r="F473" i="7"/>
  <c r="E864" i="7"/>
  <c r="E984" i="7"/>
  <c r="F972" i="7"/>
  <c r="F1501" i="7"/>
  <c r="F633" i="7"/>
  <c r="G602" i="7"/>
  <c r="F1151" i="7"/>
  <c r="G971" i="7"/>
  <c r="F1240" i="7"/>
  <c r="G964" i="7"/>
  <c r="E917" i="7"/>
  <c r="E1044" i="7"/>
  <c r="E1286" i="7"/>
  <c r="E1503" i="7"/>
  <c r="F244" i="7"/>
  <c r="F695" i="7"/>
  <c r="G593" i="7"/>
  <c r="F1262" i="7"/>
  <c r="E1529" i="7"/>
  <c r="G307" i="7"/>
  <c r="F374" i="7"/>
  <c r="G396" i="7"/>
  <c r="E382" i="7"/>
  <c r="F368" i="7"/>
  <c r="F497" i="7"/>
  <c r="E273" i="7"/>
  <c r="E605" i="7"/>
  <c r="F780" i="7"/>
  <c r="F1309" i="7"/>
  <c r="F254" i="7"/>
  <c r="E1363" i="7"/>
  <c r="E468" i="7"/>
  <c r="E1045" i="7"/>
  <c r="E1311" i="7"/>
  <c r="E1488" i="7"/>
  <c r="F586" i="7"/>
  <c r="G513" i="7"/>
  <c r="F1174" i="7"/>
  <c r="E171" i="7"/>
  <c r="C849" i="7"/>
  <c r="C1459" i="7"/>
  <c r="E961" i="7"/>
  <c r="E378" i="7"/>
  <c r="C832" i="7"/>
  <c r="F504" i="7"/>
  <c r="F291" i="7"/>
  <c r="F1158" i="7"/>
  <c r="E1118" i="7"/>
  <c r="F520" i="7"/>
  <c r="E536" i="7"/>
  <c r="E1019" i="7"/>
  <c r="E1095" i="7"/>
  <c r="E1380" i="7"/>
  <c r="E1129" i="7"/>
  <c r="E170" i="7"/>
  <c r="E197" i="7"/>
  <c r="E1038" i="7"/>
  <c r="D680" i="7"/>
  <c r="E552" i="7"/>
  <c r="E1083" i="7"/>
  <c r="E1116" i="7"/>
  <c r="E295" i="7"/>
  <c r="D751" i="7"/>
  <c r="E1054" i="7"/>
  <c r="E493" i="7"/>
  <c r="D832" i="7"/>
  <c r="D1300" i="7"/>
  <c r="E531" i="7"/>
  <c r="E782" i="7"/>
  <c r="D1054" i="7"/>
  <c r="D1107" i="7"/>
  <c r="E801" i="7"/>
  <c r="D1180" i="7"/>
  <c r="D1202" i="7"/>
  <c r="E248" i="7"/>
  <c r="E1123" i="7"/>
  <c r="E1531" i="7"/>
  <c r="E262" i="7"/>
  <c r="E815" i="7"/>
  <c r="E1271" i="7"/>
  <c r="E1448" i="7"/>
  <c r="F509" i="7"/>
  <c r="G569" i="7"/>
  <c r="F1334" i="7"/>
  <c r="F330" i="7"/>
  <c r="G283" i="7"/>
  <c r="F310" i="7"/>
  <c r="G276" i="7"/>
  <c r="G1428" i="7"/>
  <c r="F1369" i="7"/>
  <c r="E1267" i="7"/>
  <c r="F968" i="7"/>
  <c r="E597" i="7"/>
  <c r="E1279" i="7"/>
  <c r="E1456" i="7"/>
  <c r="F522" i="7"/>
  <c r="G577" i="7"/>
  <c r="F1342" i="7"/>
  <c r="F350" i="7"/>
  <c r="E1158" i="7"/>
  <c r="F664" i="7"/>
  <c r="F593" i="7"/>
  <c r="E1025" i="7"/>
  <c r="E1122" i="7"/>
  <c r="E805" i="7"/>
  <c r="G169" i="7"/>
  <c r="F771" i="7"/>
  <c r="G698" i="7"/>
  <c r="F1247" i="7"/>
  <c r="G1067" i="7"/>
  <c r="F1336" i="7"/>
  <c r="G1060" i="7"/>
  <c r="E1181" i="7"/>
  <c r="E1245" i="7"/>
  <c r="E1390" i="7"/>
  <c r="F179" i="7"/>
  <c r="F348" i="7"/>
  <c r="F845" i="7"/>
  <c r="G705" i="7"/>
  <c r="F1366" i="7"/>
  <c r="F394" i="7"/>
  <c r="G403" i="7"/>
  <c r="F551" i="7"/>
  <c r="G492" i="7"/>
  <c r="E798" i="7"/>
  <c r="F544" i="7"/>
  <c r="C1307" i="7"/>
  <c r="E688" i="7"/>
  <c r="D251" i="7"/>
  <c r="D978" i="7"/>
  <c r="D1010" i="7"/>
  <c r="D1331" i="7"/>
  <c r="E850" i="7"/>
  <c r="E174" i="7"/>
  <c r="F356" i="7"/>
  <c r="D352" i="7"/>
  <c r="E1315" i="7"/>
  <c r="D1183" i="7"/>
  <c r="E689" i="7"/>
  <c r="E550" i="7"/>
  <c r="E1419" i="7"/>
  <c r="F336" i="7"/>
  <c r="D616" i="7"/>
  <c r="E268" i="7"/>
  <c r="E835" i="7"/>
  <c r="E1105" i="7"/>
  <c r="D1345" i="7"/>
  <c r="E705" i="7"/>
  <c r="E566" i="7"/>
  <c r="E1435" i="7"/>
  <c r="E567" i="7"/>
  <c r="E1091" i="7"/>
  <c r="E209" i="7"/>
  <c r="E1074" i="7"/>
  <c r="D1019" i="7"/>
  <c r="E793" i="7"/>
  <c r="E1107" i="7"/>
  <c r="E1070" i="7"/>
  <c r="D936" i="7"/>
  <c r="D1342" i="7"/>
  <c r="E626" i="7"/>
  <c r="D1527" i="7"/>
  <c r="D1395" i="7"/>
  <c r="D750" i="7"/>
  <c r="D1469" i="7"/>
  <c r="E796" i="7"/>
  <c r="E1183" i="7"/>
  <c r="E1262" i="7"/>
  <c r="F259" i="7"/>
  <c r="F428" i="7"/>
  <c r="F941" i="7"/>
  <c r="D719" i="7"/>
  <c r="G298" i="7"/>
  <c r="F794" i="7"/>
  <c r="G571" i="7"/>
  <c r="F785" i="7"/>
  <c r="G564" i="7"/>
  <c r="E1167" i="7"/>
  <c r="G317" i="7"/>
  <c r="E812" i="7"/>
  <c r="E1023" i="7"/>
  <c r="E1141" i="7"/>
  <c r="F267" i="7"/>
  <c r="F436" i="7"/>
  <c r="F951" i="7"/>
  <c r="D1500" i="7"/>
  <c r="G306" i="7"/>
  <c r="F805" i="7"/>
  <c r="F311" i="7"/>
  <c r="E348" i="7"/>
  <c r="E1013" i="7"/>
  <c r="E1391" i="7"/>
  <c r="E1464" i="7"/>
  <c r="F534" i="7"/>
  <c r="G481" i="7"/>
  <c r="F1142" i="7"/>
  <c r="E1071" i="7"/>
  <c r="G203" i="7"/>
  <c r="E1434" i="7"/>
  <c r="G196" i="7"/>
  <c r="E1099" i="7"/>
  <c r="F184" i="7"/>
  <c r="F353" i="7"/>
  <c r="D280" i="7"/>
  <c r="D1434" i="7"/>
  <c r="F668" i="7"/>
  <c r="F1197" i="7"/>
  <c r="E1232" i="7"/>
  <c r="G322" i="7"/>
  <c r="F826" i="7"/>
  <c r="G691" i="7"/>
  <c r="C755" i="7"/>
  <c r="D1254" i="7"/>
  <c r="E213" i="7"/>
  <c r="E246" i="7"/>
  <c r="E710" i="7"/>
  <c r="E534" i="7"/>
  <c r="F452" i="7"/>
  <c r="D891" i="7"/>
  <c r="F271" i="7"/>
  <c r="D1225" i="7"/>
  <c r="E913" i="7"/>
  <c r="E646" i="7"/>
  <c r="E1515" i="7"/>
  <c r="F432" i="7"/>
  <c r="D1280" i="7"/>
  <c r="E544" i="7"/>
  <c r="E1027" i="7"/>
  <c r="E1233" i="7"/>
  <c r="D768" i="7"/>
  <c r="E929" i="7"/>
  <c r="E662" i="7"/>
  <c r="D425" i="7"/>
  <c r="D1298" i="7"/>
  <c r="D449" i="7"/>
  <c r="E648" i="7"/>
  <c r="E1202" i="7"/>
  <c r="D1371" i="7"/>
  <c r="D664" i="7"/>
  <c r="D643" i="7"/>
  <c r="E1166" i="7"/>
  <c r="D1488" i="7"/>
  <c r="E320" i="7"/>
  <c r="E834" i="7"/>
  <c r="E259" i="7"/>
  <c r="E415" i="7"/>
  <c r="E409" i="7"/>
  <c r="D1487" i="7"/>
  <c r="E1096" i="7"/>
  <c r="E1357" i="7"/>
  <c r="E1366" i="7"/>
  <c r="F363" i="7"/>
  <c r="F532" i="7"/>
  <c r="F1061" i="7"/>
  <c r="E1104" i="7"/>
  <c r="G394" i="7"/>
  <c r="F922" i="7"/>
  <c r="G667" i="7"/>
  <c r="F913" i="7"/>
  <c r="G660" i="7"/>
  <c r="F438" i="7"/>
  <c r="G413" i="7"/>
  <c r="E1106" i="7"/>
  <c r="E1193" i="7"/>
  <c r="E1270" i="7"/>
  <c r="F371" i="7"/>
  <c r="F540" i="7"/>
  <c r="F1077" i="7"/>
  <c r="E1146" i="7"/>
  <c r="G402" i="7"/>
  <c r="F933" i="7"/>
  <c r="D1530" i="7"/>
  <c r="E765" i="7"/>
  <c r="E1152" i="7"/>
  <c r="E1495" i="7"/>
  <c r="F236" i="7"/>
  <c r="F685" i="7"/>
  <c r="G585" i="7"/>
  <c r="F1246" i="7"/>
  <c r="E1497" i="7"/>
  <c r="G299" i="7"/>
  <c r="F354" i="7"/>
  <c r="G292" i="7"/>
  <c r="E372" i="7"/>
  <c r="F360" i="7"/>
  <c r="F489" i="7"/>
  <c r="E230" i="7"/>
  <c r="E573" i="7"/>
  <c r="F772" i="7"/>
  <c r="F1301" i="7"/>
  <c r="F222" i="7"/>
  <c r="G418" i="7"/>
  <c r="F954" i="7"/>
  <c r="G787" i="7"/>
  <c r="F1056" i="7"/>
  <c r="G876" i="7"/>
  <c r="D1021" i="7"/>
  <c r="D831" i="7"/>
  <c r="E440" i="7"/>
  <c r="D219" i="7"/>
  <c r="E1483" i="7"/>
  <c r="E1073" i="7"/>
  <c r="F644" i="7"/>
  <c r="D1507" i="7"/>
  <c r="F367" i="7"/>
  <c r="D662" i="7"/>
  <c r="E730" i="7"/>
  <c r="E742" i="7"/>
  <c r="F183" i="7"/>
  <c r="F816" i="7"/>
  <c r="D777" i="7"/>
  <c r="D997" i="7"/>
  <c r="E318" i="7"/>
  <c r="E1331" i="7"/>
  <c r="D1074" i="7"/>
  <c r="E746" i="7"/>
  <c r="E758" i="7"/>
  <c r="D1279" i="7"/>
  <c r="E489" i="7"/>
  <c r="D1084" i="7"/>
  <c r="E840" i="7"/>
  <c r="E195" i="7"/>
  <c r="E319" i="7"/>
  <c r="D1429" i="7"/>
  <c r="D1148" i="7"/>
  <c r="D917" i="7"/>
  <c r="C1499" i="7"/>
  <c r="C232" i="7"/>
  <c r="D1101" i="7"/>
  <c r="D944" i="7"/>
  <c r="D1374" i="7"/>
  <c r="E634" i="7"/>
  <c r="D1268" i="7"/>
  <c r="E1316" i="7"/>
  <c r="E1485" i="7"/>
  <c r="E1470" i="7"/>
  <c r="D1140" i="7"/>
  <c r="F636" i="7"/>
  <c r="F1173" i="7"/>
  <c r="F446" i="7"/>
  <c r="D855" i="7"/>
  <c r="E386" i="7"/>
  <c r="E643" i="7"/>
  <c r="E288" i="7"/>
  <c r="E915" i="7"/>
  <c r="D1115" i="7"/>
  <c r="E1479" i="7"/>
  <c r="F1039" i="7"/>
  <c r="F591" i="7"/>
  <c r="E1374" i="7"/>
  <c r="F459" i="7"/>
  <c r="E1033" i="7"/>
  <c r="F823" i="7"/>
  <c r="G395" i="7"/>
  <c r="F536" i="7"/>
  <c r="F876" i="7"/>
  <c r="F1063" i="7"/>
  <c r="G780" i="7"/>
  <c r="E433" i="7"/>
  <c r="E1303" i="7"/>
  <c r="E925" i="7"/>
  <c r="F498" i="7"/>
  <c r="F200" i="7"/>
  <c r="E1518" i="7"/>
  <c r="E1016" i="7"/>
  <c r="F727" i="7"/>
  <c r="E679" i="7"/>
  <c r="G626" i="7"/>
  <c r="F423" i="7"/>
  <c r="E1151" i="7"/>
  <c r="E1446" i="7"/>
  <c r="E317" i="7"/>
  <c r="F223" i="7"/>
  <c r="E1161" i="7"/>
  <c r="E1454" i="7"/>
  <c r="E360" i="7"/>
  <c r="F940" i="7"/>
  <c r="E1475" i="7"/>
  <c r="E717" i="7"/>
  <c r="E1120" i="7"/>
  <c r="F251" i="7"/>
  <c r="E1405" i="7"/>
  <c r="F738" i="7"/>
  <c r="F1510" i="7"/>
  <c r="F1383" i="7"/>
  <c r="F614" i="7"/>
  <c r="G1076" i="7"/>
  <c r="F1241" i="7"/>
  <c r="F214" i="7"/>
  <c r="G440" i="7"/>
  <c r="F618" i="7"/>
  <c r="E358" i="7"/>
  <c r="F1437" i="7"/>
  <c r="G538" i="7"/>
  <c r="G331" i="7"/>
  <c r="F1104" i="7"/>
  <c r="G1308" i="7"/>
  <c r="F1353" i="7"/>
  <c r="D417" i="7"/>
  <c r="G417" i="7"/>
  <c r="G714" i="7"/>
  <c r="G339" i="7"/>
  <c r="F987" i="7"/>
  <c r="G1092" i="7"/>
  <c r="F1153" i="7"/>
  <c r="E791" i="7"/>
  <c r="F1500" i="7"/>
  <c r="G1224" i="7"/>
  <c r="G1457" i="7"/>
  <c r="G1069" i="7"/>
  <c r="H1021" i="7"/>
  <c r="E721" i="7"/>
  <c r="F604" i="7"/>
  <c r="E1362" i="7"/>
  <c r="F414" i="7"/>
  <c r="E1517" i="7"/>
  <c r="E1211" i="7"/>
  <c r="E1134" i="7"/>
  <c r="D1414" i="7"/>
  <c r="E878" i="7"/>
  <c r="E585" i="7"/>
  <c r="F220" i="7"/>
  <c r="G379" i="7"/>
  <c r="F1465" i="7"/>
  <c r="E1383" i="7"/>
  <c r="F1446" i="7"/>
  <c r="E629" i="7"/>
  <c r="G273" i="7"/>
  <c r="G1163" i="7"/>
  <c r="E1381" i="7"/>
  <c r="F983" i="7"/>
  <c r="G499" i="7"/>
  <c r="G972" i="7"/>
  <c r="E861" i="7"/>
  <c r="E1407" i="7"/>
  <c r="E1425" i="7"/>
  <c r="F654" i="7"/>
  <c r="D949" i="7"/>
  <c r="F194" i="7"/>
  <c r="E1154" i="7"/>
  <c r="F866" i="7"/>
  <c r="E1298" i="7"/>
  <c r="G722" i="7"/>
  <c r="E732" i="7"/>
  <c r="E1301" i="7"/>
  <c r="F226" i="7"/>
  <c r="E708" i="7"/>
  <c r="F431" i="7"/>
  <c r="E1309" i="7"/>
  <c r="F234" i="7"/>
  <c r="E924" i="7"/>
  <c r="E452" i="7"/>
  <c r="F231" i="7"/>
  <c r="E991" i="7"/>
  <c r="E1254" i="7"/>
  <c r="F355" i="7"/>
  <c r="F265" i="7"/>
  <c r="F1013" i="7"/>
  <c r="G178" i="7"/>
  <c r="F1503" i="7"/>
  <c r="F774" i="7"/>
  <c r="G1300" i="7"/>
  <c r="F1345" i="7"/>
  <c r="F469" i="7"/>
  <c r="G536" i="7"/>
  <c r="F1099" i="7"/>
  <c r="E1207" i="7"/>
  <c r="G353" i="7"/>
  <c r="G674" i="7"/>
  <c r="G451" i="7"/>
  <c r="F1232" i="7"/>
  <c r="G1412" i="7"/>
  <c r="E497" i="7"/>
  <c r="E1037" i="7"/>
  <c r="G625" i="7"/>
  <c r="G858" i="7"/>
  <c r="G459" i="7"/>
  <c r="F1112" i="7"/>
  <c r="G1212" i="7"/>
  <c r="F1257" i="7"/>
  <c r="E1322" i="7"/>
  <c r="G168" i="7"/>
  <c r="G1320" i="7"/>
  <c r="H252" i="7"/>
  <c r="G1213" i="7"/>
  <c r="H1117" i="7"/>
  <c r="E1224" i="7"/>
  <c r="F844" i="7"/>
  <c r="F434" i="7"/>
  <c r="F623" i="7"/>
  <c r="G995" i="7"/>
  <c r="G212" i="7"/>
  <c r="E1313" i="7"/>
  <c r="G349" i="7"/>
  <c r="F779" i="7"/>
  <c r="D883" i="7"/>
  <c r="E454" i="7"/>
  <c r="E977" i="7"/>
  <c r="E899" i="7"/>
  <c r="E974" i="7"/>
  <c r="E809" i="7"/>
  <c r="F324" i="7"/>
  <c r="G475" i="7"/>
  <c r="G221" i="7"/>
  <c r="E1487" i="7"/>
  <c r="G210" i="7"/>
  <c r="E847" i="7"/>
  <c r="G377" i="7"/>
  <c r="E986" i="7"/>
  <c r="F233" i="7"/>
  <c r="F1093" i="7"/>
  <c r="G595" i="7"/>
  <c r="D577" i="7"/>
  <c r="F361" i="7"/>
  <c r="D1498" i="7"/>
  <c r="F366" i="7"/>
  <c r="F793" i="7"/>
  <c r="E877" i="7"/>
  <c r="D847" i="7"/>
  <c r="E1384" i="7"/>
  <c r="F1005" i="7"/>
  <c r="F285" i="7"/>
  <c r="E484" i="7"/>
  <c r="E1053" i="7"/>
  <c r="E1461" i="7"/>
  <c r="D1292" i="7"/>
  <c r="E911" i="7"/>
  <c r="E748" i="7"/>
  <c r="E1469" i="7"/>
  <c r="E508" i="7"/>
  <c r="E1080" i="7"/>
  <c r="E1231" i="7"/>
  <c r="D1274" i="7"/>
  <c r="E1172" i="7"/>
  <c r="E1358" i="7"/>
  <c r="D1012" i="7"/>
  <c r="E306" i="7"/>
  <c r="F1221" i="7"/>
  <c r="G354" i="7"/>
  <c r="G179" i="7"/>
  <c r="F1096" i="7"/>
  <c r="G1404" i="7"/>
  <c r="F1449" i="7"/>
  <c r="F619" i="7"/>
  <c r="G632" i="7"/>
  <c r="F1483" i="7"/>
  <c r="F427" i="7"/>
  <c r="G561" i="7"/>
  <c r="G850" i="7"/>
  <c r="G579" i="7"/>
  <c r="F1368" i="7"/>
  <c r="E516" i="7"/>
  <c r="D1389" i="7"/>
  <c r="E1416" i="7"/>
  <c r="G833" i="7"/>
  <c r="E1273" i="7"/>
  <c r="G603" i="7"/>
  <c r="F1256" i="7"/>
  <c r="G1316" i="7"/>
  <c r="F1361" i="7"/>
  <c r="F278" i="7"/>
  <c r="G264" i="7"/>
  <c r="G1416" i="7"/>
  <c r="H348" i="7"/>
  <c r="G1341" i="7"/>
  <c r="H1213" i="7"/>
  <c r="F744" i="7"/>
  <c r="E1060" i="7"/>
  <c r="F739" i="7"/>
  <c r="F837" i="7"/>
  <c r="G1115" i="7"/>
  <c r="G332" i="7"/>
  <c r="F269" i="7"/>
  <c r="G453" i="7"/>
  <c r="F907" i="7"/>
  <c r="G656" i="7"/>
  <c r="F1195" i="7"/>
  <c r="E189" i="7"/>
  <c r="G225" i="7"/>
  <c r="G562" i="7"/>
  <c r="G355" i="7"/>
  <c r="F1136" i="7"/>
  <c r="G1228" i="7"/>
  <c r="F1281" i="7"/>
  <c r="E1031" i="7"/>
  <c r="E1176" i="7"/>
  <c r="G233" i="7"/>
  <c r="G570" i="7"/>
  <c r="G363" i="7"/>
  <c r="E1076" i="7"/>
  <c r="F404" i="7"/>
  <c r="E1458" i="7"/>
  <c r="F461" i="7"/>
  <c r="G899" i="7"/>
  <c r="E1526" i="7"/>
  <c r="F909" i="7"/>
  <c r="G290" i="7"/>
  <c r="F1479" i="7"/>
  <c r="D1276" i="7"/>
  <c r="D545" i="7"/>
  <c r="F963" i="7"/>
  <c r="F911" i="7"/>
  <c r="E1293" i="7"/>
  <c r="F253" i="7"/>
  <c r="F1166" i="7"/>
  <c r="F965" i="7"/>
  <c r="G907" i="7"/>
  <c r="G1460" i="7"/>
  <c r="G781" i="7"/>
  <c r="G488" i="7"/>
  <c r="G574" i="7"/>
  <c r="E1513" i="7"/>
  <c r="H557" i="7"/>
  <c r="F1125" i="7"/>
  <c r="F1448" i="7"/>
  <c r="F999" i="7"/>
  <c r="F533" i="7"/>
  <c r="G880" i="7"/>
  <c r="G1403" i="7"/>
  <c r="G1005" i="7"/>
  <c r="H1085" i="7"/>
  <c r="E1140" i="7"/>
  <c r="F333" i="7"/>
  <c r="D1322" i="7"/>
  <c r="G797" i="7"/>
  <c r="G384" i="7"/>
  <c r="G965" i="7"/>
  <c r="F1394" i="7"/>
  <c r="H781" i="7"/>
  <c r="F799" i="7"/>
  <c r="G555" i="7"/>
  <c r="G1124" i="7"/>
  <c r="G677" i="7"/>
  <c r="G256" i="7"/>
  <c r="G190" i="7"/>
  <c r="F422" i="7"/>
  <c r="H477" i="7"/>
  <c r="F1341" i="7"/>
  <c r="G252" i="7"/>
  <c r="F1409" i="7"/>
  <c r="F1068" i="7"/>
  <c r="G1288" i="7"/>
  <c r="H460" i="7"/>
  <c r="G1490" i="7"/>
  <c r="G1035" i="7"/>
  <c r="G1500" i="7"/>
  <c r="D1436" i="7"/>
  <c r="G528" i="7"/>
  <c r="G1002" i="7"/>
  <c r="F1490" i="7"/>
  <c r="E1489" i="7"/>
  <c r="F1080" i="7"/>
  <c r="F1089" i="7"/>
  <c r="F790" i="7"/>
  <c r="G1064" i="7"/>
  <c r="H268" i="7"/>
  <c r="G1234" i="7"/>
  <c r="H1133" i="7"/>
  <c r="F870" i="7"/>
  <c r="F871" i="7"/>
  <c r="F609" i="7"/>
  <c r="G808" i="7"/>
  <c r="G1339" i="7"/>
  <c r="G919" i="7"/>
  <c r="H933" i="7"/>
  <c r="C1466" i="7"/>
  <c r="F387" i="7"/>
  <c r="E1223" i="7"/>
  <c r="D1296" i="7"/>
  <c r="E1150" i="7"/>
  <c r="D1503" i="7"/>
  <c r="D728" i="7"/>
  <c r="F663" i="7"/>
  <c r="G763" i="7"/>
  <c r="G509" i="7"/>
  <c r="D1242" i="7"/>
  <c r="G498" i="7"/>
  <c r="E1278" i="7"/>
  <c r="G689" i="7"/>
  <c r="F539" i="7"/>
  <c r="F601" i="7"/>
  <c r="F1405" i="7"/>
  <c r="G883" i="7"/>
  <c r="E1182" i="7"/>
  <c r="E221" i="7"/>
  <c r="E836" i="7"/>
  <c r="F559" i="7"/>
  <c r="F931" i="7"/>
  <c r="E1065" i="7"/>
  <c r="E704" i="7"/>
  <c r="F268" i="7"/>
  <c r="F1109" i="7"/>
  <c r="F665" i="7"/>
  <c r="D1361" i="7"/>
  <c r="E1292" i="7"/>
  <c r="F305" i="7"/>
  <c r="E476" i="7"/>
  <c r="E1058" i="7"/>
  <c r="E1064" i="7"/>
  <c r="F433" i="7"/>
  <c r="E784" i="7"/>
  <c r="E1218" i="7"/>
  <c r="F221" i="7"/>
  <c r="E780" i="7"/>
  <c r="E1341" i="7"/>
  <c r="E1462" i="7"/>
  <c r="E402" i="7"/>
  <c r="E1194" i="7"/>
  <c r="F1429" i="7"/>
  <c r="G522" i="7"/>
  <c r="G443" i="7"/>
  <c r="F1216" i="7"/>
  <c r="G1508" i="7"/>
  <c r="G213" i="7"/>
  <c r="F747" i="7"/>
  <c r="G728" i="7"/>
  <c r="G446" i="7"/>
  <c r="E1026" i="7"/>
  <c r="G769" i="7"/>
  <c r="E1240" i="7"/>
  <c r="G715" i="7"/>
  <c r="G172" i="7"/>
  <c r="E1249" i="7"/>
  <c r="D1173" i="7"/>
  <c r="F316" i="7"/>
  <c r="E1330" i="7"/>
  <c r="F309" i="7"/>
  <c r="G723" i="7"/>
  <c r="F1376" i="7"/>
  <c r="G1420" i="7"/>
  <c r="F1473" i="7"/>
  <c r="F494" i="7"/>
  <c r="G360" i="7"/>
  <c r="G1512" i="7"/>
  <c r="H444" i="7"/>
  <c r="G1469" i="7"/>
  <c r="H1309" i="7"/>
  <c r="E893" i="7"/>
  <c r="F470" i="7"/>
  <c r="F1014" i="7"/>
  <c r="F1007" i="7"/>
  <c r="E823" i="7"/>
  <c r="G452" i="7"/>
  <c r="F502" i="7"/>
  <c r="G557" i="7"/>
  <c r="F1028" i="7"/>
  <c r="G752" i="7"/>
  <c r="G542" i="7"/>
  <c r="E1165" i="7"/>
  <c r="E495" i="7"/>
  <c r="E477" i="7"/>
  <c r="E1323" i="7"/>
  <c r="D788" i="7"/>
  <c r="D552" i="7"/>
  <c r="E251" i="7"/>
  <c r="D1245" i="7"/>
  <c r="F802" i="7"/>
  <c r="F514" i="7"/>
  <c r="F295" i="7"/>
  <c r="F228" i="7"/>
  <c r="F538" i="7"/>
  <c r="E1164" i="7"/>
  <c r="F910" i="7"/>
  <c r="F1432" i="7"/>
  <c r="E1494" i="7"/>
  <c r="G809" i="7"/>
  <c r="E1466" i="7"/>
  <c r="E888" i="7"/>
  <c r="E671" i="7"/>
  <c r="E1005" i="7"/>
  <c r="F1205" i="7"/>
  <c r="E205" i="7"/>
  <c r="E1269" i="7"/>
  <c r="E909" i="7"/>
  <c r="F372" i="7"/>
  <c r="F1213" i="7"/>
  <c r="F803" i="7"/>
  <c r="D695" i="7"/>
  <c r="E1428" i="7"/>
  <c r="F425" i="7"/>
  <c r="E768" i="7"/>
  <c r="E1208" i="7"/>
  <c r="E1436" i="7"/>
  <c r="F545" i="7"/>
  <c r="E972" i="7"/>
  <c r="E1328" i="7"/>
  <c r="D585" i="7"/>
  <c r="E1085" i="7"/>
  <c r="E1477" i="7"/>
  <c r="F242" i="7"/>
  <c r="E740" i="7"/>
  <c r="E1089" i="7"/>
  <c r="G345" i="7"/>
  <c r="G842" i="7"/>
  <c r="G563" i="7"/>
  <c r="F1360" i="7"/>
  <c r="E198" i="7"/>
  <c r="G325" i="7"/>
  <c r="F875" i="7"/>
  <c r="G824" i="7"/>
  <c r="D822" i="7"/>
  <c r="E1408" i="7"/>
  <c r="E1018" i="7"/>
  <c r="F286" i="7"/>
  <c r="G963" i="7"/>
  <c r="G316" i="7"/>
  <c r="F205" i="7"/>
  <c r="E989" i="7"/>
  <c r="F596" i="7"/>
  <c r="F413" i="7"/>
  <c r="F613" i="7"/>
  <c r="G843" i="7"/>
  <c r="F1496" i="7"/>
  <c r="E644" i="7"/>
  <c r="G237" i="7"/>
  <c r="F641" i="7"/>
  <c r="G456" i="7"/>
  <c r="E1082" i="7"/>
  <c r="H540" i="7"/>
  <c r="H253" i="7"/>
  <c r="H1405" i="7"/>
  <c r="F409" i="7"/>
  <c r="F770" i="7"/>
  <c r="F1206" i="7"/>
  <c r="F1167" i="7"/>
  <c r="E1530" i="7"/>
  <c r="G596" i="7"/>
  <c r="F658" i="7"/>
  <c r="G653" i="7"/>
  <c r="F1124" i="7"/>
  <c r="G848" i="7"/>
  <c r="D622" i="7"/>
  <c r="E1440" i="7"/>
  <c r="C1148" i="7"/>
  <c r="F1254" i="7"/>
  <c r="E1476" i="7"/>
  <c r="D1236" i="7"/>
  <c r="E764" i="7"/>
  <c r="D1387" i="7"/>
  <c r="F239" i="7"/>
  <c r="G673" i="7"/>
  <c r="F657" i="7"/>
  <c r="D1466" i="7"/>
  <c r="F332" i="7"/>
  <c r="F677" i="7"/>
  <c r="E1287" i="7"/>
  <c r="F1038" i="7"/>
  <c r="F1528" i="7"/>
  <c r="F178" i="7"/>
  <c r="E453" i="7"/>
  <c r="F689" i="7"/>
  <c r="E1355" i="7"/>
  <c r="E879" i="7"/>
  <c r="E1144" i="7"/>
  <c r="F1413" i="7"/>
  <c r="D793" i="7"/>
  <c r="E1397" i="7"/>
  <c r="E1196" i="7"/>
  <c r="F476" i="7"/>
  <c r="F1317" i="7"/>
  <c r="F1070" i="7"/>
  <c r="E310" i="7"/>
  <c r="F272" i="7"/>
  <c r="F537" i="7"/>
  <c r="E960" i="7"/>
  <c r="D1011" i="7"/>
  <c r="F280" i="7"/>
  <c r="D1226" i="7"/>
  <c r="E1121" i="7"/>
  <c r="E1432" i="7"/>
  <c r="D1360" i="7"/>
  <c r="E1308" i="7"/>
  <c r="F169" i="7"/>
  <c r="D1420" i="7"/>
  <c r="E949" i="7"/>
  <c r="F419" i="7"/>
  <c r="G761" i="7"/>
  <c r="E1199" i="7"/>
  <c r="G707" i="7"/>
  <c r="F1480" i="7"/>
  <c r="E1209" i="7"/>
  <c r="G429" i="7"/>
  <c r="F1003" i="7"/>
  <c r="G920" i="7"/>
  <c r="D1045" i="7"/>
  <c r="F300" i="7"/>
  <c r="F370" i="7"/>
  <c r="F773" i="7"/>
  <c r="G1099" i="7"/>
  <c r="G436" i="7"/>
  <c r="F477" i="7"/>
  <c r="F736" i="7"/>
  <c r="F820" i="7"/>
  <c r="F729" i="7"/>
  <c r="F783" i="7"/>
  <c r="G987" i="7"/>
  <c r="G188" i="7"/>
  <c r="E1281" i="7"/>
  <c r="G341" i="7"/>
  <c r="F769" i="7"/>
  <c r="G552" i="7"/>
  <c r="F703" i="7"/>
  <c r="H636" i="7"/>
  <c r="H349" i="7"/>
  <c r="H1501" i="7"/>
  <c r="E703" i="7"/>
  <c r="F1037" i="7"/>
  <c r="F1398" i="7"/>
  <c r="F1287" i="7"/>
  <c r="F462" i="7"/>
  <c r="G716" i="7"/>
  <c r="F797" i="7"/>
  <c r="G749" i="7"/>
  <c r="D1207" i="7"/>
  <c r="C1041" i="7"/>
  <c r="F240" i="7"/>
  <c r="E481" i="7"/>
  <c r="E943" i="7"/>
  <c r="E407" i="7"/>
  <c r="D1402" i="7"/>
  <c r="G777" i="7"/>
  <c r="F1032" i="7"/>
  <c r="E1324" i="7"/>
  <c r="F652" i="7"/>
  <c r="F1047" i="7"/>
  <c r="F171" i="7"/>
  <c r="F1358" i="7"/>
  <c r="G388" i="7"/>
  <c r="E672" i="7"/>
  <c r="F485" i="7"/>
  <c r="F817" i="7"/>
  <c r="F327" i="7"/>
  <c r="E1034" i="7"/>
  <c r="E1272" i="7"/>
  <c r="F1517" i="7"/>
  <c r="E903" i="7"/>
  <c r="F249" i="7"/>
  <c r="E1415" i="7"/>
  <c r="F580" i="7"/>
  <c r="F1525" i="7"/>
  <c r="F1278" i="7"/>
  <c r="D1413" i="7"/>
  <c r="F448" i="7"/>
  <c r="D1108" i="7"/>
  <c r="E1247" i="7"/>
  <c r="E632" i="7"/>
  <c r="F456" i="7"/>
  <c r="E469" i="7"/>
  <c r="E1255" i="7"/>
  <c r="F204" i="7"/>
  <c r="D1355" i="7"/>
  <c r="E1484" i="7"/>
  <c r="F321" i="7"/>
  <c r="E540" i="7"/>
  <c r="E1090" i="7"/>
  <c r="E1392" i="7"/>
  <c r="E976" i="7"/>
  <c r="F261" i="7"/>
  <c r="G827" i="7"/>
  <c r="G308" i="7"/>
  <c r="F173" i="7"/>
  <c r="G533" i="7"/>
  <c r="F1100" i="7"/>
  <c r="G1016" i="7"/>
  <c r="E978" i="7"/>
  <c r="F588" i="7"/>
  <c r="F995" i="7"/>
  <c r="F986" i="7"/>
  <c r="E695" i="7"/>
  <c r="G556" i="7"/>
  <c r="F637" i="7"/>
  <c r="E669" i="7"/>
  <c r="E1017" i="7"/>
  <c r="F1006" i="7"/>
  <c r="F997" i="7"/>
  <c r="G1107" i="7"/>
  <c r="G324" i="7"/>
  <c r="F237" i="7"/>
  <c r="G445" i="7"/>
  <c r="F897" i="7"/>
  <c r="G648" i="7"/>
  <c r="F1163" i="7"/>
  <c r="H732" i="7"/>
  <c r="H445" i="7"/>
  <c r="A169" i="7"/>
  <c r="E1318" i="7"/>
  <c r="F1245" i="7"/>
  <c r="G234" i="7"/>
  <c r="F1407" i="7"/>
  <c r="F646" i="7"/>
  <c r="G836" i="7"/>
  <c r="F935" i="7"/>
  <c r="C1074" i="7"/>
  <c r="F616" i="7"/>
  <c r="E551" i="7"/>
  <c r="E1242" i="7"/>
  <c r="E226" i="7"/>
  <c r="D1453" i="7"/>
  <c r="E992" i="7"/>
  <c r="G490" i="7"/>
  <c r="G756" i="7"/>
  <c r="E1365" i="7"/>
  <c r="F1181" i="7"/>
  <c r="E828" i="7"/>
  <c r="F340" i="7"/>
  <c r="F373" i="7"/>
  <c r="E790" i="7"/>
  <c r="E820" i="7"/>
  <c r="G514" i="7"/>
  <c r="G300" i="7"/>
  <c r="F680" i="7"/>
  <c r="E896" i="7"/>
  <c r="F676" i="7"/>
  <c r="G393" i="7"/>
  <c r="E956" i="7"/>
  <c r="E1184" i="7"/>
  <c r="F307" i="7"/>
  <c r="F996" i="7"/>
  <c r="G617" i="7"/>
  <c r="G242" i="7"/>
  <c r="E1137" i="7"/>
  <c r="D1340" i="7"/>
  <c r="E1098" i="7"/>
  <c r="F235" i="7"/>
  <c r="E337" i="7"/>
  <c r="F944" i="7"/>
  <c r="E1109" i="7"/>
  <c r="F243" i="7"/>
  <c r="F516" i="7"/>
  <c r="E678" i="7"/>
  <c r="F640" i="7"/>
  <c r="E533" i="7"/>
  <c r="E1263" i="7"/>
  <c r="E968" i="7"/>
  <c r="F804" i="7"/>
  <c r="F985" i="7"/>
  <c r="F975" i="7"/>
  <c r="E613" i="7"/>
  <c r="G692" i="7"/>
  <c r="F765" i="7"/>
  <c r="G821" i="7"/>
  <c r="F1388" i="7"/>
  <c r="G1400" i="7"/>
  <c r="F297" i="7"/>
  <c r="F749" i="7"/>
  <c r="F1518" i="7"/>
  <c r="F1391" i="7"/>
  <c r="F625" i="7"/>
  <c r="G940" i="7"/>
  <c r="F1041" i="7"/>
  <c r="E392" i="7"/>
  <c r="F1029" i="7"/>
  <c r="F1526" i="7"/>
  <c r="F1399" i="7"/>
  <c r="F450" i="7"/>
  <c r="G708" i="7"/>
  <c r="F786" i="7"/>
  <c r="G741" i="7"/>
  <c r="F1212" i="7"/>
  <c r="G936" i="7"/>
  <c r="G1054" i="7"/>
  <c r="F1202" i="7"/>
  <c r="H733" i="7"/>
  <c r="A457" i="7"/>
  <c r="E1048" i="7"/>
  <c r="G425" i="7"/>
  <c r="G730" i="7"/>
  <c r="G467" i="7"/>
  <c r="F1120" i="7"/>
  <c r="G1220" i="7"/>
  <c r="F1265" i="7"/>
  <c r="E1354" i="7"/>
  <c r="D913" i="7"/>
  <c r="F712" i="7"/>
  <c r="D1060" i="7"/>
  <c r="E1339" i="7"/>
  <c r="E505" i="7"/>
  <c r="D1086" i="7"/>
  <c r="E1130" i="7"/>
  <c r="F525" i="7"/>
  <c r="G1524" i="7"/>
  <c r="E831" i="7"/>
  <c r="G681" i="7"/>
  <c r="F840" i="7"/>
  <c r="E1361" i="7"/>
  <c r="F1343" i="7"/>
  <c r="E1340" i="7"/>
  <c r="F460" i="7"/>
  <c r="F563" i="7"/>
  <c r="G588" i="7"/>
  <c r="F856" i="7"/>
  <c r="E1047" i="7"/>
  <c r="F884" i="7"/>
  <c r="G497" i="7"/>
  <c r="E1213" i="7"/>
  <c r="E1302" i="7"/>
  <c r="F411" i="7"/>
  <c r="E975" i="7"/>
  <c r="G721" i="7"/>
  <c r="G338" i="7"/>
  <c r="E1459" i="7"/>
  <c r="E685" i="7"/>
  <c r="E1237" i="7"/>
  <c r="F339" i="7"/>
  <c r="E1159" i="7"/>
  <c r="E701" i="7"/>
  <c r="E1246" i="7"/>
  <c r="F347" i="7"/>
  <c r="F620" i="7"/>
  <c r="E1062" i="7"/>
  <c r="F952" i="7"/>
  <c r="E799" i="7"/>
  <c r="E1367" i="7"/>
  <c r="F568" i="7"/>
  <c r="E284" i="7"/>
  <c r="F1182" i="7"/>
  <c r="F1111" i="7"/>
  <c r="E1338" i="7"/>
  <c r="G812" i="7"/>
  <c r="F903" i="7"/>
  <c r="G917" i="7"/>
  <c r="G248" i="7"/>
  <c r="G1496" i="7"/>
  <c r="E349" i="7"/>
  <c r="F1021" i="7"/>
  <c r="G186" i="7"/>
  <c r="F1511" i="7"/>
  <c r="F795" i="7"/>
  <c r="G1084" i="7"/>
  <c r="F1145" i="7"/>
  <c r="E1226" i="7"/>
  <c r="F1237" i="7"/>
  <c r="G370" i="7"/>
  <c r="F1527" i="7"/>
  <c r="F635" i="7"/>
  <c r="G828" i="7"/>
  <c r="F925" i="7"/>
  <c r="G837" i="7"/>
  <c r="F1308" i="7"/>
  <c r="G1032" i="7"/>
  <c r="G1201" i="7"/>
  <c r="G543" i="7"/>
  <c r="D677" i="7"/>
  <c r="D933" i="7"/>
  <c r="E451" i="7"/>
  <c r="D1053" i="7"/>
  <c r="E723" i="7"/>
  <c r="D748" i="7"/>
  <c r="E1375" i="7"/>
  <c r="F666" i="7"/>
  <c r="E369" i="7"/>
  <c r="E1002" i="7"/>
  <c r="G785" i="7"/>
  <c r="F1000" i="7"/>
  <c r="F325" i="7"/>
  <c r="F1439" i="7"/>
  <c r="E1516" i="7"/>
  <c r="F564" i="7"/>
  <c r="F698" i="7"/>
  <c r="G684" i="7"/>
  <c r="D804" i="7"/>
  <c r="E1185" i="7"/>
  <c r="F988" i="7"/>
  <c r="E1266" i="7"/>
  <c r="E1396" i="7"/>
  <c r="E1414" i="7"/>
  <c r="E637" i="7"/>
  <c r="F389" i="7"/>
  <c r="G825" i="7"/>
  <c r="G434" i="7"/>
  <c r="F215" i="7"/>
  <c r="E932" i="7"/>
  <c r="E1342" i="7"/>
  <c r="D718" i="7"/>
  <c r="E1467" i="7"/>
  <c r="E944" i="7"/>
  <c r="E1350" i="7"/>
  <c r="D884" i="7"/>
  <c r="F724" i="7"/>
  <c r="E1169" i="7"/>
  <c r="E177" i="7"/>
  <c r="E981" i="7"/>
  <c r="E1471" i="7"/>
  <c r="E500" i="7"/>
  <c r="F430" i="7"/>
  <c r="F1326" i="7"/>
  <c r="F1263" i="7"/>
  <c r="F418" i="7"/>
  <c r="G932" i="7"/>
  <c r="F1033" i="7"/>
  <c r="E1258" i="7"/>
  <c r="G344" i="7"/>
  <c r="E645" i="7"/>
  <c r="E1216" i="7"/>
  <c r="F1229" i="7"/>
  <c r="G362" i="7"/>
  <c r="D716" i="7"/>
  <c r="F813" i="7"/>
  <c r="G226" i="7"/>
  <c r="E525" i="7"/>
  <c r="E982" i="7"/>
  <c r="E970" i="7"/>
  <c r="E1132" i="7"/>
  <c r="G548" i="7"/>
  <c r="F445" i="7"/>
  <c r="F775" i="7"/>
  <c r="F1127" i="7"/>
  <c r="G549" i="7"/>
  <c r="E1257" i="7"/>
  <c r="E1228" i="7"/>
  <c r="G347" i="7"/>
  <c r="G1436" i="7"/>
  <c r="F651" i="7"/>
  <c r="G1136" i="7"/>
  <c r="E719" i="7"/>
  <c r="F1469" i="7"/>
  <c r="G738" i="7"/>
  <c r="G619" i="7"/>
  <c r="F1520" i="7"/>
  <c r="E1345" i="7"/>
  <c r="G461" i="7"/>
  <c r="F513" i="7"/>
  <c r="F495" i="7"/>
  <c r="F1222" i="7"/>
  <c r="F1303" i="7"/>
  <c r="F256" i="7"/>
  <c r="F180" i="7"/>
  <c r="F549" i="7"/>
  <c r="F869" i="7"/>
  <c r="D1430" i="7"/>
  <c r="F315" i="7"/>
  <c r="G737" i="7"/>
  <c r="F499" i="7"/>
  <c r="G1043" i="7"/>
  <c r="E1320" i="7"/>
  <c r="E871" i="7"/>
  <c r="F511" i="7"/>
  <c r="F560" i="7"/>
  <c r="F653" i="7"/>
  <c r="F1502" i="7"/>
  <c r="E1379" i="7"/>
  <c r="F955" i="7"/>
  <c r="F1185" i="7"/>
  <c r="F1036" i="7"/>
  <c r="G1376" i="7"/>
  <c r="H420" i="7"/>
  <c r="H237" i="7"/>
  <c r="E1528" i="7"/>
  <c r="F1200" i="7"/>
  <c r="F1193" i="7"/>
  <c r="F865" i="7"/>
  <c r="G1264" i="7"/>
  <c r="H532" i="7"/>
  <c r="H357" i="7"/>
  <c r="A289" i="7"/>
  <c r="E757" i="7"/>
  <c r="G892" i="7"/>
  <c r="G365" i="7"/>
  <c r="F1436" i="7"/>
  <c r="G638" i="7"/>
  <c r="G351" i="7"/>
  <c r="H989" i="7"/>
  <c r="G550" i="7"/>
  <c r="F742" i="7"/>
  <c r="D707" i="7"/>
  <c r="E712" i="7"/>
  <c r="F945" i="7"/>
  <c r="F393" i="7"/>
  <c r="F584" i="7"/>
  <c r="E1359" i="7"/>
  <c r="C1018" i="7"/>
  <c r="F463" i="7"/>
  <c r="F1190" i="7"/>
  <c r="F914" i="7"/>
  <c r="F1279" i="7"/>
  <c r="G645" i="7"/>
  <c r="F755" i="7"/>
  <c r="E1424" i="7"/>
  <c r="G611" i="7"/>
  <c r="E709" i="7"/>
  <c r="F1220" i="7"/>
  <c r="G1232" i="7"/>
  <c r="E1326" i="7"/>
  <c r="G433" i="7"/>
  <c r="E326" i="7"/>
  <c r="G739" i="7"/>
  <c r="G220" i="7"/>
  <c r="F293" i="7"/>
  <c r="G565" i="7"/>
  <c r="E735" i="7"/>
  <c r="F791" i="7"/>
  <c r="F1414" i="7"/>
  <c r="F1431" i="7"/>
  <c r="F920" i="7"/>
  <c r="F692" i="7"/>
  <c r="F846" i="7"/>
  <c r="F1031" i="7"/>
  <c r="E582" i="7"/>
  <c r="E692" i="7"/>
  <c r="E807" i="7"/>
  <c r="F730" i="7"/>
  <c r="E311" i="7"/>
  <c r="F276" i="7"/>
  <c r="F306" i="7"/>
  <c r="F741" i="7"/>
  <c r="F257" i="7"/>
  <c r="F930" i="7"/>
  <c r="G170" i="7"/>
  <c r="D675" i="7"/>
  <c r="F1192" i="7"/>
  <c r="F1329" i="7"/>
  <c r="F1156" i="7"/>
  <c r="G1504" i="7"/>
  <c r="H524" i="7"/>
  <c r="H341" i="7"/>
  <c r="F484" i="7"/>
  <c r="G228" i="7"/>
  <c r="F1337" i="7"/>
  <c r="F1044" i="7"/>
  <c r="G1384" i="7"/>
  <c r="H644" i="7"/>
  <c r="H461" i="7"/>
  <c r="A393" i="7"/>
  <c r="F1199" i="7"/>
  <c r="G1116" i="7"/>
  <c r="G501" i="7"/>
  <c r="E398" i="7"/>
  <c r="E1275" i="7"/>
  <c r="F1152" i="7"/>
  <c r="E895" i="7"/>
  <c r="F936" i="7"/>
  <c r="E1463" i="7"/>
  <c r="E966" i="7"/>
  <c r="F626" i="7"/>
  <c r="F1374" i="7"/>
  <c r="F1249" i="7"/>
  <c r="G219" i="7"/>
  <c r="G933" i="7"/>
  <c r="G903" i="7"/>
  <c r="F380" i="7"/>
  <c r="G731" i="7"/>
  <c r="F1057" i="7"/>
  <c r="F1316" i="7"/>
  <c r="G1328" i="7"/>
  <c r="E720" i="7"/>
  <c r="G641" i="7"/>
  <c r="E1337" i="7"/>
  <c r="G867" i="7"/>
  <c r="G340" i="7"/>
  <c r="F515" i="7"/>
  <c r="G661" i="7"/>
  <c r="E1334" i="7"/>
  <c r="F1053" i="7"/>
  <c r="G258" i="7"/>
  <c r="G243" i="7"/>
  <c r="F521" i="7"/>
  <c r="F916" i="7"/>
  <c r="F1086" i="7"/>
  <c r="F1191" i="7"/>
  <c r="E1451" i="7"/>
  <c r="E1312" i="7"/>
  <c r="F599" i="7"/>
  <c r="F901" i="7"/>
  <c r="E886" i="7"/>
  <c r="F500" i="7"/>
  <c r="F675" i="7"/>
  <c r="F1095" i="7"/>
  <c r="E1088" i="7"/>
  <c r="F1157" i="7"/>
  <c r="G346" i="7"/>
  <c r="E1520" i="7"/>
  <c r="F1424" i="7"/>
  <c r="F1513" i="7"/>
  <c r="F1276" i="7"/>
  <c r="F213" i="7"/>
  <c r="H628" i="7"/>
  <c r="H453" i="7"/>
  <c r="G249" i="7"/>
  <c r="G412" i="7"/>
  <c r="F1521" i="7"/>
  <c r="F1164" i="7"/>
  <c r="G1528" i="7"/>
  <c r="H748" i="7"/>
  <c r="H565" i="7"/>
  <c r="E1125" i="7"/>
  <c r="G531" i="7"/>
  <c r="G1284" i="7"/>
  <c r="G669" i="7"/>
  <c r="E357" i="7"/>
  <c r="E733" i="7"/>
  <c r="E1256" i="7"/>
  <c r="E461" i="7"/>
  <c r="E1519" i="7"/>
  <c r="E751" i="7"/>
  <c r="F308" i="7"/>
  <c r="F292" i="7"/>
  <c r="G629" i="7"/>
  <c r="F1119" i="7"/>
  <c r="E1453" i="7"/>
  <c r="E759" i="7"/>
  <c r="F1020" i="7"/>
  <c r="H541" i="7"/>
  <c r="F1461" i="7"/>
  <c r="G851" i="7"/>
  <c r="F1161" i="7"/>
  <c r="F1412" i="7"/>
  <c r="G1424" i="7"/>
  <c r="E1319" i="7"/>
  <c r="G849" i="7"/>
  <c r="F435" i="7"/>
  <c r="G1003" i="7"/>
  <c r="G460" i="7"/>
  <c r="F669" i="7"/>
  <c r="G757" i="7"/>
  <c r="E736" i="7"/>
  <c r="F1269" i="7"/>
  <c r="G426" i="7"/>
  <c r="G507" i="7"/>
  <c r="E908" i="7"/>
  <c r="E1265" i="7"/>
  <c r="F1270" i="7"/>
  <c r="F1311" i="7"/>
  <c r="E557" i="7"/>
  <c r="F212" i="7"/>
  <c r="F878" i="7"/>
  <c r="F1087" i="7"/>
  <c r="E589" i="7"/>
  <c r="F732" i="7"/>
  <c r="F1118" i="7"/>
  <c r="F1223" i="7"/>
  <c r="D1228" i="7"/>
  <c r="F1373" i="7"/>
  <c r="G482" i="7"/>
  <c r="F420" i="7"/>
  <c r="G404" i="7"/>
  <c r="G173" i="7"/>
  <c r="F1420" i="7"/>
  <c r="F1002" i="7"/>
  <c r="H740" i="7"/>
  <c r="H661" i="7"/>
  <c r="F587" i="7"/>
  <c r="G636" i="7"/>
  <c r="G181" i="7"/>
  <c r="F1284" i="7"/>
  <c r="F318" i="7"/>
  <c r="F238" i="7"/>
  <c r="H669" i="7"/>
  <c r="F757" i="7"/>
  <c r="G931" i="7"/>
  <c r="G1476" i="7"/>
  <c r="G957" i="7"/>
  <c r="D848" i="7"/>
  <c r="E1012" i="7"/>
  <c r="E1360" i="7"/>
  <c r="F192" i="7"/>
  <c r="F203" i="7"/>
  <c r="E959" i="7"/>
  <c r="F412" i="7"/>
  <c r="F524" i="7"/>
  <c r="G725" i="7"/>
  <c r="F1271" i="7"/>
  <c r="F401" i="7"/>
  <c r="E1498" i="7"/>
  <c r="F1116" i="7"/>
  <c r="H637" i="7"/>
  <c r="G209" i="7"/>
  <c r="F838" i="7"/>
  <c r="F1377" i="7"/>
  <c r="F1508" i="7"/>
  <c r="G1520" i="7"/>
  <c r="F388" i="7"/>
  <c r="E1394" i="7"/>
  <c r="F634" i="7"/>
  <c r="G1123" i="7"/>
  <c r="G604" i="7"/>
  <c r="F807" i="7"/>
  <c r="G853" i="7"/>
  <c r="E1327" i="7"/>
  <c r="F1477" i="7"/>
  <c r="G746" i="7"/>
  <c r="G627" i="7"/>
  <c r="E1422" i="7"/>
  <c r="F598" i="7"/>
  <c r="F1422" i="7"/>
  <c r="F1455" i="7"/>
  <c r="F392" i="7"/>
  <c r="F492" i="7"/>
  <c r="F1110" i="7"/>
  <c r="F1215" i="7"/>
  <c r="F440" i="7"/>
  <c r="F189" i="7"/>
  <c r="F1310" i="7"/>
  <c r="F1367" i="7"/>
  <c r="E1079" i="7"/>
  <c r="G337" i="7"/>
  <c r="G658" i="7"/>
  <c r="F898" i="7"/>
  <c r="G628" i="7"/>
  <c r="G309" i="7"/>
  <c r="G224" i="7"/>
  <c r="F1515" i="7"/>
  <c r="F883" i="7"/>
  <c r="H765" i="7"/>
  <c r="G770" i="7"/>
  <c r="G884" i="7"/>
  <c r="G333" i="7"/>
  <c r="F1428" i="7"/>
  <c r="F1035" i="7"/>
  <c r="F926" i="7"/>
  <c r="H773" i="7"/>
  <c r="F1203" i="7"/>
  <c r="E1114" i="7"/>
  <c r="E1473" i="7"/>
  <c r="E1136" i="7"/>
  <c r="G768" i="7"/>
  <c r="H228" i="7"/>
  <c r="G1319" i="7"/>
  <c r="H1413" i="7"/>
  <c r="F1333" i="7"/>
  <c r="G244" i="7"/>
  <c r="G197" i="7"/>
  <c r="F1324" i="7"/>
  <c r="F1131" i="7"/>
  <c r="F1010" i="7"/>
  <c r="H685" i="7"/>
  <c r="F1319" i="7"/>
  <c r="G1132" i="7"/>
  <c r="G813" i="7"/>
  <c r="G520" i="7"/>
  <c r="G1157" i="7"/>
  <c r="G831" i="7"/>
  <c r="F1102" i="7"/>
  <c r="G1148" i="7"/>
  <c r="G829" i="7"/>
  <c r="G672" i="7"/>
  <c r="G1307" i="7"/>
  <c r="G1055" i="7"/>
  <c r="F474" i="7"/>
  <c r="G924" i="7"/>
  <c r="G701" i="7"/>
  <c r="G416" i="7"/>
  <c r="G1015" i="7"/>
  <c r="G479" i="7"/>
  <c r="H917" i="7"/>
  <c r="F565" i="7"/>
  <c r="F1097" i="7"/>
  <c r="F961" i="7"/>
  <c r="G1192" i="7"/>
  <c r="H380" i="7"/>
  <c r="H197" i="7"/>
  <c r="F610" i="7"/>
  <c r="F1168" i="7"/>
  <c r="F1113" i="7"/>
  <c r="F822" i="7"/>
  <c r="G968" i="7"/>
  <c r="G1361" i="7"/>
  <c r="G607" i="7"/>
  <c r="F621" i="7"/>
  <c r="G796" i="7"/>
  <c r="G469" i="7"/>
  <c r="F1380" i="7"/>
  <c r="G1480" i="7"/>
  <c r="H404" i="7"/>
  <c r="F890" i="7"/>
  <c r="G1028" i="7"/>
  <c r="G477" i="7"/>
  <c r="G216" i="7"/>
  <c r="F959" i="7"/>
  <c r="H620" i="7"/>
  <c r="H333" i="7"/>
  <c r="H1221" i="7"/>
  <c r="G1246" i="7"/>
  <c r="H1054" i="7"/>
  <c r="H223" i="7"/>
  <c r="F362" i="7"/>
  <c r="H392" i="7"/>
  <c r="G1282" i="7"/>
  <c r="H1177" i="7"/>
  <c r="H1236" i="7"/>
  <c r="A1127" i="7"/>
  <c r="H1327" i="7"/>
  <c r="G1277" i="7"/>
  <c r="F1267" i="7"/>
  <c r="H582" i="7"/>
  <c r="G807" i="7"/>
  <c r="H903" i="7"/>
  <c r="G1270" i="7"/>
  <c r="F1442" i="7"/>
  <c r="H629" i="7"/>
  <c r="G981" i="7"/>
  <c r="H878" i="7"/>
  <c r="G1311" i="7"/>
  <c r="H1199" i="7"/>
  <c r="H312" i="7"/>
  <c r="G1175" i="7"/>
  <c r="H413" i="7"/>
  <c r="G742" i="7"/>
  <c r="H886" i="7"/>
  <c r="G1322" i="7"/>
  <c r="H1207" i="7"/>
  <c r="H320" i="7"/>
  <c r="G1186" i="7"/>
  <c r="H861" i="7"/>
  <c r="G1159" i="7"/>
  <c r="H1086" i="7"/>
  <c r="H351" i="7"/>
  <c r="F1083" i="7"/>
  <c r="H616" i="7"/>
  <c r="F407" i="7"/>
  <c r="H1109" i="7"/>
  <c r="G1299" i="7"/>
  <c r="H1190" i="7"/>
  <c r="H263" i="7"/>
  <c r="F639" i="7"/>
  <c r="H528" i="7"/>
  <c r="H257" i="7"/>
  <c r="H1409" i="7"/>
  <c r="H1304" i="7"/>
  <c r="A1263" i="7"/>
  <c r="A338" i="7"/>
  <c r="G312" i="7"/>
  <c r="D315" i="7"/>
  <c r="E305" i="7"/>
  <c r="F283" i="7"/>
  <c r="G185" i="7"/>
  <c r="F1382" i="7"/>
  <c r="F632" i="7"/>
  <c r="F441" i="7"/>
  <c r="G947" i="7"/>
  <c r="F576" i="7"/>
  <c r="G700" i="7"/>
  <c r="F1198" i="7"/>
  <c r="F490" i="7"/>
  <c r="G510" i="7"/>
  <c r="F479" i="7"/>
  <c r="G866" i="7"/>
  <c r="G980" i="7"/>
  <c r="E855" i="7"/>
  <c r="G560" i="7"/>
  <c r="F752" i="7"/>
  <c r="F781" i="7"/>
  <c r="F1406" i="7"/>
  <c r="F1415" i="7"/>
  <c r="F1008" i="7"/>
  <c r="G1340" i="7"/>
  <c r="F1489" i="7"/>
  <c r="F248" i="7"/>
  <c r="F628" i="7"/>
  <c r="F535" i="7"/>
  <c r="F858" i="7"/>
  <c r="E1041" i="7"/>
  <c r="E274" i="7"/>
  <c r="G449" i="7"/>
  <c r="E693" i="7"/>
  <c r="G755" i="7"/>
  <c r="D981" i="7"/>
  <c r="F1349" i="7"/>
  <c r="G810" i="7"/>
  <c r="G659" i="7"/>
  <c r="E1068" i="7"/>
  <c r="G329" i="7"/>
  <c r="G826" i="7"/>
  <c r="D1278" i="7"/>
  <c r="F508" i="7"/>
  <c r="F686" i="7"/>
  <c r="F751" i="7"/>
  <c r="E485" i="7"/>
  <c r="F451" i="7"/>
  <c r="F519" i="7"/>
  <c r="G992" i="7"/>
  <c r="G1531" i="7"/>
  <c r="G1158" i="7"/>
  <c r="H1285" i="7"/>
  <c r="F290" i="7"/>
  <c r="E1441" i="7"/>
  <c r="E1093" i="7"/>
  <c r="G760" i="7"/>
  <c r="H220" i="7"/>
  <c r="G1309" i="7"/>
  <c r="H1397" i="7"/>
  <c r="F1133" i="7"/>
  <c r="G236" i="7"/>
  <c r="F1393" i="7"/>
  <c r="E470" i="7"/>
  <c r="E749" i="7"/>
  <c r="F395" i="7"/>
  <c r="G289" i="7"/>
  <c r="F1478" i="7"/>
  <c r="F768" i="7"/>
  <c r="F553" i="7"/>
  <c r="G1091" i="7"/>
  <c r="E1437" i="7"/>
  <c r="G820" i="7"/>
  <c r="F1390" i="7"/>
  <c r="F647" i="7"/>
  <c r="G886" i="7"/>
  <c r="D993" i="7"/>
  <c r="E1305" i="7"/>
  <c r="G1100" i="7"/>
  <c r="F301" i="7"/>
  <c r="G944" i="7"/>
  <c r="E906" i="7"/>
  <c r="F1045" i="7"/>
  <c r="G250" i="7"/>
  <c r="G235" i="7"/>
  <c r="F1272" i="7"/>
  <c r="G1444" i="7"/>
  <c r="G253" i="7"/>
  <c r="F872" i="7"/>
  <c r="F908" i="7"/>
  <c r="F835" i="7"/>
  <c r="F1023" i="7"/>
  <c r="F391" i="7"/>
  <c r="E1186" i="7"/>
  <c r="G657" i="7"/>
  <c r="E1401" i="7"/>
  <c r="G1019" i="7"/>
  <c r="E948" i="7"/>
  <c r="G321" i="7"/>
  <c r="E885" i="7"/>
  <c r="G803" i="7"/>
  <c r="F323" i="7"/>
  <c r="G537" i="7"/>
  <c r="E938" i="7"/>
  <c r="E894" i="7"/>
  <c r="F796" i="7"/>
  <c r="F974" i="7"/>
  <c r="F1103" i="7"/>
  <c r="F262" i="7"/>
  <c r="F733" i="7"/>
  <c r="F694" i="7"/>
  <c r="G1120" i="7"/>
  <c r="H212" i="7"/>
  <c r="G1298" i="7"/>
  <c r="H1389" i="7"/>
  <c r="F721" i="7"/>
  <c r="F527" i="7"/>
  <c r="F182" i="7"/>
  <c r="G1000" i="7"/>
  <c r="H324" i="7"/>
  <c r="G1447" i="7"/>
  <c r="H1509" i="7"/>
  <c r="G305" i="7"/>
  <c r="G420" i="7"/>
  <c r="F1529" i="7"/>
  <c r="D1178" i="7"/>
  <c r="F674" i="7"/>
  <c r="F1462" i="7"/>
  <c r="F335" i="7"/>
  <c r="E598" i="7"/>
  <c r="E783" i="7"/>
  <c r="E800" i="7"/>
  <c r="G428" i="7"/>
  <c r="E580" i="7"/>
  <c r="G1204" i="7"/>
  <c r="G546" i="7"/>
  <c r="F1049" i="7"/>
  <c r="G1329" i="7"/>
  <c r="E444" i="7"/>
  <c r="G227" i="7"/>
  <c r="G1324" i="7"/>
  <c r="F507" i="7"/>
  <c r="G1040" i="7"/>
  <c r="F417" i="7"/>
  <c r="F1253" i="7"/>
  <c r="G386" i="7"/>
  <c r="G483" i="7"/>
  <c r="F1392" i="7"/>
  <c r="E773" i="7"/>
  <c r="G357" i="7"/>
  <c r="E919" i="7"/>
  <c r="E1188" i="7"/>
  <c r="F1078" i="7"/>
  <c r="F1183" i="7"/>
  <c r="E1404" i="7"/>
  <c r="E1512" i="7"/>
  <c r="G865" i="7"/>
  <c r="F655" i="7"/>
  <c r="G1139" i="7"/>
  <c r="E1447" i="7"/>
  <c r="G529" i="7"/>
  <c r="F165" i="7"/>
  <c r="G923" i="7"/>
  <c r="E868" i="7"/>
  <c r="G745" i="7"/>
  <c r="F197" i="7"/>
  <c r="E621" i="7"/>
  <c r="D1172" i="7"/>
  <c r="F1318" i="7"/>
  <c r="F1239" i="7"/>
  <c r="F710" i="7"/>
  <c r="F989" i="7"/>
  <c r="F854" i="7"/>
  <c r="G1256" i="7"/>
  <c r="H316" i="7"/>
  <c r="G1437" i="7"/>
  <c r="E1119" i="7"/>
  <c r="F1016" i="7"/>
  <c r="F743" i="7"/>
  <c r="F705" i="7"/>
  <c r="G1144" i="7"/>
  <c r="H428" i="7"/>
  <c r="H245" i="7"/>
  <c r="A185" i="7"/>
  <c r="F857" i="7"/>
  <c r="G644" i="7"/>
  <c r="G189" i="7"/>
  <c r="D1258" i="7"/>
  <c r="E1455" i="7"/>
  <c r="F1292" i="7"/>
  <c r="G444" i="7"/>
  <c r="G841" i="7"/>
  <c r="G272" i="7"/>
  <c r="F814" i="7"/>
  <c r="G844" i="7"/>
  <c r="E1504" i="7"/>
  <c r="G891" i="7"/>
  <c r="G442" i="7"/>
  <c r="F1004" i="7"/>
  <c r="D980" i="7"/>
  <c r="G291" i="7"/>
  <c r="E1156" i="7"/>
  <c r="G621" i="7"/>
  <c r="G287" i="7"/>
  <c r="G1276" i="7"/>
  <c r="G950" i="7"/>
  <c r="E920" i="7"/>
  <c r="F546" i="7"/>
  <c r="G1272" i="7"/>
  <c r="F338" i="7"/>
  <c r="H1093" i="7"/>
  <c r="F708" i="7"/>
  <c r="G652" i="7"/>
  <c r="G805" i="7"/>
  <c r="G640" i="7"/>
  <c r="G1425" i="7"/>
  <c r="G1330" i="7"/>
  <c r="H1421" i="7"/>
  <c r="F1472" i="7"/>
  <c r="G381" i="7"/>
  <c r="G280" i="7"/>
  <c r="G990" i="7"/>
  <c r="G1042" i="7"/>
  <c r="G651" i="7"/>
  <c r="F579" i="7"/>
  <c r="F758" i="7"/>
  <c r="G1296" i="7"/>
  <c r="H676" i="7"/>
  <c r="E935" i="7"/>
  <c r="F1304" i="7"/>
  <c r="G261" i="7"/>
  <c r="F1468" i="7"/>
  <c r="G766" i="7"/>
  <c r="G887" i="7"/>
  <c r="E1423" i="7"/>
  <c r="G284" i="7"/>
  <c r="G405" i="7"/>
  <c r="G184" i="7"/>
  <c r="G798" i="7"/>
  <c r="G511" i="7"/>
  <c r="E510" i="7"/>
  <c r="F166" i="7"/>
  <c r="F690" i="7"/>
  <c r="F662" i="7"/>
  <c r="G1088" i="7"/>
  <c r="H188" i="7"/>
  <c r="G1266" i="7"/>
  <c r="G811" i="7"/>
  <c r="F398" i="7"/>
  <c r="F455" i="7"/>
  <c r="G856" i="7"/>
  <c r="G1371" i="7"/>
  <c r="F196" i="7"/>
  <c r="G620" i="7"/>
  <c r="G301" i="7"/>
  <c r="G336" i="7"/>
  <c r="G478" i="7"/>
  <c r="F841" i="7"/>
  <c r="G1080" i="7"/>
  <c r="A449" i="7"/>
  <c r="H478" i="7"/>
  <c r="G775" i="7"/>
  <c r="H991" i="7"/>
  <c r="G1515" i="7"/>
  <c r="G998" i="7"/>
  <c r="H1081" i="7"/>
  <c r="H1379" i="7"/>
  <c r="A1319" i="7"/>
  <c r="A412" i="7"/>
  <c r="H1045" i="7"/>
  <c r="G1156" i="7"/>
  <c r="E606" i="7"/>
  <c r="G1112" i="7"/>
  <c r="G572" i="7"/>
  <c r="G378" i="7"/>
  <c r="G368" i="7"/>
  <c r="F1054" i="7"/>
  <c r="G988" i="7"/>
  <c r="F172" i="7"/>
  <c r="G1011" i="7"/>
  <c r="G578" i="7"/>
  <c r="F631" i="7"/>
  <c r="E1066" i="7"/>
  <c r="G427" i="7"/>
  <c r="F229" i="7"/>
  <c r="G909" i="7"/>
  <c r="G703" i="7"/>
  <c r="G1468" i="7"/>
  <c r="G1118" i="7"/>
  <c r="F210" i="7"/>
  <c r="F715" i="7"/>
  <c r="G1392" i="7"/>
  <c r="F969" i="7"/>
  <c r="H1197" i="7"/>
  <c r="G457" i="7"/>
  <c r="G900" i="7"/>
  <c r="D424" i="7"/>
  <c r="G776" i="7"/>
  <c r="H236" i="7"/>
  <c r="G1479" i="7"/>
  <c r="E1430" i="7"/>
  <c r="G500" i="7"/>
  <c r="G525" i="7"/>
  <c r="G400" i="7"/>
  <c r="G1297" i="7"/>
  <c r="G1202" i="7"/>
  <c r="E1241" i="7"/>
  <c r="F839" i="7"/>
  <c r="F939" i="7"/>
  <c r="G1440" i="7"/>
  <c r="H780" i="7"/>
  <c r="F227" i="7"/>
  <c r="G268" i="7"/>
  <c r="G397" i="7"/>
  <c r="G296" i="7"/>
  <c r="G1179" i="7"/>
  <c r="G1081" i="7"/>
  <c r="G873" i="7"/>
  <c r="G524" i="7"/>
  <c r="G581" i="7"/>
  <c r="G304" i="7"/>
  <c r="G1029" i="7"/>
  <c r="G1094" i="7"/>
  <c r="F415" i="7"/>
  <c r="F590" i="7"/>
  <c r="F893" i="7"/>
  <c r="F982" i="7"/>
  <c r="G1216" i="7"/>
  <c r="H292" i="7"/>
  <c r="G1405" i="7"/>
  <c r="F198" i="7"/>
  <c r="F701" i="7"/>
  <c r="F673" i="7"/>
  <c r="G976" i="7"/>
  <c r="G1510" i="7"/>
  <c r="F887" i="7"/>
  <c r="G804" i="7"/>
  <c r="G613" i="7"/>
  <c r="G480" i="7"/>
  <c r="G918" i="7"/>
  <c r="F1298" i="7"/>
  <c r="F1355" i="7"/>
  <c r="F629" i="7"/>
  <c r="H574" i="7"/>
  <c r="G1007" i="7"/>
  <c r="H1087" i="7"/>
  <c r="H200" i="7"/>
  <c r="G1151" i="7"/>
  <c r="H1273" i="7"/>
  <c r="H1507" i="7"/>
  <c r="A1415" i="7"/>
  <c r="A520" i="7"/>
  <c r="H1229" i="7"/>
  <c r="G1385" i="7"/>
  <c r="E241" i="7"/>
  <c r="E554" i="7"/>
  <c r="E990" i="7"/>
  <c r="G1208" i="7"/>
  <c r="G956" i="7"/>
  <c r="G554" i="7"/>
  <c r="G464" i="7"/>
  <c r="F1214" i="7"/>
  <c r="G1108" i="7"/>
  <c r="F396" i="7"/>
  <c r="G1131" i="7"/>
  <c r="G754" i="7"/>
  <c r="F1141" i="7"/>
  <c r="D1109" i="7"/>
  <c r="G547" i="7"/>
  <c r="F575" i="7"/>
  <c r="E1050" i="7"/>
  <c r="G991" i="7"/>
  <c r="D916" i="7"/>
  <c r="G1265" i="7"/>
  <c r="F700" i="7"/>
  <c r="F886" i="7"/>
  <c r="F405" i="7"/>
  <c r="G767" i="7"/>
  <c r="H1301" i="7"/>
  <c r="F867" i="7"/>
  <c r="G1292" i="7"/>
  <c r="E1178" i="7"/>
  <c r="G896" i="7"/>
  <c r="H340" i="7"/>
  <c r="H165" i="7"/>
  <c r="F924" i="7"/>
  <c r="G668" i="7"/>
  <c r="G685" i="7"/>
  <c r="G664" i="7"/>
  <c r="G1435" i="7"/>
  <c r="G1351" i="7"/>
  <c r="F501" i="7"/>
  <c r="F1073" i="7"/>
  <c r="F1076" i="7"/>
  <c r="F570" i="7"/>
  <c r="F530" i="7"/>
  <c r="G729" i="7"/>
  <c r="G516" i="7"/>
  <c r="G573" i="7"/>
  <c r="G544" i="7"/>
  <c r="G1318" i="7"/>
  <c r="G1373" i="7"/>
  <c r="F1294" i="7"/>
  <c r="G748" i="7"/>
  <c r="G709" i="7"/>
  <c r="G424" i="7"/>
  <c r="G1190" i="7"/>
  <c r="G1245" i="7"/>
  <c r="F384" i="7"/>
  <c r="F891" i="7"/>
  <c r="F1305" i="7"/>
  <c r="F1132" i="7"/>
  <c r="G1352" i="7"/>
  <c r="H396" i="7"/>
  <c r="H213" i="7"/>
  <c r="F603" i="7"/>
  <c r="F957" i="7"/>
  <c r="F833" i="7"/>
  <c r="G1096" i="7"/>
  <c r="H196" i="7"/>
  <c r="G634" i="7"/>
  <c r="G1260" i="7"/>
  <c r="G773" i="7"/>
  <c r="G600" i="7"/>
  <c r="G1093" i="7"/>
  <c r="G255" i="7"/>
  <c r="F798" i="7"/>
  <c r="F1171" i="7"/>
  <c r="H670" i="7"/>
  <c r="G1161" i="7"/>
  <c r="H1183" i="7"/>
  <c r="H296" i="7"/>
  <c r="G1410" i="7"/>
  <c r="H1369" i="7"/>
  <c r="A198" i="7"/>
  <c r="E1214" i="7"/>
  <c r="E1173" i="7"/>
  <c r="E293" i="7"/>
  <c r="G195" i="7"/>
  <c r="F1404" i="7"/>
  <c r="F998" i="7"/>
  <c r="E1250" i="7"/>
  <c r="F847" i="7"/>
  <c r="F946" i="7"/>
  <c r="G441" i="7"/>
  <c r="F202" i="7"/>
  <c r="G251" i="7"/>
  <c r="F1302" i="7"/>
  <c r="F642" i="7"/>
  <c r="F331" i="7"/>
  <c r="F574" i="7"/>
  <c r="G352" i="7"/>
  <c r="H869" i="7"/>
  <c r="G493" i="7"/>
  <c r="F1362" i="7"/>
  <c r="F731" i="7"/>
  <c r="F1052" i="7"/>
  <c r="F1067" i="7"/>
  <c r="G1017" i="7"/>
  <c r="H1517" i="7"/>
  <c r="E821" i="7"/>
  <c r="G1484" i="7"/>
  <c r="F322" i="7"/>
  <c r="G1024" i="7"/>
  <c r="H452" i="7"/>
  <c r="H269" i="7"/>
  <c r="G521" i="7"/>
  <c r="G908" i="7"/>
  <c r="D1141" i="7"/>
  <c r="G784" i="7"/>
  <c r="H244" i="7"/>
  <c r="H173" i="7"/>
  <c r="F763" i="7"/>
  <c r="F1225" i="7"/>
  <c r="F1204" i="7"/>
  <c r="F1259" i="7"/>
  <c r="F1074" i="7"/>
  <c r="F1286" i="7"/>
  <c r="G740" i="7"/>
  <c r="G861" i="7"/>
  <c r="G680" i="7"/>
  <c r="G1467" i="7"/>
  <c r="G1511" i="7"/>
  <c r="G282" i="7"/>
  <c r="G996" i="7"/>
  <c r="G869" i="7"/>
  <c r="G568" i="7"/>
  <c r="G1478" i="7"/>
  <c r="G1383" i="7"/>
  <c r="E676" i="7"/>
  <c r="F1352" i="7"/>
  <c r="F1457" i="7"/>
  <c r="F1252" i="7"/>
  <c r="G1472" i="7"/>
  <c r="H500" i="7"/>
  <c r="H317" i="7"/>
  <c r="F902" i="7"/>
  <c r="F1121" i="7"/>
  <c r="F993" i="7"/>
  <c r="G1240" i="7"/>
  <c r="H300" i="7"/>
  <c r="G411" i="7"/>
  <c r="G1452" i="7"/>
  <c r="G901" i="7"/>
  <c r="G720" i="7"/>
  <c r="G1243" i="7"/>
  <c r="G671" i="7"/>
  <c r="G1255" i="7"/>
  <c r="G198" i="7"/>
  <c r="H766" i="7"/>
  <c r="G1290" i="7"/>
  <c r="H1279" i="7"/>
  <c r="H488" i="7"/>
  <c r="H217" i="7"/>
  <c r="H1465" i="7"/>
  <c r="A326" i="7"/>
  <c r="E524" i="7"/>
  <c r="D676" i="7"/>
  <c r="E201" i="7"/>
  <c r="E1402" i="7"/>
  <c r="G744" i="7"/>
  <c r="F1264" i="7"/>
  <c r="F746" i="7"/>
  <c r="F1015" i="7"/>
  <c r="F1065" i="7"/>
  <c r="G649" i="7"/>
  <c r="E752" i="7"/>
  <c r="G371" i="7"/>
  <c r="F1486" i="7"/>
  <c r="F919" i="7"/>
  <c r="E884" i="7"/>
  <c r="G762" i="7"/>
  <c r="G608" i="7"/>
  <c r="H973" i="7"/>
  <c r="G637" i="7"/>
  <c r="G319" i="7"/>
  <c r="F1024" i="7"/>
  <c r="F1172" i="7"/>
  <c r="G1130" i="7"/>
  <c r="G1181" i="7"/>
  <c r="A193" i="7"/>
  <c r="F1207" i="7"/>
  <c r="E1505" i="7"/>
  <c r="F558" i="7"/>
  <c r="G1160" i="7"/>
  <c r="H556" i="7"/>
  <c r="H373" i="7"/>
  <c r="F1094" i="7"/>
  <c r="G1348" i="7"/>
  <c r="E1221" i="7"/>
  <c r="G904" i="7"/>
  <c r="H356" i="7"/>
  <c r="H277" i="7"/>
  <c r="F1072" i="7"/>
  <c r="F1417" i="7"/>
  <c r="F1340" i="7"/>
  <c r="G254" i="7"/>
  <c r="G447" i="7"/>
  <c r="G274" i="7"/>
  <c r="G1172" i="7"/>
  <c r="E242" i="7"/>
  <c r="G800" i="7"/>
  <c r="H372" i="7"/>
  <c r="H189" i="7"/>
  <c r="F486" i="7"/>
  <c r="G1180" i="7"/>
  <c r="E413" i="7"/>
  <c r="G688" i="7"/>
  <c r="H172" i="7"/>
  <c r="G1522" i="7"/>
  <c r="E1522" i="7"/>
  <c r="G356" i="7"/>
  <c r="G285" i="7"/>
  <c r="F1372" i="7"/>
  <c r="E901" i="7"/>
  <c r="H604" i="7"/>
  <c r="H421" i="7"/>
  <c r="F1176" i="7"/>
  <c r="F1313" i="7"/>
  <c r="F1140" i="7"/>
  <c r="G1360" i="7"/>
  <c r="H508" i="7"/>
  <c r="G819" i="7"/>
  <c r="E1377" i="7"/>
  <c r="E1008" i="7"/>
  <c r="G864" i="7"/>
  <c r="G1382" i="7"/>
  <c r="G978" i="7"/>
  <c r="H221" i="7"/>
  <c r="G646" i="7"/>
  <c r="H862" i="7"/>
  <c r="G1418" i="7"/>
  <c r="F938" i="7"/>
  <c r="H584" i="7"/>
  <c r="H313" i="7"/>
  <c r="A221" i="7"/>
  <c r="A454" i="7"/>
  <c r="G630" i="7"/>
  <c r="A808" i="7"/>
  <c r="A217" i="7"/>
  <c r="H294" i="7"/>
  <c r="F1466" i="7"/>
  <c r="H807" i="7"/>
  <c r="G1398" i="7"/>
  <c r="G783" i="7"/>
  <c r="H1237" i="7"/>
  <c r="G1523" i="7"/>
  <c r="F638" i="7"/>
  <c r="H623" i="7"/>
  <c r="G997" i="7"/>
  <c r="F1474" i="7"/>
  <c r="G350" i="7"/>
  <c r="F1331" i="7"/>
  <c r="H790" i="7"/>
  <c r="G1450" i="7"/>
  <c r="F543" i="7"/>
  <c r="H608" i="7"/>
  <c r="G267" i="7"/>
  <c r="A369" i="7"/>
  <c r="H510" i="7"/>
  <c r="G1058" i="7"/>
  <c r="H1119" i="7"/>
  <c r="H328" i="7"/>
  <c r="G1453" i="7"/>
  <c r="H901" i="7"/>
  <c r="G1427" i="7"/>
  <c r="F766" i="7"/>
  <c r="H551" i="7"/>
  <c r="G846" i="7"/>
  <c r="F1186" i="7"/>
  <c r="H833" i="7"/>
  <c r="G1274" i="7"/>
  <c r="A879" i="7"/>
  <c r="H1380" i="7"/>
  <c r="G589" i="7"/>
  <c r="A385" i="7"/>
  <c r="H526" i="7"/>
  <c r="G583" i="7"/>
  <c r="H751" i="7"/>
  <c r="G1047" i="7"/>
  <c r="F1218" i="7"/>
  <c r="G1350" i="7"/>
  <c r="F1011" i="7"/>
  <c r="H630" i="7"/>
  <c r="G1097" i="7"/>
  <c r="H951" i="7"/>
  <c r="G1462" i="7"/>
  <c r="G1087" i="7"/>
  <c r="H1157" i="7"/>
  <c r="G1342" i="7"/>
  <c r="H1126" i="7"/>
  <c r="H199" i="7"/>
  <c r="E1442" i="7"/>
  <c r="H368" i="7"/>
  <c r="G1250" i="7"/>
  <c r="H549" i="7"/>
  <c r="G921" i="7"/>
  <c r="H846" i="7"/>
  <c r="G1269" i="7"/>
  <c r="H1071" i="7"/>
  <c r="H184" i="7"/>
  <c r="G973" i="7"/>
  <c r="H1173" i="7"/>
  <c r="G1363" i="7"/>
  <c r="H1142" i="7"/>
  <c r="H311" i="7"/>
  <c r="F895" i="7"/>
  <c r="H480" i="7"/>
  <c r="H767" i="7"/>
  <c r="H1209" i="7"/>
  <c r="H1475" i="7"/>
  <c r="A1519" i="7"/>
  <c r="A632" i="7"/>
  <c r="H450" i="7"/>
  <c r="A825" i="7"/>
  <c r="H939" i="7"/>
  <c r="A1082" i="7"/>
  <c r="H1395" i="7"/>
  <c r="A1243" i="7"/>
  <c r="H417" i="7"/>
  <c r="E1353" i="7"/>
  <c r="A719" i="7"/>
  <c r="H952" i="7"/>
  <c r="A1160" i="7"/>
  <c r="H1488" i="7"/>
  <c r="A1313" i="7"/>
  <c r="A276" i="7"/>
  <c r="H657" i="7"/>
  <c r="H602" i="7"/>
  <c r="A1079" i="7"/>
  <c r="A402" i="7"/>
  <c r="G1001" i="7"/>
  <c r="A745" i="7"/>
  <c r="H387" i="7"/>
  <c r="F1306" i="7"/>
  <c r="H897" i="7"/>
  <c r="H948" i="7"/>
  <c r="A1199" i="7"/>
  <c r="A544" i="7"/>
  <c r="H546" i="7"/>
  <c r="A849" i="7"/>
  <c r="H795" i="7"/>
  <c r="G1345" i="7"/>
  <c r="H1137" i="7"/>
  <c r="H1368" i="7"/>
  <c r="A1439" i="7"/>
  <c r="A784" i="7"/>
  <c r="H874" i="7"/>
  <c r="A953" i="7"/>
  <c r="H1003" i="7"/>
  <c r="G372" i="7"/>
  <c r="G193" i="7"/>
  <c r="F589" i="7"/>
  <c r="F759" i="7"/>
  <c r="A265" i="7"/>
  <c r="G845" i="7"/>
  <c r="E1145" i="7"/>
  <c r="F667" i="7"/>
  <c r="F199" i="7"/>
  <c r="F447" i="7"/>
  <c r="F1325" i="7"/>
  <c r="D846" i="7"/>
  <c r="G419" i="7"/>
  <c r="G474" i="7"/>
  <c r="E927" i="7"/>
  <c r="G1268" i="7"/>
  <c r="G1254" i="7"/>
  <c r="G915" i="7"/>
  <c r="G496" i="7"/>
  <c r="H1189" i="7"/>
  <c r="F1009" i="7"/>
  <c r="G888" i="7"/>
  <c r="H548" i="7"/>
  <c r="H573" i="7"/>
  <c r="G166" i="7"/>
  <c r="F1280" i="7"/>
  <c r="F1401" i="7"/>
  <c r="F1444" i="7"/>
  <c r="G977" i="7"/>
  <c r="G799" i="7"/>
  <c r="H1101" i="7"/>
  <c r="F753" i="7"/>
  <c r="F1025" i="7"/>
  <c r="F1188" i="7"/>
  <c r="F1227" i="7"/>
  <c r="F1042" i="7"/>
  <c r="F948" i="7"/>
  <c r="G916" i="7"/>
  <c r="E1290" i="7"/>
  <c r="G912" i="7"/>
  <c r="H364" i="7"/>
  <c r="H181" i="7"/>
  <c r="E1274" i="7"/>
  <c r="F861" i="7"/>
  <c r="F1084" i="7"/>
  <c r="F661" i="7"/>
  <c r="F581" i="7"/>
  <c r="H709" i="7"/>
  <c r="E1306" i="7"/>
  <c r="F1289" i="7"/>
  <c r="F1236" i="7"/>
  <c r="F789" i="7"/>
  <c r="D1372" i="7"/>
  <c r="H717" i="7"/>
  <c r="G315" i="7"/>
  <c r="G1388" i="7"/>
  <c r="E727" i="7"/>
  <c r="G584" i="7"/>
  <c r="G1066" i="7"/>
  <c r="G191" i="7"/>
  <c r="G618" i="7"/>
  <c r="G1252" i="7"/>
  <c r="G893" i="7"/>
  <c r="G472" i="7"/>
  <c r="G902" i="7"/>
  <c r="D1077" i="7"/>
  <c r="F1184" i="7"/>
  <c r="F1321" i="7"/>
  <c r="F1148" i="7"/>
  <c r="G1488" i="7"/>
  <c r="H516" i="7"/>
  <c r="H437" i="7"/>
  <c r="H1493" i="7"/>
  <c r="H190" i="7"/>
  <c r="F1050" i="7"/>
  <c r="H703" i="7"/>
  <c r="G1125" i="7"/>
  <c r="F1410" i="7"/>
  <c r="H793" i="7"/>
  <c r="H538" i="7"/>
  <c r="A935" i="7"/>
  <c r="H1160" i="7"/>
  <c r="H309" i="7"/>
  <c r="G678" i="7"/>
  <c r="H870" i="7"/>
  <c r="G468" i="7"/>
  <c r="G401" i="7"/>
  <c r="F762" i="7"/>
  <c r="G201" i="7"/>
  <c r="A361" i="7"/>
  <c r="G941" i="7"/>
  <c r="F483" i="7"/>
  <c r="F849" i="7"/>
  <c r="E1244" i="7"/>
  <c r="F645" i="7"/>
  <c r="G241" i="7"/>
  <c r="E1056" i="7"/>
  <c r="G539" i="7"/>
  <c r="G650" i="7"/>
  <c r="F326" i="7"/>
  <c r="E1409" i="7"/>
  <c r="G1393" i="7"/>
  <c r="E1072" i="7"/>
  <c r="G616" i="7"/>
  <c r="H1293" i="7"/>
  <c r="F1201" i="7"/>
  <c r="G1008" i="7"/>
  <c r="H652" i="7"/>
  <c r="H677" i="7"/>
  <c r="E933" i="7"/>
  <c r="F1464" i="7"/>
  <c r="G373" i="7"/>
  <c r="G392" i="7"/>
  <c r="G1143" i="7"/>
  <c r="G1030" i="7"/>
  <c r="H1205" i="7"/>
  <c r="F1064" i="7"/>
  <c r="F1217" i="7"/>
  <c r="F1332" i="7"/>
  <c r="G222" i="7"/>
  <c r="F1458" i="7"/>
  <c r="G665" i="7"/>
  <c r="G1356" i="7"/>
  <c r="F365" i="7"/>
  <c r="G1056" i="7"/>
  <c r="H468" i="7"/>
  <c r="H285" i="7"/>
  <c r="F526" i="7"/>
  <c r="F1233" i="7"/>
  <c r="F1228" i="7"/>
  <c r="F1291" i="7"/>
  <c r="F1106" i="7"/>
  <c r="H813" i="7"/>
  <c r="F1088" i="7"/>
  <c r="F1433" i="7"/>
  <c r="F1356" i="7"/>
  <c r="F1323" i="7"/>
  <c r="F627" i="7"/>
  <c r="H821" i="7"/>
  <c r="G795" i="7"/>
  <c r="E1081" i="7"/>
  <c r="E1482" i="7"/>
  <c r="G704" i="7"/>
  <c r="G1222" i="7"/>
  <c r="G951" i="7"/>
  <c r="F879" i="7"/>
  <c r="G1396" i="7"/>
  <c r="E965" i="7"/>
  <c r="G592" i="7"/>
  <c r="G1079" i="7"/>
  <c r="F529" i="7"/>
  <c r="F1408" i="7"/>
  <c r="F1505" i="7"/>
  <c r="F1268" i="7"/>
  <c r="E1506" i="7"/>
  <c r="H724" i="7"/>
  <c r="F1328" i="7"/>
  <c r="A209" i="7"/>
  <c r="H286" i="7"/>
  <c r="F1434" i="7"/>
  <c r="H799" i="7"/>
  <c r="G1259" i="7"/>
  <c r="G367" i="7"/>
  <c r="H889" i="7"/>
  <c r="H852" i="7"/>
  <c r="A1031" i="7"/>
  <c r="H1455" i="7"/>
  <c r="H621" i="7"/>
  <c r="G967" i="7"/>
  <c r="H966" i="7"/>
  <c r="G794" i="7"/>
  <c r="E1351" i="7"/>
  <c r="F1196" i="7"/>
  <c r="F827" i="7"/>
  <c r="G633" i="7"/>
  <c r="G176" i="7"/>
  <c r="F523" i="7"/>
  <c r="G724" i="7"/>
  <c r="E232" i="7"/>
  <c r="G747" i="7"/>
  <c r="G266" i="7"/>
  <c r="F716" i="7"/>
  <c r="E1285" i="7"/>
  <c r="F1487" i="7"/>
  <c r="G834" i="7"/>
  <c r="G485" i="7"/>
  <c r="F1330" i="7"/>
  <c r="G1052" i="7"/>
  <c r="G606" i="7"/>
  <c r="G518" i="7"/>
  <c r="F246" i="7"/>
  <c r="G1152" i="7"/>
  <c r="H756" i="7"/>
  <c r="H885" i="7"/>
  <c r="F218" i="7"/>
  <c r="G476" i="7"/>
  <c r="G517" i="7"/>
  <c r="G512" i="7"/>
  <c r="G1286" i="7"/>
  <c r="G1191" i="7"/>
  <c r="H1317" i="7"/>
  <c r="F1288" i="7"/>
  <c r="G205" i="7"/>
  <c r="F1452" i="7"/>
  <c r="G702" i="7"/>
  <c r="G415" i="7"/>
  <c r="F1335" i="7"/>
  <c r="E900" i="7"/>
  <c r="F583" i="7"/>
  <c r="G1176" i="7"/>
  <c r="H572" i="7"/>
  <c r="H389" i="7"/>
  <c r="F859" i="7"/>
  <c r="F1425" i="7"/>
  <c r="F1348" i="7"/>
  <c r="G286" i="7"/>
  <c r="F1522" i="7"/>
  <c r="H1029" i="7"/>
  <c r="F1312" i="7"/>
  <c r="G269" i="7"/>
  <c r="F1476" i="7"/>
  <c r="G318" i="7"/>
  <c r="F1138" i="7"/>
  <c r="H1037" i="7"/>
  <c r="D1308" i="7"/>
  <c r="F378" i="7"/>
  <c r="F443" i="7"/>
  <c r="G832" i="7"/>
  <c r="G1499" i="7"/>
  <c r="G1119" i="7"/>
  <c r="G387" i="7"/>
  <c r="E1124" i="7"/>
  <c r="E1514" i="7"/>
  <c r="G712" i="7"/>
  <c r="G1233" i="7"/>
  <c r="E1296" i="7"/>
  <c r="G380" i="7"/>
  <c r="G165" i="7"/>
  <c r="F1396" i="7"/>
  <c r="F1451" i="7"/>
  <c r="E1385" i="7"/>
  <c r="G1004" i="7"/>
  <c r="A329" i="7"/>
  <c r="H382" i="7"/>
  <c r="G391" i="7"/>
  <c r="H895" i="7"/>
  <c r="G1387" i="7"/>
  <c r="G751" i="7"/>
  <c r="H985" i="7"/>
  <c r="H1044" i="7"/>
  <c r="F464" i="7"/>
  <c r="F1504" i="7"/>
  <c r="F1385" i="7"/>
  <c r="G635" i="7"/>
  <c r="F284" i="7"/>
  <c r="H1181" i="7"/>
  <c r="F1456" i="7"/>
  <c r="H261" i="7"/>
  <c r="F818" i="7"/>
  <c r="H764" i="7"/>
  <c r="E837" i="7"/>
  <c r="H668" i="7"/>
  <c r="G389" i="7"/>
  <c r="G1223" i="7"/>
  <c r="F386" i="7"/>
  <c r="H397" i="7"/>
  <c r="F406" i="7"/>
  <c r="H405" i="7"/>
  <c r="G597" i="7"/>
  <c r="E912" i="7"/>
  <c r="G293" i="7"/>
  <c r="H716" i="7"/>
  <c r="F683" i="7"/>
  <c r="G1287" i="7"/>
  <c r="H1150" i="7"/>
  <c r="H776" i="7"/>
  <c r="A647" i="7"/>
  <c r="A712" i="7"/>
  <c r="G1121" i="7"/>
  <c r="G423" i="7"/>
  <c r="H1095" i="7"/>
  <c r="H304" i="7"/>
  <c r="F357" i="7"/>
  <c r="F714" i="7"/>
  <c r="H686" i="7"/>
  <c r="G1439" i="7"/>
  <c r="F1019" i="7"/>
  <c r="E789" i="7"/>
  <c r="F811" i="7"/>
  <c r="F842" i="7"/>
  <c r="H982" i="7"/>
  <c r="H343" i="7"/>
  <c r="G398" i="7"/>
  <c r="F1122" i="7"/>
  <c r="H284" i="7"/>
  <c r="G1006" i="7"/>
  <c r="E1135" i="7"/>
  <c r="H735" i="7"/>
  <c r="G1302" i="7"/>
  <c r="G1197" i="7"/>
  <c r="H693" i="7"/>
  <c r="H230" i="7"/>
  <c r="G167" i="7"/>
  <c r="H839" i="7"/>
  <c r="G1441" i="7"/>
  <c r="G1335" i="7"/>
  <c r="H1505" i="7"/>
  <c r="A379" i="7"/>
  <c r="H539" i="7"/>
  <c r="F709" i="7"/>
  <c r="H1445" i="7"/>
  <c r="H430" i="7"/>
  <c r="G922" i="7"/>
  <c r="H943" i="7"/>
  <c r="G1451" i="7"/>
  <c r="G1074" i="7"/>
  <c r="H941" i="7"/>
  <c r="G1321" i="7"/>
  <c r="F851" i="7"/>
  <c r="H567" i="7"/>
  <c r="G1061" i="7"/>
  <c r="G591" i="7"/>
  <c r="H957" i="7"/>
  <c r="G1470" i="7"/>
  <c r="F358" i="7"/>
  <c r="F349" i="7"/>
  <c r="F1481" i="7"/>
  <c r="G949" i="7"/>
  <c r="D1205" i="7"/>
  <c r="G545" i="7"/>
  <c r="F1079" i="7"/>
  <c r="F541" i="7"/>
  <c r="H365" i="7"/>
  <c r="F1017" i="7"/>
  <c r="F1426" i="7"/>
  <c r="F566" i="7"/>
  <c r="H772" i="7"/>
  <c r="G541" i="7"/>
  <c r="G1362" i="7"/>
  <c r="F597" i="7"/>
  <c r="H501" i="7"/>
  <c r="F801" i="7"/>
  <c r="H509" i="7"/>
  <c r="G733" i="7"/>
  <c r="F713" i="7"/>
  <c r="G605" i="7"/>
  <c r="E1371" i="7"/>
  <c r="F843" i="7"/>
  <c r="G1426" i="7"/>
  <c r="H1246" i="7"/>
  <c r="F503" i="7"/>
  <c r="A743" i="7"/>
  <c r="G1188" i="7"/>
  <c r="G1257" i="7"/>
  <c r="G1021" i="7"/>
  <c r="H1191" i="7"/>
  <c r="H400" i="7"/>
  <c r="F630" i="7"/>
  <c r="F1299" i="7"/>
  <c r="H782" i="7"/>
  <c r="H239" i="7"/>
  <c r="F1403" i="7"/>
  <c r="F606" i="7"/>
  <c r="G1464" i="7"/>
  <c r="G294" i="7"/>
  <c r="H1078" i="7"/>
  <c r="H439" i="7"/>
  <c r="G782" i="7"/>
  <c r="F1506" i="7"/>
  <c r="H429" i="7"/>
  <c r="G1289" i="7"/>
  <c r="F723" i="7"/>
  <c r="H831" i="7"/>
  <c r="G1430" i="7"/>
  <c r="G1325" i="7"/>
  <c r="H1261" i="7"/>
  <c r="H326" i="7"/>
  <c r="G551" i="7"/>
  <c r="H935" i="7"/>
  <c r="H240" i="7"/>
  <c r="G1463" i="7"/>
  <c r="A165" i="7"/>
  <c r="A495" i="7"/>
  <c r="H856" i="7"/>
  <c r="G1155" i="7"/>
  <c r="A257" i="7"/>
  <c r="H622" i="7"/>
  <c r="G1085" i="7"/>
  <c r="H1039" i="7"/>
  <c r="H248" i="7"/>
  <c r="G1218" i="7"/>
  <c r="H1141" i="7"/>
  <c r="G1449" i="7"/>
  <c r="F1274" i="7"/>
  <c r="H663" i="7"/>
  <c r="G1206" i="7"/>
  <c r="F707" i="7"/>
  <c r="G245" i="7"/>
  <c r="E914" i="7"/>
  <c r="E1277" i="7"/>
  <c r="G753" i="7"/>
  <c r="G523" i="7"/>
  <c r="F754" i="7"/>
  <c r="H469" i="7"/>
  <c r="F1209" i="7"/>
  <c r="G383" i="7"/>
  <c r="F829" i="7"/>
  <c r="F478" i="7"/>
  <c r="G693" i="7"/>
  <c r="G1501" i="7"/>
  <c r="F950" i="7"/>
  <c r="H605" i="7"/>
  <c r="F1092" i="7"/>
  <c r="H613" i="7"/>
  <c r="G885" i="7"/>
  <c r="F1234" i="7"/>
  <c r="G765" i="7"/>
  <c r="E1420" i="7"/>
  <c r="F1012" i="7"/>
  <c r="H229" i="7"/>
  <c r="F542" i="7"/>
  <c r="F1026" i="7"/>
  <c r="A839" i="7"/>
  <c r="F429" i="7"/>
  <c r="G1513" i="7"/>
  <c r="G1173" i="7"/>
  <c r="H1287" i="7"/>
  <c r="H496" i="7"/>
  <c r="G1344" i="7"/>
  <c r="G262" i="7"/>
  <c r="H974" i="7"/>
  <c r="H335" i="7"/>
  <c r="G366" i="7"/>
  <c r="F1090" i="7"/>
  <c r="H180" i="7"/>
  <c r="G993" i="7"/>
  <c r="H1174" i="7"/>
  <c r="H535" i="7"/>
  <c r="G1009" i="7"/>
  <c r="G463" i="7"/>
  <c r="H653" i="7"/>
  <c r="G1417" i="7"/>
  <c r="F1178" i="7"/>
  <c r="H927" i="7"/>
  <c r="H232" i="7"/>
  <c r="H249" i="7"/>
  <c r="H1437" i="7"/>
  <c r="H422" i="7"/>
  <c r="G906" i="7"/>
  <c r="H1031" i="7"/>
  <c r="H336" i="7"/>
  <c r="H353" i="7"/>
  <c r="A261" i="7"/>
  <c r="A591" i="7"/>
  <c r="H1048" i="7"/>
  <c r="F1297" i="7"/>
  <c r="F970" i="7"/>
  <c r="H718" i="7"/>
  <c r="G1226" i="7"/>
  <c r="H1135" i="7"/>
  <c r="H344" i="7"/>
  <c r="G1346" i="7"/>
  <c r="H1277" i="7"/>
  <c r="H246" i="7"/>
  <c r="G231" i="7"/>
  <c r="H759" i="7"/>
  <c r="G1334" i="7"/>
  <c r="E1253" i="7"/>
  <c r="F437" i="7"/>
  <c r="E1009" i="7"/>
  <c r="G857" i="7"/>
  <c r="G466" i="7"/>
  <c r="F1071" i="7"/>
  <c r="G789" i="7"/>
  <c r="F1300" i="7"/>
  <c r="A297" i="7"/>
  <c r="F726" i="7"/>
  <c r="H581" i="7"/>
  <c r="F342" i="7"/>
  <c r="H381" i="7"/>
  <c r="F1460" i="7"/>
  <c r="F1375" i="7"/>
  <c r="G928" i="7"/>
  <c r="F1463" i="7"/>
  <c r="G952" i="7"/>
  <c r="F1470" i="7"/>
  <c r="F1516" i="7"/>
  <c r="E1412" i="7"/>
  <c r="F1260" i="7"/>
  <c r="E328" i="7"/>
  <c r="G984" i="7"/>
  <c r="H597" i="7"/>
  <c r="H319" i="7"/>
  <c r="H409" i="7"/>
  <c r="A1223" i="7"/>
  <c r="G1200" i="7"/>
  <c r="H198" i="7"/>
  <c r="G1301" i="7"/>
  <c r="F442" i="7"/>
  <c r="H592" i="7"/>
  <c r="F1266" i="7"/>
  <c r="G710" i="7"/>
  <c r="H1070" i="7"/>
  <c r="H431" i="7"/>
  <c r="G750" i="7"/>
  <c r="G431" i="7"/>
  <c r="G1415" i="7"/>
  <c r="G1146" i="7"/>
  <c r="E964" i="7"/>
  <c r="H631" i="7"/>
  <c r="G1162" i="7"/>
  <c r="G847" i="7"/>
  <c r="H1069" i="7"/>
  <c r="H222" i="7"/>
  <c r="G519" i="7"/>
  <c r="H1023" i="7"/>
  <c r="H424" i="7"/>
  <c r="G771" i="7"/>
  <c r="A249" i="7"/>
  <c r="H518" i="7"/>
  <c r="G1071" i="7"/>
  <c r="H1127" i="7"/>
  <c r="H432" i="7"/>
  <c r="H449" i="7"/>
  <c r="A357" i="7"/>
  <c r="A687" i="7"/>
  <c r="H1240" i="7"/>
  <c r="F1244" i="7"/>
  <c r="F1427" i="7"/>
  <c r="H814" i="7"/>
  <c r="G1354" i="7"/>
  <c r="H1231" i="7"/>
  <c r="H440" i="7"/>
  <c r="F1471" i="7"/>
  <c r="H1453" i="7"/>
  <c r="H342" i="7"/>
  <c r="G615" i="7"/>
  <c r="H855" i="7"/>
  <c r="H256" i="7"/>
  <c r="D1191" i="7"/>
  <c r="F977" i="7"/>
  <c r="E1234" i="7"/>
  <c r="E1426" i="7"/>
  <c r="G642" i="7"/>
  <c r="G435" i="7"/>
  <c r="G925" i="7"/>
  <c r="G240" i="7"/>
  <c r="A401" i="7"/>
  <c r="F918" i="7"/>
  <c r="H789" i="7"/>
  <c r="F571" i="7"/>
  <c r="E1438" i="7"/>
  <c r="G288" i="7"/>
  <c r="G171" i="7"/>
  <c r="G1184" i="7"/>
  <c r="G259" i="7"/>
  <c r="G1072" i="7"/>
  <c r="G458" i="7"/>
  <c r="G200" i="7"/>
  <c r="F928" i="7"/>
  <c r="F1524" i="7"/>
  <c r="F230" i="7"/>
  <c r="G1104" i="7"/>
  <c r="H805" i="7"/>
  <c r="H415" i="7"/>
  <c r="H505" i="7"/>
  <c r="A1511" i="7"/>
  <c r="F1170" i="7"/>
  <c r="H390" i="7"/>
  <c r="G1429" i="7"/>
  <c r="F981" i="7"/>
  <c r="H688" i="7"/>
  <c r="G1394" i="7"/>
  <c r="G1134" i="7"/>
  <c r="H1166" i="7"/>
  <c r="H527" i="7"/>
  <c r="G1150" i="7"/>
  <c r="G815" i="7"/>
  <c r="H645" i="7"/>
  <c r="G1278" i="7"/>
  <c r="F681" i="7"/>
  <c r="H727" i="7"/>
  <c r="G1291" i="7"/>
  <c r="G1037" i="7"/>
  <c r="H1253" i="7"/>
  <c r="H318" i="7"/>
  <c r="G890" i="7"/>
  <c r="H1215" i="7"/>
  <c r="H520" i="7"/>
  <c r="F1105" i="7"/>
  <c r="A377" i="7"/>
  <c r="H614" i="7"/>
  <c r="G1215" i="7"/>
  <c r="H1223" i="7"/>
  <c r="H624" i="7"/>
  <c r="H545" i="7"/>
  <c r="A453" i="7"/>
  <c r="A783" i="7"/>
  <c r="H1508" i="7"/>
  <c r="G1211" i="7"/>
  <c r="G390" i="7"/>
  <c r="H910" i="7"/>
  <c r="G1482" i="7"/>
  <c r="E997" i="7"/>
  <c r="H536" i="7"/>
  <c r="F1441" i="7"/>
  <c r="A273" i="7"/>
  <c r="H438" i="7"/>
  <c r="G938" i="7"/>
  <c r="H1047" i="7"/>
  <c r="H352" i="7"/>
  <c r="F1438" i="7"/>
  <c r="E401" i="7"/>
  <c r="F612" i="7"/>
  <c r="E612" i="7"/>
  <c r="F1359" i="7"/>
  <c r="G860" i="7"/>
  <c r="G232" i="7"/>
  <c r="G504" i="7"/>
  <c r="E1282" i="7"/>
  <c r="F1060" i="7"/>
  <c r="H893" i="7"/>
  <c r="F737" i="7"/>
  <c r="E922" i="7"/>
  <c r="G408" i="7"/>
  <c r="G675" i="7"/>
  <c r="G1312" i="7"/>
  <c r="G699" i="7"/>
  <c r="G1336" i="7"/>
  <c r="F719" i="7"/>
  <c r="G320" i="7"/>
  <c r="E1288" i="7"/>
  <c r="G208" i="7"/>
  <c r="F699" i="7"/>
  <c r="G1248" i="7"/>
  <c r="H1013" i="7"/>
  <c r="H511" i="7"/>
  <c r="H601" i="7"/>
  <c r="E1474" i="7"/>
  <c r="H837" i="7"/>
  <c r="H486" i="7"/>
  <c r="H231" i="7"/>
  <c r="F1371" i="7"/>
  <c r="E412" i="7"/>
  <c r="H325" i="7"/>
  <c r="G1267" i="7"/>
  <c r="E725" i="7"/>
  <c r="H719" i="7"/>
  <c r="G1281" i="7"/>
  <c r="G1023" i="7"/>
  <c r="H853" i="7"/>
  <c r="G1406" i="7"/>
  <c r="F1146" i="7"/>
  <c r="H823" i="7"/>
  <c r="G1419" i="7"/>
  <c r="G1314" i="7"/>
  <c r="H1429" i="7"/>
  <c r="H414" i="7"/>
  <c r="G1205" i="7"/>
  <c r="E370" i="7"/>
  <c r="H712" i="7"/>
  <c r="G421" i="7"/>
  <c r="E1410" i="7"/>
  <c r="H710" i="7"/>
  <c r="G1343" i="7"/>
  <c r="E775" i="7"/>
  <c r="H720" i="7"/>
  <c r="H641" i="7"/>
  <c r="G343" i="7"/>
  <c r="A975" i="7"/>
  <c r="A210" i="7"/>
  <c r="H492" i="7"/>
  <c r="G838" i="7"/>
  <c r="H1006" i="7"/>
  <c r="H175" i="7"/>
  <c r="F682" i="7"/>
  <c r="H632" i="7"/>
  <c r="G717" i="7"/>
  <c r="A409" i="7"/>
  <c r="H534" i="7"/>
  <c r="G1237" i="7"/>
  <c r="H1143" i="7"/>
  <c r="H448" i="7"/>
  <c r="G348" i="7"/>
  <c r="F426" i="7"/>
  <c r="H550" i="7"/>
  <c r="G969" i="7"/>
  <c r="H967" i="7"/>
  <c r="G1483" i="7"/>
  <c r="G959" i="7"/>
  <c r="G1106" i="7"/>
  <c r="G1082" i="7"/>
  <c r="H1038" i="7"/>
  <c r="H207" i="7"/>
  <c r="F1275" i="7"/>
  <c r="H664" i="7"/>
  <c r="F670" i="7"/>
  <c r="F1139" i="7"/>
  <c r="H758" i="7"/>
  <c r="G1279" i="7"/>
  <c r="H1271" i="7"/>
  <c r="H384" i="7"/>
  <c r="G558" i="7"/>
  <c r="H1441" i="7"/>
  <c r="A479" i="7"/>
  <c r="H635" i="7"/>
  <c r="A1152" i="7"/>
  <c r="A179" i="7"/>
  <c r="A1497" i="7"/>
  <c r="A698" i="7"/>
  <c r="H876" i="7"/>
  <c r="A1051" i="7"/>
  <c r="H297" i="7"/>
  <c r="G855" i="7"/>
  <c r="A951" i="7"/>
  <c r="H1530" i="7"/>
  <c r="F863" i="7"/>
  <c r="A641" i="7"/>
  <c r="H355" i="7"/>
  <c r="G623" i="7"/>
  <c r="A245" i="7"/>
  <c r="A727" i="7"/>
  <c r="H1391" i="7"/>
  <c r="F1027" i="7"/>
  <c r="A841" i="7"/>
  <c r="H971" i="7"/>
  <c r="H456" i="7"/>
  <c r="H1353" i="7"/>
  <c r="A368" i="7"/>
  <c r="H731" i="7"/>
  <c r="A1272" i="7"/>
  <c r="A465" i="7"/>
  <c r="G790" i="7"/>
  <c r="H542" i="7"/>
  <c r="H1017" i="7"/>
  <c r="H1528" i="7"/>
  <c r="G1241" i="7"/>
  <c r="A1088" i="7"/>
  <c r="H1520" i="7"/>
  <c r="A1433" i="7"/>
  <c r="A436" i="7"/>
  <c r="H185" i="7"/>
  <c r="A277" i="7"/>
  <c r="A639" i="7"/>
  <c r="H1032" i="7"/>
  <c r="A1288" i="7"/>
  <c r="A232" i="7"/>
  <c r="A1441" i="7"/>
  <c r="A447" i="7"/>
  <c r="F298" i="7"/>
  <c r="A611" i="7"/>
  <c r="G1459" i="7"/>
  <c r="H689" i="7"/>
  <c r="G1189" i="7"/>
  <c r="F1211" i="7"/>
  <c r="H1297" i="7"/>
  <c r="H1443" i="7"/>
  <c r="G758" i="7"/>
  <c r="A832" i="7"/>
  <c r="H738" i="7"/>
  <c r="A993" i="7"/>
  <c r="H1118" i="7"/>
  <c r="H1073" i="7"/>
  <c r="H1291" i="7"/>
  <c r="A1495" i="7"/>
  <c r="A728" i="7"/>
  <c r="H386" i="7"/>
  <c r="A905" i="7"/>
  <c r="H281" i="7"/>
  <c r="A333" i="7"/>
  <c r="A583" i="7"/>
  <c r="H920" i="7"/>
  <c r="A1144" i="7"/>
  <c r="H1339" i="7"/>
  <c r="A1201" i="7"/>
  <c r="A1479" i="7"/>
  <c r="H875" i="7"/>
  <c r="A1530" i="7"/>
  <c r="A771" i="7"/>
  <c r="H1072" i="7"/>
  <c r="G726" i="7"/>
  <c r="F684" i="7"/>
  <c r="H829" i="7"/>
  <c r="E940" i="7"/>
  <c r="F877" i="7"/>
  <c r="F1494" i="7"/>
  <c r="G934" i="7"/>
  <c r="H877" i="7"/>
  <c r="H332" i="7"/>
  <c r="F397" i="7"/>
  <c r="F467" i="7"/>
  <c r="E1200" i="7"/>
  <c r="G1432" i="7"/>
  <c r="G508" i="7"/>
  <c r="G1446" i="7"/>
  <c r="F314" i="7"/>
  <c r="H684" i="7"/>
  <c r="F334" i="7"/>
  <c r="H588" i="7"/>
  <c r="G1012" i="7"/>
  <c r="G382" i="7"/>
  <c r="G612" i="7"/>
  <c r="F1419" i="7"/>
  <c r="F967" i="7"/>
  <c r="H308" i="7"/>
  <c r="G1374" i="7"/>
  <c r="G686" i="7"/>
  <c r="F1123" i="7"/>
  <c r="H968" i="7"/>
  <c r="D1386" i="7"/>
  <c r="H1158" i="7"/>
  <c r="H615" i="7"/>
  <c r="G1137" i="7"/>
  <c r="G1010" i="7"/>
  <c r="A225" i="7"/>
  <c r="H398" i="7"/>
  <c r="G839" i="7"/>
  <c r="H1103" i="7"/>
  <c r="H504" i="7"/>
  <c r="E743" i="7"/>
  <c r="A233" i="7"/>
  <c r="H502" i="7"/>
  <c r="G1046" i="7"/>
  <c r="H1303" i="7"/>
  <c r="H704" i="7"/>
  <c r="G277" i="7"/>
  <c r="F1363" i="7"/>
  <c r="H894" i="7"/>
  <c r="H447" i="7"/>
  <c r="G814" i="7"/>
  <c r="G495" i="7"/>
  <c r="H388" i="7"/>
  <c r="G806" i="7"/>
  <c r="H1094" i="7"/>
  <c r="H455" i="7"/>
  <c r="G1034" i="7"/>
  <c r="G895" i="7"/>
  <c r="H1121" i="7"/>
  <c r="H1124" i="7"/>
  <c r="A1455" i="7"/>
  <c r="A752" i="7"/>
  <c r="H909" i="7"/>
  <c r="G1438" i="7"/>
  <c r="F809" i="7"/>
  <c r="H559" i="7"/>
  <c r="G878" i="7"/>
  <c r="G175" i="7"/>
  <c r="G639" i="7"/>
  <c r="G870" i="7"/>
  <c r="H1014" i="7"/>
  <c r="H279" i="7"/>
  <c r="F1179" i="7"/>
  <c r="F788" i="7"/>
  <c r="H925" i="7"/>
  <c r="F475" i="7"/>
  <c r="F1117" i="7"/>
  <c r="G330" i="7"/>
  <c r="G1105" i="7"/>
  <c r="H981" i="7"/>
  <c r="H436" i="7"/>
  <c r="F1040" i="7"/>
  <c r="G670" i="7"/>
  <c r="F487" i="7"/>
  <c r="F518" i="7"/>
  <c r="G732" i="7"/>
  <c r="H260" i="7"/>
  <c r="F605" i="7"/>
  <c r="H788" i="7"/>
  <c r="F615" i="7"/>
  <c r="H692" i="7"/>
  <c r="G1244" i="7"/>
  <c r="G862" i="7"/>
  <c r="G1020" i="7"/>
  <c r="G414" i="7"/>
  <c r="F1129" i="7"/>
  <c r="H412" i="7"/>
  <c r="G1502" i="7"/>
  <c r="G970" i="7"/>
  <c r="G1039" i="7"/>
  <c r="A284" i="7"/>
  <c r="F671" i="7"/>
  <c r="F594" i="7"/>
  <c r="H711" i="7"/>
  <c r="G1526" i="7"/>
  <c r="F264" i="7"/>
  <c r="A345" i="7"/>
  <c r="H494" i="7"/>
  <c r="G1033" i="7"/>
  <c r="H1295" i="7"/>
  <c r="H600" i="7"/>
  <c r="G450" i="7"/>
  <c r="A353" i="7"/>
  <c r="H598" i="7"/>
  <c r="G1194" i="7"/>
  <c r="F1051" i="7"/>
  <c r="E1007" i="7"/>
  <c r="F971" i="7"/>
  <c r="G326" i="7"/>
  <c r="H990" i="7"/>
  <c r="H543" i="7"/>
  <c r="G1022" i="7"/>
  <c r="G879" i="7"/>
  <c r="G223" i="7"/>
  <c r="G1018" i="7"/>
  <c r="E1289" i="7"/>
  <c r="H647" i="7"/>
  <c r="G1185" i="7"/>
  <c r="G1062" i="7"/>
  <c r="H1217" i="7"/>
  <c r="H1432" i="7"/>
  <c r="F1130" i="7"/>
  <c r="A848" i="7"/>
  <c r="H1125" i="7"/>
  <c r="H238" i="7"/>
  <c r="F1242" i="7"/>
  <c r="H655" i="7"/>
  <c r="G1195" i="7"/>
  <c r="G559" i="7"/>
  <c r="H517" i="7"/>
  <c r="G1045" i="7"/>
  <c r="H1110" i="7"/>
  <c r="H375" i="7"/>
  <c r="G526" i="7"/>
  <c r="F288" i="7"/>
  <c r="F1384" i="7"/>
  <c r="F1169" i="7"/>
  <c r="G515" i="7"/>
  <c r="E1336" i="7"/>
  <c r="H1077" i="7"/>
  <c r="F1208" i="7"/>
  <c r="G1458" i="7"/>
  <c r="F554" i="7"/>
  <c r="H660" i="7"/>
  <c r="G1492" i="7"/>
  <c r="H564" i="7"/>
  <c r="G229" i="7"/>
  <c r="G863" i="7"/>
  <c r="E1386" i="7"/>
  <c r="H293" i="7"/>
  <c r="E1418" i="7"/>
  <c r="H301" i="7"/>
  <c r="G437" i="7"/>
  <c r="H708" i="7"/>
  <c r="F1497" i="7"/>
  <c r="H612" i="7"/>
  <c r="F482" i="7"/>
  <c r="G1145" i="7"/>
  <c r="H958" i="7"/>
  <c r="H680" i="7"/>
  <c r="A551" i="7"/>
  <c r="A616" i="7"/>
  <c r="G230" i="7"/>
  <c r="F1082" i="7"/>
  <c r="H999" i="7"/>
  <c r="H208" i="7"/>
  <c r="G1380" i="7"/>
  <c r="E200" i="7"/>
  <c r="H590" i="7"/>
  <c r="G1183" i="7"/>
  <c r="F493" i="7"/>
  <c r="H696" i="7"/>
  <c r="F679" i="7"/>
  <c r="E711" i="7"/>
  <c r="H694" i="7"/>
  <c r="H247" i="7"/>
  <c r="F1435" i="7"/>
  <c r="F649" i="7"/>
  <c r="G830" i="7"/>
  <c r="G774" i="7"/>
  <c r="H1182" i="7"/>
  <c r="H639" i="7"/>
  <c r="G1174" i="7"/>
  <c r="G1049" i="7"/>
  <c r="H485" i="7"/>
  <c r="G1171" i="7"/>
  <c r="F1210" i="7"/>
  <c r="H743" i="7"/>
  <c r="G1313" i="7"/>
  <c r="G1207" i="7"/>
  <c r="H1313" i="7"/>
  <c r="A251" i="7"/>
  <c r="G1050" i="7"/>
  <c r="F1430" i="7"/>
  <c r="H1269" i="7"/>
  <c r="H334" i="7"/>
  <c r="G199" i="7"/>
  <c r="H847" i="7"/>
  <c r="G1323" i="7"/>
  <c r="G911" i="7"/>
  <c r="H725" i="7"/>
  <c r="G1193" i="7"/>
  <c r="H1206" i="7"/>
  <c r="H471" i="7"/>
  <c r="G894" i="7"/>
  <c r="E1369" i="7"/>
  <c r="G624" i="7"/>
  <c r="F929" i="7"/>
  <c r="G1448" i="7"/>
  <c r="G448" i="7"/>
  <c r="G1368" i="7"/>
  <c r="G1369" i="7"/>
  <c r="G334" i="7"/>
  <c r="F1114" i="7"/>
  <c r="H1061" i="7"/>
  <c r="H224" i="7"/>
  <c r="G1333" i="7"/>
  <c r="F927" i="7"/>
  <c r="E1321" i="7"/>
  <c r="A464" i="7"/>
  <c r="H271" i="7"/>
  <c r="F245" i="7"/>
  <c r="H544" i="7"/>
  <c r="E661" i="7"/>
  <c r="G1070" i="7"/>
  <c r="F937" i="7"/>
  <c r="H679" i="7"/>
  <c r="G1227" i="7"/>
  <c r="G655" i="7"/>
  <c r="H757" i="7"/>
  <c r="G1353" i="7"/>
  <c r="F439" i="7"/>
  <c r="H591" i="7"/>
  <c r="G1238" i="7"/>
  <c r="G687" i="7"/>
  <c r="H1485" i="7"/>
  <c r="H374" i="7"/>
  <c r="G743" i="7"/>
  <c r="H1079" i="7"/>
  <c r="H288" i="7"/>
  <c r="H168" i="7"/>
  <c r="A341" i="7"/>
  <c r="A823" i="7"/>
  <c r="H1519" i="7"/>
  <c r="G882" i="7"/>
  <c r="A921" i="7"/>
  <c r="H1436" i="7"/>
  <c r="F1443" i="7"/>
  <c r="A763" i="7"/>
  <c r="G239" i="7"/>
  <c r="A349" i="7"/>
  <c r="A1063" i="7"/>
  <c r="A391" i="7"/>
  <c r="H482" i="7"/>
  <c r="A1025" i="7"/>
  <c r="H1447" i="7"/>
  <c r="H881" i="7"/>
  <c r="H1496" i="7"/>
  <c r="H251" i="7"/>
  <c r="A1264" i="7"/>
  <c r="A553" i="7"/>
  <c r="H771" i="7"/>
  <c r="G943" i="7"/>
  <c r="A253" i="7"/>
  <c r="A735" i="7"/>
  <c r="A263" i="7"/>
  <c r="H858" i="7"/>
  <c r="A1137" i="7"/>
  <c r="A170" i="7"/>
  <c r="H561" i="7"/>
  <c r="H666" i="7"/>
  <c r="A1327" i="7"/>
  <c r="A992" i="7"/>
  <c r="A222" i="7"/>
  <c r="F702" i="7"/>
  <c r="A281" i="7"/>
  <c r="H681" i="7"/>
  <c r="H730" i="7"/>
  <c r="A1335" i="7"/>
  <c r="A792" i="7"/>
  <c r="H1082" i="7"/>
  <c r="A1153" i="7"/>
  <c r="A191" i="7"/>
  <c r="A1506" i="7"/>
  <c r="A707" i="7"/>
  <c r="G647" i="7"/>
  <c r="H1041" i="7"/>
  <c r="H1220" i="7"/>
  <c r="H489" i="7"/>
  <c r="G215" i="7"/>
  <c r="A1023" i="7"/>
  <c r="A348" i="7"/>
  <c r="G503" i="7"/>
  <c r="A801" i="7"/>
  <c r="F1491" i="7"/>
  <c r="H1193" i="7"/>
  <c r="A304" i="7"/>
  <c r="H571" i="7"/>
  <c r="A1136" i="7"/>
  <c r="H1456" i="7"/>
  <c r="A1481" i="7"/>
  <c r="E1343" i="7"/>
  <c r="G1275" i="7"/>
  <c r="G1048" i="7"/>
  <c r="H476" i="7"/>
  <c r="F874" i="7"/>
  <c r="G1521" i="7"/>
  <c r="H379" i="7"/>
  <c r="G718" i="7"/>
  <c r="F1498" i="7"/>
  <c r="H1245" i="7"/>
  <c r="H416" i="7"/>
  <c r="G1461" i="7"/>
  <c r="F1395" i="7"/>
  <c r="F734" i="7"/>
  <c r="A560" i="7"/>
  <c r="H367" i="7"/>
  <c r="F1459" i="7"/>
  <c r="H640" i="7"/>
  <c r="G966" i="7"/>
  <c r="G1214" i="7"/>
  <c r="F1338" i="7"/>
  <c r="H775" i="7"/>
  <c r="G1355" i="7"/>
  <c r="G1113" i="7"/>
  <c r="H965" i="7"/>
  <c r="G1481" i="7"/>
  <c r="F979" i="7"/>
  <c r="H687" i="7"/>
  <c r="G1366" i="7"/>
  <c r="F1160" i="7"/>
  <c r="A201" i="7"/>
  <c r="H470" i="7"/>
  <c r="G994" i="7"/>
  <c r="H1175" i="7"/>
  <c r="H576" i="7"/>
  <c r="G1367" i="7"/>
  <c r="E548" i="7"/>
  <c r="A943" i="7"/>
  <c r="A231" i="7"/>
  <c r="G1455" i="7"/>
  <c r="A1017" i="7"/>
  <c r="A266" i="7"/>
  <c r="G1167" i="7"/>
  <c r="A859" i="7"/>
  <c r="G1389" i="7"/>
  <c r="G1530" i="7"/>
  <c r="A1183" i="7"/>
  <c r="A528" i="7"/>
  <c r="H826" i="7"/>
  <c r="A1121" i="7"/>
  <c r="G889" i="7"/>
  <c r="H1001" i="7"/>
  <c r="A208" i="7"/>
  <c r="H699" i="7"/>
  <c r="A1360" i="7"/>
  <c r="A649" i="7"/>
  <c r="H1163" i="7"/>
  <c r="G1421" i="7"/>
  <c r="A373" i="7"/>
  <c r="A855" i="7"/>
  <c r="A423" i="7"/>
  <c r="H1050" i="7"/>
  <c r="A1233" i="7"/>
  <c r="A298" i="7"/>
  <c r="H673" i="7"/>
  <c r="H964" i="7"/>
  <c r="F1386" i="7"/>
  <c r="A1184" i="7"/>
  <c r="A350" i="7"/>
  <c r="G897" i="7"/>
  <c r="G1331" i="7"/>
  <c r="H801" i="7"/>
  <c r="H980" i="7"/>
  <c r="A1447" i="7"/>
  <c r="A904" i="7"/>
  <c r="H1268" i="7"/>
  <c r="A1249" i="7"/>
  <c r="A319" i="7"/>
  <c r="G663" i="7"/>
  <c r="A803" i="7"/>
  <c r="H191" i="7"/>
  <c r="H1153" i="7"/>
  <c r="H1400" i="7"/>
  <c r="H609" i="7"/>
  <c r="G1359" i="7"/>
  <c r="F211" i="7"/>
  <c r="G1414" i="7"/>
  <c r="G1168" i="7"/>
  <c r="H580" i="7"/>
  <c r="F1387" i="7"/>
  <c r="H204" i="7"/>
  <c r="H763" i="7"/>
  <c r="G983" i="7"/>
  <c r="G455" i="7"/>
  <c r="H1381" i="7"/>
  <c r="H512" i="7"/>
  <c r="H255" i="7"/>
  <c r="G358" i="7"/>
  <c r="G527" i="7"/>
  <c r="A656" i="7"/>
  <c r="H463" i="7"/>
  <c r="G422" i="7"/>
  <c r="H736" i="7"/>
  <c r="H533" i="7"/>
  <c r="H166" i="7"/>
  <c r="G295" i="7"/>
  <c r="H871" i="7"/>
  <c r="H176" i="7"/>
  <c r="G1378" i="7"/>
  <c r="H1165" i="7"/>
  <c r="H174" i="7"/>
  <c r="F1370" i="7"/>
  <c r="H783" i="7"/>
  <c r="G1494" i="7"/>
  <c r="G764" i="7"/>
  <c r="A321" i="7"/>
  <c r="H566" i="7"/>
  <c r="G1149" i="7"/>
  <c r="F277" i="7"/>
  <c r="H672" i="7"/>
  <c r="H289" i="7"/>
  <c r="G727" i="7"/>
  <c r="A1055" i="7"/>
  <c r="A380" i="7"/>
  <c r="H810" i="7"/>
  <c r="A1113" i="7"/>
  <c r="A394" i="7"/>
  <c r="H202" i="7"/>
  <c r="A955" i="7"/>
  <c r="H529" i="7"/>
  <c r="H570" i="7"/>
  <c r="A1295" i="7"/>
  <c r="A640" i="7"/>
  <c r="H1018" i="7"/>
  <c r="A1217" i="7"/>
  <c r="H350" i="7"/>
  <c r="H1113" i="7"/>
  <c r="A358" i="7"/>
  <c r="H984" i="7"/>
  <c r="A1456" i="7"/>
  <c r="A937" i="7"/>
  <c r="H1330" i="7"/>
  <c r="H169" i="7"/>
  <c r="F650" i="7"/>
  <c r="A967" i="7"/>
  <c r="A664" i="7"/>
  <c r="H1242" i="7"/>
  <c r="A1329" i="7"/>
  <c r="H700" i="7"/>
  <c r="H785" i="7"/>
  <c r="H1188" i="7"/>
  <c r="H315" i="7"/>
  <c r="A1280" i="7"/>
  <c r="A473" i="7"/>
  <c r="G1465" i="7"/>
  <c r="H638" i="7"/>
  <c r="H913" i="7"/>
  <c r="H1204" i="7"/>
  <c r="F1514" i="7"/>
  <c r="A1000" i="7"/>
  <c r="H1403" i="7"/>
  <c r="A1345" i="7"/>
  <c r="A546" i="7"/>
  <c r="G1381" i="7"/>
  <c r="A899" i="7"/>
  <c r="E1314" i="7"/>
  <c r="H1265" i="7"/>
  <c r="A262" i="7"/>
  <c r="H721" i="7"/>
  <c r="G202" i="7"/>
  <c r="G275" i="7"/>
  <c r="F1235" i="7"/>
  <c r="F219" i="7"/>
  <c r="G1083" i="7"/>
  <c r="F188" i="7"/>
  <c r="H1357" i="7"/>
  <c r="H1365" i="7"/>
  <c r="F555" i="7"/>
  <c r="H815" i="7"/>
  <c r="H214" i="7"/>
  <c r="G1442" i="7"/>
  <c r="F595" i="7"/>
  <c r="H806" i="7"/>
  <c r="H737" i="7"/>
  <c r="G575" i="7"/>
  <c r="F1147" i="7"/>
  <c r="H726" i="7"/>
  <c r="F819" i="7"/>
  <c r="H749" i="7"/>
  <c r="H262" i="7"/>
  <c r="G679" i="7"/>
  <c r="H1063" i="7"/>
  <c r="H272" i="7"/>
  <c r="G1506" i="7"/>
  <c r="H1341" i="7"/>
  <c r="H270" i="7"/>
  <c r="G327" i="7"/>
  <c r="H879" i="7"/>
  <c r="H280" i="7"/>
  <c r="E1039" i="7"/>
  <c r="A441" i="7"/>
  <c r="H662" i="7"/>
  <c r="G1407" i="7"/>
  <c r="F1307" i="7"/>
  <c r="H768" i="7"/>
  <c r="H401" i="7"/>
  <c r="G1487" i="7"/>
  <c r="A1175" i="7"/>
  <c r="A512" i="7"/>
  <c r="H1002" i="7"/>
  <c r="A1209" i="7"/>
  <c r="A506" i="7"/>
  <c r="H586" i="7"/>
  <c r="A1147" i="7"/>
  <c r="H649" i="7"/>
  <c r="H900" i="7"/>
  <c r="A1407" i="7"/>
  <c r="A760" i="7"/>
  <c r="H1210" i="7"/>
  <c r="A1409" i="7"/>
  <c r="F894" i="7"/>
  <c r="H1233" i="7"/>
  <c r="A503" i="7"/>
  <c r="H1208" i="7"/>
  <c r="H514" i="7"/>
  <c r="A1033" i="7"/>
  <c r="H1458" i="7"/>
  <c r="H321" i="7"/>
  <c r="G989" i="7"/>
  <c r="A1087" i="7"/>
  <c r="A776" i="7"/>
  <c r="H1382" i="7"/>
  <c r="A1425" i="7"/>
  <c r="H741" i="7"/>
  <c r="H905" i="7"/>
  <c r="A230" i="7"/>
  <c r="H792" i="7"/>
  <c r="A1376" i="7"/>
  <c r="A569" i="7"/>
  <c r="H451" i="7"/>
  <c r="G263" i="7"/>
  <c r="H1033" i="7"/>
  <c r="H1390" i="7"/>
  <c r="G1283" i="7"/>
  <c r="A1096" i="7"/>
  <c r="H1531" i="7"/>
  <c r="F873" i="7"/>
  <c r="A642" i="7"/>
  <c r="H362" i="7"/>
  <c r="A995" i="7"/>
  <c r="H744" i="7"/>
  <c r="H1385" i="7"/>
  <c r="G1489" i="7"/>
  <c r="H841" i="7"/>
  <c r="E1376" i="7"/>
  <c r="F1149" i="7"/>
  <c r="G939" i="7"/>
  <c r="F1296" i="7"/>
  <c r="G1372" i="7"/>
  <c r="F1400" i="7"/>
  <c r="G953" i="7"/>
  <c r="H1525" i="7"/>
  <c r="F1058" i="7"/>
  <c r="H911" i="7"/>
  <c r="H310" i="7"/>
  <c r="H241" i="7"/>
  <c r="F1467" i="7"/>
  <c r="H902" i="7"/>
  <c r="H929" i="7"/>
  <c r="H493" i="7"/>
  <c r="F1531" i="7"/>
  <c r="H822" i="7"/>
  <c r="F1250" i="7"/>
  <c r="H1333" i="7"/>
  <c r="H358" i="7"/>
  <c r="G1122" i="7"/>
  <c r="H1159" i="7"/>
  <c r="H464" i="7"/>
  <c r="H193" i="7"/>
  <c r="H1477" i="7"/>
  <c r="H366" i="7"/>
  <c r="G711" i="7"/>
  <c r="H975" i="7"/>
  <c r="H376" i="7"/>
  <c r="G960" i="7"/>
  <c r="F582" i="7"/>
  <c r="H854" i="7"/>
  <c r="H215" i="7"/>
  <c r="G270" i="7"/>
  <c r="F453" i="7"/>
  <c r="H521" i="7"/>
  <c r="H506" i="7"/>
  <c r="A1287" i="7"/>
  <c r="A744" i="7"/>
  <c r="H1194" i="7"/>
  <c r="A1305" i="7"/>
  <c r="A602" i="7"/>
  <c r="H1068" i="7"/>
  <c r="A1339" i="7"/>
  <c r="H761" i="7"/>
  <c r="H1140" i="7"/>
  <c r="A1527" i="7"/>
  <c r="A872" i="7"/>
  <c r="H1360" i="7"/>
  <c r="A1505" i="7"/>
  <c r="H959" i="7"/>
  <c r="H1345" i="7"/>
  <c r="A615" i="7"/>
  <c r="A252" i="7"/>
  <c r="H842" i="7"/>
  <c r="A1129" i="7"/>
  <c r="A287" i="7"/>
  <c r="H433" i="7"/>
  <c r="H186" i="7"/>
  <c r="A1311" i="7"/>
  <c r="A888" i="7"/>
  <c r="H1510" i="7"/>
  <c r="A1521" i="7"/>
  <c r="G1203" i="7"/>
  <c r="H1249" i="7"/>
  <c r="A390" i="7"/>
  <c r="H1016" i="7"/>
  <c r="A1472" i="7"/>
  <c r="A665" i="7"/>
  <c r="H811" i="7"/>
  <c r="H1247" i="7"/>
  <c r="H1145" i="7"/>
  <c r="A240" i="7"/>
  <c r="H347" i="7"/>
  <c r="A1192" i="7"/>
  <c r="A360" i="7"/>
  <c r="G961" i="7"/>
  <c r="A738" i="7"/>
  <c r="H746" i="7"/>
  <c r="A1091" i="7"/>
  <c r="G1138" i="7"/>
  <c r="H1497" i="7"/>
  <c r="F1043" i="7"/>
  <c r="H953" i="7"/>
  <c r="H1060" i="7"/>
  <c r="A1487" i="7"/>
  <c r="A936" i="7"/>
  <c r="H1146" i="7"/>
  <c r="A1281" i="7"/>
  <c r="G1271" i="7"/>
  <c r="A325" i="7"/>
  <c r="A807" i="7"/>
  <c r="H1487" i="7"/>
  <c r="A1520" i="7"/>
  <c r="A617" i="7"/>
  <c r="G174" i="7"/>
  <c r="A213" i="7"/>
  <c r="A703" i="7"/>
  <c r="H1348" i="7"/>
  <c r="A1432" i="7"/>
  <c r="A424" i="7"/>
  <c r="G1251" i="7"/>
  <c r="H674" i="7"/>
  <c r="A954" i="7"/>
  <c r="A256" i="7"/>
  <c r="H203" i="7"/>
  <c r="H1218" i="7"/>
  <c r="A622" i="7"/>
  <c r="A1340" i="7"/>
  <c r="A280" i="7"/>
  <c r="A1140" i="7"/>
  <c r="B32" i="7"/>
  <c r="E54" i="7"/>
  <c r="D9" i="7"/>
  <c r="F64" i="7"/>
  <c r="A94" i="7"/>
  <c r="H593" i="7"/>
  <c r="H706" i="7"/>
  <c r="A850" i="7"/>
  <c r="H1406" i="7"/>
  <c r="G1177" i="7"/>
  <c r="H1042" i="7"/>
  <c r="A303" i="7"/>
  <c r="A1494" i="7"/>
  <c r="A1476" i="7"/>
  <c r="A789" i="7"/>
  <c r="A1504" i="7"/>
  <c r="A858" i="7"/>
  <c r="H1416" i="7"/>
  <c r="G182" i="7"/>
  <c r="H562" i="7"/>
  <c r="H1484" i="7"/>
  <c r="A1310" i="7"/>
  <c r="A322" i="7"/>
  <c r="A909" i="7"/>
  <c r="A800" i="7"/>
  <c r="A754" i="7"/>
  <c r="H1427" i="7"/>
  <c r="G310" i="7"/>
  <c r="H594" i="7"/>
  <c r="H1495" i="7"/>
  <c r="A1318" i="7"/>
  <c r="A364" i="7"/>
  <c r="A1037" i="7"/>
  <c r="H817" i="7"/>
  <c r="A585" i="7"/>
  <c r="A1106" i="7"/>
  <c r="A459" i="7"/>
  <c r="G1305" i="7"/>
  <c r="H898" i="7"/>
  <c r="A335" i="7"/>
  <c r="A1518" i="7"/>
  <c r="A1285" i="7"/>
  <c r="A775" i="7"/>
  <c r="H259" i="7"/>
  <c r="A1458" i="7"/>
  <c r="A699" i="7"/>
  <c r="H747" i="7"/>
  <c r="H1288" i="7"/>
  <c r="A470" i="7"/>
  <c r="A216" i="7"/>
  <c r="A549" i="7"/>
  <c r="A283" i="7"/>
  <c r="F1034" i="7"/>
  <c r="A1242" i="7"/>
  <c r="A483" i="7"/>
  <c r="G1390" i="7"/>
  <c r="H690" i="7"/>
  <c r="H1527" i="7"/>
  <c r="A1342" i="7"/>
  <c r="A868" i="7"/>
  <c r="H1325" i="7"/>
  <c r="A576" i="7"/>
  <c r="A234" i="7"/>
  <c r="G962" i="7"/>
  <c r="A971" i="7"/>
  <c r="H1364" i="7"/>
  <c r="G1273" i="7"/>
  <c r="A790" i="7"/>
  <c r="A948" i="7"/>
  <c r="A1428" i="7"/>
  <c r="G374" i="7"/>
  <c r="H1243" i="7"/>
  <c r="A1514" i="7"/>
  <c r="A635" i="7"/>
  <c r="H1040" i="7"/>
  <c r="E517" i="7"/>
  <c r="A606" i="7"/>
  <c r="A592" i="7"/>
  <c r="H1522" i="7"/>
  <c r="F906" i="7"/>
  <c r="A875" i="7"/>
  <c r="H1248" i="7"/>
  <c r="G598" i="7"/>
  <c r="A710" i="7"/>
  <c r="A1299" i="7"/>
  <c r="A248" i="7"/>
  <c r="B87" i="7"/>
  <c r="B9" i="7"/>
  <c r="E119" i="7"/>
  <c r="F900" i="7"/>
  <c r="G376" i="7"/>
  <c r="H997" i="7"/>
  <c r="G1059" i="7"/>
  <c r="F1495" i="7"/>
  <c r="F923" i="7"/>
  <c r="H697" i="7"/>
  <c r="H327" i="7"/>
  <c r="G1395" i="7"/>
  <c r="G1303" i="7"/>
  <c r="H919" i="7"/>
  <c r="H606" i="7"/>
  <c r="F1108" i="7"/>
  <c r="F1115" i="7"/>
  <c r="A1071" i="7"/>
  <c r="H1102" i="7"/>
  <c r="F1364" i="7"/>
  <c r="H1239" i="7"/>
  <c r="F578" i="7"/>
  <c r="F1523" i="7"/>
  <c r="H934" i="7"/>
  <c r="H391" i="7"/>
  <c r="G590" i="7"/>
  <c r="F905" i="7"/>
  <c r="G816" i="7"/>
  <c r="F1107" i="7"/>
  <c r="H942" i="7"/>
  <c r="H303" i="7"/>
  <c r="G622" i="7"/>
  <c r="F947" i="7"/>
  <c r="H797" i="7"/>
  <c r="G1491" i="7"/>
  <c r="F1018" i="7"/>
  <c r="H791" i="7"/>
  <c r="G1377" i="7"/>
  <c r="G985" i="7"/>
  <c r="H1097" i="7"/>
  <c r="A336" i="7"/>
  <c r="H936" i="7"/>
  <c r="A1344" i="7"/>
  <c r="A537" i="7"/>
  <c r="H707" i="7"/>
  <c r="A1274" i="7"/>
  <c r="A475" i="7"/>
  <c r="H863" i="7"/>
  <c r="H1337" i="7"/>
  <c r="A487" i="7"/>
  <c r="H1192" i="7"/>
  <c r="A1448" i="7"/>
  <c r="A737" i="7"/>
  <c r="H955" i="7"/>
  <c r="H425" i="7"/>
  <c r="H916" i="7"/>
  <c r="A1423" i="7"/>
  <c r="A976" i="7"/>
  <c r="A200" i="7"/>
  <c r="F206" i="7"/>
  <c r="H446" i="7"/>
  <c r="H1129" i="7"/>
  <c r="A219" i="7"/>
  <c r="H1000" i="7"/>
  <c r="A1464" i="7"/>
  <c r="A753" i="7"/>
  <c r="H1179" i="7"/>
  <c r="H177" i="7"/>
  <c r="F821" i="7"/>
  <c r="A983" i="7"/>
  <c r="A552" i="7"/>
  <c r="H1066" i="7"/>
  <c r="A1241" i="7"/>
  <c r="A308" i="7"/>
  <c r="H337" i="7"/>
  <c r="F991" i="7"/>
  <c r="A991" i="7"/>
  <c r="A444" i="7"/>
  <c r="H226" i="7"/>
  <c r="A865" i="7"/>
  <c r="H1211" i="7"/>
  <c r="A1218" i="7"/>
  <c r="A278" i="7"/>
  <c r="H1149" i="7"/>
  <c r="H577" i="7"/>
  <c r="H282" i="7"/>
  <c r="G1261" i="7"/>
  <c r="A197" i="7"/>
  <c r="A679" i="7"/>
  <c r="F1175" i="7"/>
  <c r="G735" i="7"/>
  <c r="G643" i="7"/>
  <c r="G1364" i="7"/>
  <c r="G540" i="7"/>
  <c r="F421" i="7"/>
  <c r="A317" i="7"/>
  <c r="H423" i="7"/>
  <c r="H206" i="7"/>
  <c r="G1431" i="7"/>
  <c r="H1015" i="7"/>
  <c r="H702" i="7"/>
  <c r="G192" i="7"/>
  <c r="F1499" i="7"/>
  <c r="A1167" i="7"/>
  <c r="H1198" i="7"/>
  <c r="G432" i="7"/>
  <c r="E1168" i="7"/>
  <c r="E549" i="7"/>
  <c r="G486" i="7"/>
  <c r="H1030" i="7"/>
  <c r="H487" i="7"/>
  <c r="G926" i="7"/>
  <c r="F1314" i="7"/>
  <c r="D1044" i="7"/>
  <c r="G582" i="7"/>
  <c r="H1134" i="7"/>
  <c r="H399" i="7"/>
  <c r="G942" i="7"/>
  <c r="F1346" i="7"/>
  <c r="H1005" i="7"/>
  <c r="H182" i="7"/>
  <c r="F1402" i="7"/>
  <c r="H887" i="7"/>
  <c r="G1505" i="7"/>
  <c r="G877" i="7"/>
  <c r="H1329" i="7"/>
  <c r="A599" i="7"/>
  <c r="H1176" i="7"/>
  <c r="A1440" i="7"/>
  <c r="A633" i="7"/>
  <c r="H1131" i="7"/>
  <c r="A1370" i="7"/>
  <c r="A571" i="7"/>
  <c r="G910" i="7"/>
  <c r="H1449" i="7"/>
  <c r="A607" i="7"/>
  <c r="H1370" i="7"/>
  <c r="G946" i="7"/>
  <c r="A833" i="7"/>
  <c r="H1147" i="7"/>
  <c r="H537" i="7"/>
  <c r="H1156" i="7"/>
  <c r="F1001" i="7"/>
  <c r="A1072" i="7"/>
  <c r="A328" i="7"/>
  <c r="G662" i="7"/>
  <c r="H1055" i="7"/>
  <c r="H1241" i="7"/>
  <c r="A511" i="7"/>
  <c r="H1224" i="7"/>
  <c r="F1155" i="7"/>
  <c r="A945" i="7"/>
  <c r="H1340" i="7"/>
  <c r="H329" i="7"/>
  <c r="G1090" i="7"/>
  <c r="A1095" i="7"/>
  <c r="A672" i="7"/>
  <c r="H1256" i="7"/>
  <c r="A1337" i="7"/>
  <c r="E660" i="7"/>
  <c r="H457" i="7"/>
  <c r="G1142" i="7"/>
  <c r="A1103" i="7"/>
  <c r="A568" i="7"/>
  <c r="H610" i="7"/>
  <c r="A961" i="7"/>
  <c r="F1295" i="7"/>
  <c r="G1170" i="7"/>
  <c r="G1027" i="7"/>
  <c r="E951" i="7"/>
  <c r="G788" i="7"/>
  <c r="F711" i="7"/>
  <c r="A413" i="7"/>
  <c r="H519" i="7"/>
  <c r="H302" i="7"/>
  <c r="H233" i="7"/>
  <c r="H1111" i="7"/>
  <c r="H798" i="7"/>
  <c r="G1041" i="7"/>
  <c r="G462" i="7"/>
  <c r="A1359" i="7"/>
  <c r="E1417" i="7"/>
  <c r="H596" i="7"/>
  <c r="F725" i="7"/>
  <c r="G696" i="7"/>
  <c r="G905" i="7"/>
  <c r="H1222" i="7"/>
  <c r="H583" i="7"/>
  <c r="G1086" i="7"/>
  <c r="G271" i="7"/>
  <c r="E1092" i="7"/>
  <c r="G1225" i="7"/>
  <c r="H1230" i="7"/>
  <c r="H495" i="7"/>
  <c r="G1098" i="7"/>
  <c r="G303" i="7"/>
  <c r="H1349" i="7"/>
  <c r="H278" i="7"/>
  <c r="G359" i="7"/>
  <c r="H983" i="7"/>
  <c r="H192" i="7"/>
  <c r="G576" i="7"/>
  <c r="A229" i="7"/>
  <c r="A711" i="7"/>
  <c r="H1359" i="7"/>
  <c r="F693" i="7"/>
  <c r="A729" i="7"/>
  <c r="H1308" i="7"/>
  <c r="A1466" i="7"/>
  <c r="A667" i="7"/>
  <c r="H264" i="7"/>
  <c r="A237" i="7"/>
  <c r="A831" i="7"/>
  <c r="A242" i="7"/>
  <c r="G1498" i="7"/>
  <c r="A929" i="7"/>
  <c r="H1319" i="7"/>
  <c r="H769" i="7"/>
  <c r="H1347" i="7"/>
  <c r="G1153" i="7"/>
  <c r="A1168" i="7"/>
  <c r="A456" i="7"/>
  <c r="G1379" i="7"/>
  <c r="G1217" i="7"/>
  <c r="H1473" i="7"/>
  <c r="A623" i="7"/>
  <c r="H1402" i="7"/>
  <c r="G1053" i="7"/>
  <c r="A1041" i="7"/>
  <c r="H1468" i="7"/>
  <c r="H441" i="7"/>
  <c r="H218" i="7"/>
  <c r="A1207" i="7"/>
  <c r="A896" i="7"/>
  <c r="H1392" i="7"/>
  <c r="A1529" i="7"/>
  <c r="H949" i="7"/>
  <c r="H569" i="7"/>
  <c r="H250" i="7"/>
  <c r="A1215" i="7"/>
  <c r="A680" i="7"/>
  <c r="H890" i="7"/>
  <c r="A1057" i="7"/>
  <c r="H1490" i="7"/>
  <c r="A1410" i="7"/>
  <c r="A515" i="7"/>
  <c r="H734" i="7"/>
  <c r="H921" i="7"/>
  <c r="H996" i="7"/>
  <c r="H377" i="7"/>
  <c r="A429" i="7"/>
  <c r="F1180" i="7"/>
  <c r="G328" i="7"/>
  <c r="H845" i="7"/>
  <c r="A241" i="7"/>
  <c r="H314" i="7"/>
  <c r="G1365" i="7"/>
  <c r="H646" i="7"/>
  <c r="H656" i="7"/>
  <c r="H558" i="7"/>
  <c r="H568" i="7"/>
  <c r="H1046" i="7"/>
  <c r="F1378" i="7"/>
  <c r="F659" i="7"/>
  <c r="G406" i="7"/>
  <c r="G454" i="7"/>
  <c r="G1102" i="7"/>
  <c r="G534" i="7"/>
  <c r="A959" i="7"/>
  <c r="A1321" i="7"/>
  <c r="H1172" i="7"/>
  <c r="A339" i="7"/>
  <c r="H1481" i="7"/>
  <c r="G1103" i="7"/>
  <c r="H648" i="7"/>
  <c r="H1267" i="7"/>
  <c r="H483" i="7"/>
  <c r="H1448" i="7"/>
  <c r="A173" i="7"/>
  <c r="H1417" i="7"/>
  <c r="A1255" i="7"/>
  <c r="A1032" i="7"/>
  <c r="A275" i="7"/>
  <c r="H227" i="7"/>
  <c r="H961" i="7"/>
  <c r="A575" i="7"/>
  <c r="A199" i="7"/>
  <c r="G1370" i="7"/>
  <c r="A1193" i="7"/>
  <c r="H969" i="7"/>
  <c r="H1464" i="7"/>
  <c r="G945" i="7"/>
  <c r="A1240" i="7"/>
  <c r="A296" i="7"/>
  <c r="H291" i="7"/>
  <c r="A392" i="7"/>
  <c r="A1298" i="7"/>
  <c r="A883" i="7"/>
  <c r="A236" i="7"/>
  <c r="H1171" i="7"/>
  <c r="A1294" i="7"/>
  <c r="A1444" i="7"/>
  <c r="A1141" i="7"/>
  <c r="E52" i="7"/>
  <c r="D111" i="7"/>
  <c r="D105" i="7"/>
  <c r="G103" i="7"/>
  <c r="G17" i="7"/>
  <c r="A1111" i="7"/>
  <c r="G1209" i="7"/>
  <c r="F1187" i="7"/>
  <c r="A1011" i="7"/>
  <c r="F1091" i="7"/>
  <c r="H1346" i="7"/>
  <c r="A1302" i="7"/>
  <c r="A1092" i="7"/>
  <c r="H705" i="7"/>
  <c r="H906" i="7"/>
  <c r="A1202" i="7"/>
  <c r="A675" i="7"/>
  <c r="H1104" i="7"/>
  <c r="G1486" i="7"/>
  <c r="A830" i="7"/>
  <c r="H1398" i="7"/>
  <c r="A652" i="7"/>
  <c r="H1292" i="7"/>
  <c r="A634" i="7"/>
  <c r="A299" i="7"/>
  <c r="H299" i="7"/>
  <c r="H1262" i="7"/>
  <c r="A550" i="7"/>
  <c r="A1052" i="7"/>
  <c r="A270" i="7"/>
  <c r="A1524" i="7"/>
  <c r="A816" i="7"/>
  <c r="A762" i="7"/>
  <c r="H1438" i="7"/>
  <c r="G438" i="7"/>
  <c r="H1090" i="7"/>
  <c r="A558" i="7"/>
  <c r="A1500" i="7"/>
  <c r="H830" i="7"/>
  <c r="A824" i="7"/>
  <c r="A770" i="7"/>
  <c r="H1459" i="7"/>
  <c r="F317" i="7"/>
  <c r="H658" i="7"/>
  <c r="A218" i="7"/>
  <c r="A1526" i="7"/>
  <c r="A933" i="7"/>
  <c r="A1247" i="7"/>
  <c r="H1404" i="7"/>
  <c r="G1466" i="7"/>
  <c r="A1059" i="7"/>
  <c r="H1460" i="7"/>
  <c r="H595" i="7"/>
  <c r="A958" i="7"/>
  <c r="A1117" i="7"/>
  <c r="A1164" i="7"/>
  <c r="H840" i="7"/>
  <c r="A466" i="7"/>
  <c r="H924" i="7"/>
  <c r="A1315" i="7"/>
  <c r="G695" i="7"/>
  <c r="H1302" i="7"/>
  <c r="A1366" i="7"/>
  <c r="A1348" i="7"/>
  <c r="H1422" i="7"/>
  <c r="A1161" i="7"/>
  <c r="A1282" i="7"/>
  <c r="A523" i="7"/>
  <c r="H1232" i="7"/>
  <c r="G1315" i="7"/>
  <c r="G1527" i="7"/>
  <c r="H642" i="7"/>
  <c r="A826" i="7"/>
  <c r="H1374" i="7"/>
  <c r="G1077" i="7"/>
  <c r="H818" i="7"/>
  <c r="A410" i="7"/>
  <c r="A906" i="7"/>
  <c r="A932" i="7"/>
  <c r="C38" i="7"/>
  <c r="C56" i="7"/>
  <c r="C82" i="7"/>
  <c r="F80" i="7"/>
  <c r="E59" i="7"/>
  <c r="A88" i="7"/>
  <c r="H92" i="7"/>
  <c r="A36" i="7"/>
  <c r="A160" i="7"/>
  <c r="A828" i="7"/>
  <c r="F74" i="7"/>
  <c r="G1230" i="7"/>
  <c r="A493" i="7"/>
  <c r="C150" i="7"/>
  <c r="C64" i="7"/>
  <c r="B147" i="7"/>
  <c r="D67" i="7"/>
  <c r="A118" i="7"/>
  <c r="H153" i="7"/>
  <c r="A35" i="7"/>
  <c r="B55" i="7"/>
  <c r="A1018" i="7"/>
  <c r="A355" i="7"/>
  <c r="C53" i="7"/>
  <c r="D70" i="7"/>
  <c r="C137" i="7"/>
  <c r="G1280" i="7"/>
  <c r="E1378" i="7"/>
  <c r="H1053" i="7"/>
  <c r="E952" i="7"/>
  <c r="H698" i="7"/>
  <c r="G1493" i="7"/>
  <c r="H742" i="7"/>
  <c r="H752" i="7"/>
  <c r="H654" i="7"/>
  <c r="H760" i="7"/>
  <c r="H1238" i="7"/>
  <c r="G335" i="7"/>
  <c r="G999" i="7"/>
  <c r="G1294" i="7"/>
  <c r="H254" i="7"/>
  <c r="H219" i="7"/>
  <c r="G1337" i="7"/>
  <c r="A1191" i="7"/>
  <c r="A1417" i="7"/>
  <c r="H1358" i="7"/>
  <c r="A561" i="7"/>
  <c r="A269" i="7"/>
  <c r="H194" i="7"/>
  <c r="G1126" i="7"/>
  <c r="H1423" i="7"/>
  <c r="H827" i="7"/>
  <c r="A406" i="7"/>
  <c r="A285" i="7"/>
  <c r="H1529" i="7"/>
  <c r="A1375" i="7"/>
  <c r="A1128" i="7"/>
  <c r="A403" i="7"/>
  <c r="H611" i="7"/>
  <c r="H1305" i="7"/>
  <c r="A695" i="7"/>
  <c r="A359" i="7"/>
  <c r="H770" i="7"/>
  <c r="A1289" i="7"/>
  <c r="H1089" i="7"/>
  <c r="A166" i="7"/>
  <c r="H603" i="7"/>
  <c r="A1336" i="7"/>
  <c r="A529" i="7"/>
  <c r="H675" i="7"/>
  <c r="A793" i="7"/>
  <c r="A1418" i="7"/>
  <c r="A1003" i="7"/>
  <c r="F949" i="7"/>
  <c r="H1335" i="7"/>
  <c r="A1390" i="7"/>
  <c r="A366" i="7"/>
  <c r="A1525" i="7"/>
  <c r="E148" i="7"/>
  <c r="E150" i="7"/>
  <c r="E40" i="7"/>
  <c r="H46" i="7"/>
  <c r="G113" i="7"/>
  <c r="G1411" i="7"/>
  <c r="H907" i="7"/>
  <c r="G1210" i="7"/>
  <c r="A1123" i="7"/>
  <c r="G1026" i="7"/>
  <c r="H1474" i="7"/>
  <c r="A1398" i="7"/>
  <c r="A408" i="7"/>
  <c r="H1393" i="7"/>
  <c r="A497" i="7"/>
  <c r="A1322" i="7"/>
  <c r="A787" i="7"/>
  <c r="H1286" i="7"/>
  <c r="H467" i="7"/>
  <c r="A926" i="7"/>
  <c r="A605" i="7"/>
  <c r="A1036" i="7"/>
  <c r="A306" i="7"/>
  <c r="A866" i="7"/>
  <c r="A448" i="7"/>
  <c r="H683" i="7"/>
  <c r="F958" i="7"/>
  <c r="A646" i="7"/>
  <c r="A1468" i="7"/>
  <c r="A628" i="7"/>
  <c r="B102" i="7"/>
  <c r="A1208" i="7"/>
  <c r="A874" i="7"/>
  <c r="A310" i="7"/>
  <c r="H331" i="7"/>
  <c r="H1275" i="7"/>
  <c r="A654" i="7"/>
  <c r="A669" i="7"/>
  <c r="H287" i="7"/>
  <c r="A1216" i="7"/>
  <c r="A882" i="7"/>
  <c r="A171" i="7"/>
  <c r="G566" i="7"/>
  <c r="H914" i="7"/>
  <c r="A346" i="7"/>
  <c r="A732" i="7"/>
  <c r="A1317" i="7"/>
  <c r="H443" i="7"/>
  <c r="A202" i="7"/>
  <c r="H490" i="7"/>
  <c r="A1171" i="7"/>
  <c r="A172" i="7"/>
  <c r="H883" i="7"/>
  <c r="A1054" i="7"/>
  <c r="A1501" i="7"/>
  <c r="A1389" i="7"/>
  <c r="A1008" i="7"/>
  <c r="A578" i="7"/>
  <c r="H1164" i="7"/>
  <c r="A1427" i="7"/>
  <c r="G1391" i="7"/>
  <c r="H1431" i="7"/>
  <c r="A1462" i="7"/>
  <c r="A677" i="7"/>
  <c r="A535" i="7"/>
  <c r="G1013" i="7"/>
  <c r="A1394" i="7"/>
  <c r="A747" i="7"/>
  <c r="H1375" i="7"/>
  <c r="H339" i="7"/>
  <c r="H481" i="7"/>
  <c r="H1414" i="7"/>
  <c r="A946" i="7"/>
  <c r="A246" i="7"/>
  <c r="H171" i="7"/>
  <c r="H1010" i="7"/>
  <c r="A518" i="7"/>
  <c r="A603" i="7"/>
  <c r="A1477" i="7"/>
  <c r="C142" i="7"/>
  <c r="G1408" i="7"/>
  <c r="F917" i="7"/>
  <c r="H1373" i="7"/>
  <c r="F885" i="7"/>
  <c r="H932" i="7"/>
  <c r="H183" i="7"/>
  <c r="H838" i="7"/>
  <c r="F294" i="7"/>
  <c r="H750" i="7"/>
  <c r="F381" i="7"/>
  <c r="F491" i="7"/>
  <c r="G719" i="7"/>
  <c r="H187" i="7"/>
  <c r="H323" i="7"/>
  <c r="F270" i="7"/>
  <c r="H667" i="7"/>
  <c r="H739" i="7"/>
  <c r="A1303" i="7"/>
  <c r="A1513" i="7"/>
  <c r="H1518" i="7"/>
  <c r="A657" i="7"/>
  <c r="A381" i="7"/>
  <c r="H578" i="7"/>
  <c r="G1485" i="7"/>
  <c r="A295" i="7"/>
  <c r="H1019" i="7"/>
  <c r="A1187" i="7"/>
  <c r="A397" i="7"/>
  <c r="A309" i="7"/>
  <c r="G1497" i="7"/>
  <c r="A1224" i="7"/>
  <c r="A513" i="7"/>
  <c r="H891" i="7"/>
  <c r="H1425" i="7"/>
  <c r="A919" i="7"/>
  <c r="A496" i="7"/>
  <c r="H970" i="7"/>
  <c r="A1385" i="7"/>
  <c r="H1201" i="7"/>
  <c r="A315" i="7"/>
  <c r="H1144" i="7"/>
  <c r="A1528" i="7"/>
  <c r="A625" i="7"/>
  <c r="H585" i="7"/>
  <c r="A1177" i="7"/>
  <c r="F1059" i="7"/>
  <c r="A1115" i="7"/>
  <c r="G975" i="7"/>
  <c r="H1463" i="7"/>
  <c r="A1486" i="7"/>
  <c r="A773" i="7"/>
  <c r="A1069" i="7"/>
  <c r="B128" i="7"/>
  <c r="B42" i="7"/>
  <c r="E136" i="7"/>
  <c r="H142" i="7"/>
  <c r="H48" i="7"/>
  <c r="H1096" i="7"/>
  <c r="H1283" i="7"/>
  <c r="H298" i="7"/>
  <c r="A1235" i="7"/>
  <c r="H530" i="7"/>
  <c r="A175" i="7"/>
  <c r="A572" i="7"/>
  <c r="A805" i="7"/>
  <c r="A181" i="7"/>
  <c r="A881" i="7"/>
  <c r="A1434" i="7"/>
  <c r="A907" i="7"/>
  <c r="H1418" i="7"/>
  <c r="H819" i="7"/>
  <c r="A1022" i="7"/>
  <c r="A989" i="7"/>
  <c r="A1420" i="7"/>
  <c r="A1200" i="7"/>
  <c r="A978" i="7"/>
  <c r="A563" i="7"/>
  <c r="H928" i="7"/>
  <c r="G986" i="7"/>
  <c r="A742" i="7"/>
  <c r="A1421" i="7"/>
  <c r="A174" i="7"/>
  <c r="C45" i="7"/>
  <c r="G1242" i="7"/>
  <c r="A994" i="7"/>
  <c r="A579" i="7"/>
  <c r="H715" i="7"/>
  <c r="F1098" i="7"/>
  <c r="A750" i="7"/>
  <c r="A1053" i="7"/>
  <c r="F174" i="7"/>
  <c r="G1285" i="7"/>
  <c r="A1002" i="7"/>
  <c r="A320" i="7"/>
  <c r="G1347" i="7"/>
  <c r="H1106" i="7"/>
  <c r="A566" i="7"/>
  <c r="A1116" i="7"/>
  <c r="A845" i="7"/>
  <c r="H1444" i="7"/>
  <c r="A404" i="7"/>
  <c r="H860" i="7"/>
  <c r="A1291" i="7"/>
  <c r="A300" i="7"/>
  <c r="H1075" i="7"/>
  <c r="A1150" i="7"/>
  <c r="A484" i="7"/>
  <c r="G954" i="7"/>
  <c r="A1392" i="7"/>
  <c r="A690" i="7"/>
  <c r="H1352" i="7"/>
  <c r="F1066" i="7"/>
  <c r="H402" i="7"/>
  <c r="A260" i="7"/>
  <c r="A439" i="7"/>
  <c r="A1061" i="7"/>
  <c r="A999" i="7"/>
  <c r="H843" i="7"/>
  <c r="F735" i="7"/>
  <c r="A867" i="7"/>
  <c r="H1514" i="7"/>
  <c r="H723" i="7"/>
  <c r="H1169" i="7"/>
  <c r="A382" i="7"/>
  <c r="A1058" i="7"/>
  <c r="A395" i="7"/>
  <c r="H555" i="7"/>
  <c r="H1202" i="7"/>
  <c r="A614" i="7"/>
  <c r="H816" i="7"/>
  <c r="A1100" i="7"/>
  <c r="D93" i="7"/>
  <c r="D119" i="7"/>
  <c r="D129" i="7"/>
  <c r="G135" i="7"/>
  <c r="G57" i="7"/>
  <c r="F101" i="7"/>
  <c r="A123" i="7"/>
  <c r="A105" i="7"/>
  <c r="A128" i="7"/>
  <c r="B30" i="7"/>
  <c r="F69" i="7"/>
  <c r="A486" i="7"/>
  <c r="A725" i="7"/>
  <c r="E60" i="7"/>
  <c r="D127" i="7"/>
  <c r="D33" i="7"/>
  <c r="G39" i="7"/>
  <c r="F122" i="7"/>
  <c r="E42" i="7"/>
  <c r="F95" i="7"/>
  <c r="C89" i="7"/>
  <c r="A723" i="7"/>
  <c r="A613" i="7"/>
  <c r="D124" i="7"/>
  <c r="E125" i="7"/>
  <c r="E31" i="7"/>
  <c r="E1480" i="7"/>
  <c r="G260" i="7"/>
  <c r="G1109" i="7"/>
  <c r="H1007" i="7"/>
  <c r="G430" i="7"/>
  <c r="H701" i="7"/>
  <c r="G207" i="7"/>
  <c r="G1258" i="7"/>
  <c r="E1439" i="7"/>
  <c r="G982" i="7"/>
  <c r="F831" i="7"/>
  <c r="H407" i="7"/>
  <c r="H633" i="7"/>
  <c r="A864" i="7"/>
  <c r="A794" i="7"/>
  <c r="H873" i="7"/>
  <c r="A968" i="7"/>
  <c r="G1073" i="7"/>
  <c r="A536" i="7"/>
  <c r="A415" i="7"/>
  <c r="A1431" i="7"/>
  <c r="F517" i="7"/>
  <c r="A519" i="7"/>
  <c r="A761" i="7"/>
  <c r="H1257" i="7"/>
  <c r="A1384" i="7"/>
  <c r="H1362" i="7"/>
  <c r="A1283" i="7"/>
  <c r="F1251" i="7"/>
  <c r="H410" i="7"/>
  <c r="H507" i="7"/>
  <c r="A1320" i="7"/>
  <c r="A609" i="7"/>
  <c r="G1375" i="7"/>
  <c r="A205" i="7"/>
  <c r="A1039" i="7"/>
  <c r="A608" i="7"/>
  <c r="H1162" i="7"/>
  <c r="H1214" i="7"/>
  <c r="H1321" i="7"/>
  <c r="A471" i="7"/>
  <c r="H1498" i="7"/>
  <c r="F506" i="7"/>
  <c r="A721" i="7"/>
  <c r="H1281" i="7"/>
  <c r="G1114" i="7"/>
  <c r="G1117" i="7"/>
  <c r="A1227" i="7"/>
  <c r="G1519" i="7"/>
  <c r="A292" i="7"/>
  <c r="A540" i="7"/>
  <c r="A1157" i="7"/>
  <c r="B78" i="7"/>
  <c r="C71" i="7"/>
  <c r="B138" i="7"/>
  <c r="B36" i="7"/>
  <c r="A85" i="7"/>
  <c r="H144" i="7"/>
  <c r="A167" i="7"/>
  <c r="A340" i="7"/>
  <c r="H778" i="7"/>
  <c r="A1355" i="7"/>
  <c r="H850" i="7"/>
  <c r="A431" i="7"/>
  <c r="A988" i="7"/>
  <c r="A1189" i="7"/>
  <c r="H378" i="7"/>
  <c r="A1265" i="7"/>
  <c r="F1315" i="7"/>
  <c r="A1019" i="7"/>
  <c r="A258" i="7"/>
  <c r="H1011" i="7"/>
  <c r="A1118" i="7"/>
  <c r="A1373" i="7"/>
  <c r="A1076" i="7"/>
  <c r="G1199" i="7"/>
  <c r="A1098" i="7"/>
  <c r="A683" i="7"/>
  <c r="H1120" i="7"/>
  <c r="G1529" i="7"/>
  <c r="A838" i="7"/>
  <c r="H1483" i="7"/>
  <c r="A684" i="7"/>
  <c r="C141" i="7"/>
  <c r="H938" i="7"/>
  <c r="A1226" i="7"/>
  <c r="A691" i="7"/>
  <c r="H944" i="7"/>
  <c r="G1038" i="7"/>
  <c r="A846" i="7"/>
  <c r="A1437" i="7"/>
  <c r="H825" i="7"/>
  <c r="H1098" i="7"/>
  <c r="A1114" i="7"/>
  <c r="A467" i="7"/>
  <c r="H363" i="7"/>
  <c r="F1226" i="7"/>
  <c r="A662" i="7"/>
  <c r="H1451" i="7"/>
  <c r="A852" i="7"/>
  <c r="A455" i="7"/>
  <c r="A554" i="7"/>
  <c r="H1100" i="7"/>
  <c r="A1403" i="7"/>
  <c r="G311" i="7"/>
  <c r="H1264" i="7"/>
  <c r="A1246" i="7"/>
  <c r="A1252" i="7"/>
  <c r="G1239" i="7"/>
  <c r="H290" i="7"/>
  <c r="A810" i="7"/>
  <c r="H1502" i="7"/>
  <c r="G974" i="7"/>
  <c r="H784" i="7"/>
  <c r="A388" i="7"/>
  <c r="A860" i="7"/>
  <c r="A1445" i="7"/>
  <c r="A1463" i="7"/>
  <c r="H1511" i="7"/>
  <c r="G1014" i="7"/>
  <c r="A979" i="7"/>
  <c r="A215" i="7"/>
  <c r="H947" i="7"/>
  <c r="G1317" i="7"/>
  <c r="A785" i="7"/>
  <c r="A1170" i="7"/>
  <c r="A531" i="7"/>
  <c r="H864" i="7"/>
  <c r="E1346" i="7"/>
  <c r="A806" i="7"/>
  <c r="H338" i="7"/>
  <c r="A419" i="7"/>
  <c r="E44" i="7"/>
  <c r="E70" i="7"/>
  <c r="E72" i="7"/>
  <c r="H86" i="7"/>
  <c r="G161" i="7"/>
  <c r="G44" i="7"/>
  <c r="G142" i="7"/>
  <c r="G139" i="7"/>
  <c r="A129" i="7"/>
  <c r="C110" i="7"/>
  <c r="D51" i="7"/>
  <c r="A974" i="7"/>
  <c r="A1301" i="7"/>
  <c r="E164" i="7"/>
  <c r="E78" i="7"/>
  <c r="D137" i="7"/>
  <c r="G143" i="7"/>
  <c r="G65" i="7"/>
  <c r="F109" i="7"/>
  <c r="A25" i="7"/>
  <c r="B52" i="7"/>
  <c r="A1411" i="7"/>
  <c r="A460" i="7"/>
  <c r="B103" i="7"/>
  <c r="B25" i="7"/>
  <c r="E135" i="7"/>
  <c r="F458" i="7"/>
  <c r="G792" i="7"/>
  <c r="H607" i="7"/>
  <c r="G1409" i="7"/>
  <c r="E1177" i="7"/>
  <c r="G1031" i="7"/>
  <c r="G927" i="7"/>
  <c r="G1386" i="7"/>
  <c r="F881" i="7"/>
  <c r="G1135" i="7"/>
  <c r="G1133" i="7"/>
  <c r="H503" i="7"/>
  <c r="H753" i="7"/>
  <c r="A960" i="7"/>
  <c r="A890" i="7"/>
  <c r="H993" i="7"/>
  <c r="A1064" i="7"/>
  <c r="H360" i="7"/>
  <c r="A648" i="7"/>
  <c r="F1492" i="7"/>
  <c r="F1258" i="7"/>
  <c r="G1422" i="7"/>
  <c r="A631" i="7"/>
  <c r="A857" i="7"/>
  <c r="H1377" i="7"/>
  <c r="A1480" i="7"/>
  <c r="A834" i="7"/>
  <c r="A1379" i="7"/>
  <c r="H762" i="7"/>
  <c r="H820" i="7"/>
  <c r="H888" i="7"/>
  <c r="A1416" i="7"/>
  <c r="A705" i="7"/>
  <c r="H575" i="7"/>
  <c r="A437" i="7"/>
  <c r="A1151" i="7"/>
  <c r="A840" i="7"/>
  <c r="H1328" i="7"/>
  <c r="G1503" i="7"/>
  <c r="H1433" i="7"/>
  <c r="A815" i="7"/>
  <c r="A220" i="7"/>
  <c r="G759" i="7"/>
  <c r="A817" i="7"/>
  <c r="A559" i="7"/>
  <c r="H1270" i="7"/>
  <c r="H266" i="7"/>
  <c r="A1347" i="7"/>
  <c r="H498" i="7"/>
  <c r="A420" i="7"/>
  <c r="A956" i="7"/>
  <c r="H1430" i="7"/>
  <c r="C21" i="7"/>
  <c r="D14" i="7"/>
  <c r="C73" i="7"/>
  <c r="B132" i="7"/>
  <c r="D75" i="7"/>
  <c r="A87" i="7"/>
  <c r="A696" i="7"/>
  <c r="A498" i="7"/>
  <c r="H1004" i="7"/>
  <c r="A1467" i="7"/>
  <c r="H1234" i="7"/>
  <c r="A534" i="7"/>
  <c r="A1372" i="7"/>
  <c r="A428" i="7"/>
  <c r="A663" i="7"/>
  <c r="H923" i="7"/>
  <c r="G1253" i="7"/>
  <c r="A1131" i="7"/>
  <c r="F1219" i="7"/>
  <c r="H1203" i="7"/>
  <c r="A1214" i="7"/>
  <c r="A740" i="7"/>
  <c r="A430" i="7"/>
  <c r="H922" i="7"/>
  <c r="A1210" i="7"/>
  <c r="A795" i="7"/>
  <c r="H1299" i="7"/>
  <c r="H499" i="7"/>
  <c r="A934" i="7"/>
  <c r="A637" i="7"/>
  <c r="A1068" i="7"/>
  <c r="D84" i="7"/>
  <c r="A969" i="7"/>
  <c r="A1338" i="7"/>
  <c r="A811" i="7"/>
  <c r="H1136" i="7"/>
  <c r="H531" i="7"/>
  <c r="A942" i="7"/>
  <c r="A407" i="7"/>
  <c r="H1521" i="7"/>
  <c r="A593" i="7"/>
  <c r="A1234" i="7"/>
  <c r="A587" i="7"/>
  <c r="H960" i="7"/>
  <c r="G1089" i="7"/>
  <c r="A758" i="7"/>
  <c r="A227" i="7"/>
  <c r="A332" i="7"/>
  <c r="A912" i="7"/>
  <c r="A666" i="7"/>
  <c r="H1310" i="7"/>
  <c r="A1515" i="7"/>
  <c r="G1263" i="7"/>
  <c r="H1399" i="7"/>
  <c r="A1438" i="7"/>
  <c r="H1334" i="7"/>
  <c r="H369" i="7"/>
  <c r="H1294" i="7"/>
  <c r="A922" i="7"/>
  <c r="A214" i="7"/>
  <c r="G1518" i="7"/>
  <c r="H978" i="7"/>
  <c r="A502" i="7"/>
  <c r="A1244" i="7"/>
  <c r="A1357" i="7"/>
  <c r="H872" i="7"/>
  <c r="A244" i="7"/>
  <c r="H170" i="7"/>
  <c r="A1099" i="7"/>
  <c r="F607" i="7"/>
  <c r="H1139" i="7"/>
  <c r="A543" i="7"/>
  <c r="A1169" i="7"/>
  <c r="A1290" i="7"/>
  <c r="A643" i="7"/>
  <c r="H1056" i="7"/>
  <c r="G1358" i="7"/>
  <c r="A902" i="7"/>
  <c r="G1187" i="7"/>
  <c r="A693" i="7"/>
  <c r="E156" i="7"/>
  <c r="F21" i="7"/>
  <c r="F23" i="7"/>
  <c r="G840" i="7"/>
  <c r="G734" i="7"/>
  <c r="F1339" i="7"/>
  <c r="H216" i="7"/>
  <c r="F691" i="7"/>
  <c r="G1182" i="7"/>
  <c r="G1229" i="7"/>
  <c r="G1514" i="7"/>
  <c r="G532" i="7"/>
  <c r="G1397" i="7"/>
  <c r="H205" i="7"/>
  <c r="H599" i="7"/>
  <c r="H865" i="7"/>
  <c r="A1056" i="7"/>
  <c r="A986" i="7"/>
  <c r="H1105" i="7"/>
  <c r="A1256" i="7"/>
  <c r="G1399" i="7"/>
  <c r="A768" i="7"/>
  <c r="H525" i="7"/>
  <c r="G1198" i="7"/>
  <c r="H419" i="7"/>
  <c r="A751" i="7"/>
  <c r="A1049" i="7"/>
  <c r="H1489" i="7"/>
  <c r="F1411" i="7"/>
  <c r="A930" i="7"/>
  <c r="A1475" i="7"/>
  <c r="H1022" i="7"/>
  <c r="H1278" i="7"/>
  <c r="H1112" i="7"/>
  <c r="A1512" i="7"/>
  <c r="A897" i="7"/>
  <c r="F1282" i="7"/>
  <c r="G471" i="7"/>
  <c r="A1271" i="7"/>
  <c r="A944" i="7"/>
  <c r="A286" i="7"/>
  <c r="H671" i="7"/>
  <c r="A445" i="7"/>
  <c r="A927" i="7"/>
  <c r="A370" i="7"/>
  <c r="G1413" i="7"/>
  <c r="A913" i="7"/>
  <c r="A1015" i="7"/>
  <c r="A330" i="7"/>
  <c r="H714" i="7"/>
  <c r="A1459" i="7"/>
  <c r="H834" i="7"/>
  <c r="A526" i="7"/>
  <c r="A1005" i="7"/>
  <c r="A588" i="7"/>
  <c r="C117" i="7"/>
  <c r="D110" i="7"/>
  <c r="D8" i="7"/>
  <c r="C67" i="7"/>
  <c r="F81" i="7"/>
  <c r="D91" i="7"/>
  <c r="A1112" i="7"/>
  <c r="A618" i="7"/>
  <c r="H1228" i="7"/>
  <c r="H235" i="7"/>
  <c r="F617" i="7"/>
  <c r="A630" i="7"/>
  <c r="A1133" i="7"/>
  <c r="H1504" i="7"/>
  <c r="A1119" i="7"/>
  <c r="H1296" i="7"/>
  <c r="H330" i="7"/>
  <c r="A1251" i="7"/>
  <c r="G1078" i="7"/>
  <c r="H1356" i="7"/>
  <c r="A1406" i="7"/>
  <c r="A1124" i="7"/>
  <c r="A821" i="7"/>
  <c r="A505" i="7"/>
  <c r="A1330" i="7"/>
  <c r="A915" i="7"/>
  <c r="H1428" i="7"/>
  <c r="H835" i="7"/>
  <c r="A1030" i="7"/>
  <c r="A1021" i="7"/>
  <c r="A1452" i="7"/>
  <c r="H1513" i="7"/>
  <c r="A1353" i="7"/>
  <c r="A1450" i="7"/>
  <c r="A923" i="7"/>
  <c r="H1311" i="7"/>
  <c r="H851" i="7"/>
  <c r="A1038" i="7"/>
  <c r="A804" i="7"/>
  <c r="A301" i="7"/>
  <c r="A977" i="7"/>
  <c r="A1346" i="7"/>
  <c r="A819" i="7"/>
  <c r="H1152" i="7"/>
  <c r="H179" i="7"/>
  <c r="A854" i="7"/>
  <c r="A701" i="7"/>
  <c r="H926" i="7"/>
  <c r="A1296" i="7"/>
  <c r="A778" i="7"/>
  <c r="H1470" i="7"/>
  <c r="F567" i="7"/>
  <c r="H306" i="7"/>
  <c r="A228" i="7"/>
  <c r="A302" i="7"/>
  <c r="A581" i="7"/>
  <c r="H1057" i="7"/>
  <c r="A264" i="7"/>
  <c r="A1042" i="7"/>
  <c r="A374" i="7"/>
  <c r="H491" i="7"/>
  <c r="H1170" i="7"/>
  <c r="A598" i="7"/>
  <c r="A621" i="7"/>
  <c r="A492" i="7"/>
  <c r="A584" i="7"/>
  <c r="A474" i="7"/>
  <c r="H650" i="7"/>
  <c r="A1211" i="7"/>
  <c r="G823" i="7"/>
  <c r="H1314" i="7"/>
  <c r="A1007" i="7"/>
  <c r="G1063" i="7"/>
  <c r="A1402" i="7"/>
  <c r="A755" i="7"/>
  <c r="H1386" i="7"/>
  <c r="H371" i="7"/>
  <c r="A998" i="7"/>
  <c r="H1290" i="7"/>
  <c r="A1269" i="7"/>
  <c r="B48" i="7"/>
  <c r="B74" i="7"/>
  <c r="B84" i="7"/>
  <c r="G1128" i="7"/>
  <c r="G1169" i="7"/>
  <c r="G302" i="7"/>
  <c r="H408" i="7"/>
  <c r="F1154" i="7"/>
  <c r="G1310" i="7"/>
  <c r="G1357" i="7"/>
  <c r="H295" i="7"/>
  <c r="E1450" i="7"/>
  <c r="G1525" i="7"/>
  <c r="H589" i="7"/>
  <c r="H695" i="7"/>
  <c r="H977" i="7"/>
  <c r="A1248" i="7"/>
  <c r="A1178" i="7"/>
  <c r="H1225" i="7"/>
  <c r="A1352" i="7"/>
  <c r="H305" i="7"/>
  <c r="A880" i="7"/>
  <c r="G1057" i="7"/>
  <c r="H283" i="7"/>
  <c r="H987" i="7"/>
  <c r="A863" i="7"/>
  <c r="A1145" i="7"/>
  <c r="A389" i="7"/>
  <c r="G1154" i="7"/>
  <c r="A1026" i="7"/>
  <c r="A417" i="7"/>
  <c r="G1247" i="7"/>
  <c r="A294" i="7"/>
  <c r="H1316" i="7"/>
  <c r="E1481" i="7"/>
  <c r="A1089" i="7"/>
  <c r="H273" i="7"/>
  <c r="G1402" i="7"/>
  <c r="A1383" i="7"/>
  <c r="A1040" i="7"/>
  <c r="A414" i="7"/>
  <c r="G1293" i="7"/>
  <c r="G599" i="7"/>
  <c r="A1047" i="7"/>
  <c r="A504" i="7"/>
  <c r="H418" i="7"/>
  <c r="A1009" i="7"/>
  <c r="G1326" i="7"/>
  <c r="A490" i="7"/>
  <c r="H988" i="7"/>
  <c r="F1450" i="7"/>
  <c r="H1026" i="7"/>
  <c r="A718" i="7"/>
  <c r="A1364" i="7"/>
  <c r="A972" i="7"/>
  <c r="D60" i="7"/>
  <c r="E53" i="7"/>
  <c r="D104" i="7"/>
  <c r="C163" i="7"/>
  <c r="G16" i="7"/>
  <c r="F83" i="7"/>
  <c r="A1496" i="7"/>
  <c r="A730" i="7"/>
  <c r="A267" i="7"/>
  <c r="H619" i="7"/>
  <c r="G854" i="7"/>
  <c r="A726" i="7"/>
  <c r="A1492" i="7"/>
  <c r="A620" i="7"/>
  <c r="G1454" i="7"/>
  <c r="A351" i="7"/>
  <c r="H796" i="7"/>
  <c r="A1363" i="7"/>
  <c r="H178" i="7"/>
  <c r="A186" i="7"/>
  <c r="A1502" i="7"/>
  <c r="A1508" i="7"/>
  <c r="H713" i="7"/>
  <c r="A889" i="7"/>
  <c r="A1442" i="7"/>
  <c r="A1027" i="7"/>
  <c r="A268" i="7"/>
  <c r="H1027" i="7"/>
  <c r="A1126" i="7"/>
  <c r="A1405" i="7"/>
  <c r="A1204" i="7"/>
  <c r="A293" i="7"/>
  <c r="H195" i="7"/>
  <c r="G279" i="7"/>
  <c r="F1365" i="7"/>
  <c r="E996" i="7"/>
  <c r="A337" i="7"/>
  <c r="H406" i="7"/>
  <c r="H998" i="7"/>
  <c r="G494" i="7"/>
  <c r="H1469" i="7"/>
  <c r="H1255" i="7"/>
  <c r="A177" i="7"/>
  <c r="H1167" i="7"/>
  <c r="G614" i="7"/>
  <c r="G654" i="7"/>
  <c r="H884" i="7"/>
  <c r="H1350" i="7"/>
  <c r="H1259" i="7"/>
  <c r="H1336" i="7"/>
  <c r="A190" i="7"/>
  <c r="H1457" i="7"/>
  <c r="H1034" i="7"/>
  <c r="H553" i="7"/>
  <c r="A984" i="7"/>
  <c r="H1151" i="7"/>
  <c r="H1254" i="7"/>
  <c r="H1195" i="7"/>
  <c r="A400" i="7"/>
  <c r="A481" i="7"/>
  <c r="A1122" i="7"/>
  <c r="G1495" i="7"/>
  <c r="H479" i="7"/>
  <c r="A443" i="7"/>
  <c r="H1476" i="7"/>
  <c r="G1327" i="7"/>
  <c r="A1185" i="7"/>
  <c r="H385" i="7"/>
  <c r="H442" i="7"/>
  <c r="E839" i="7"/>
  <c r="A1232" i="7"/>
  <c r="A521" i="7"/>
  <c r="H393" i="7"/>
  <c r="G1445" i="7"/>
  <c r="A1159" i="7"/>
  <c r="A624" i="7"/>
  <c r="H794" i="7"/>
  <c r="A1105" i="7"/>
  <c r="H1080" i="7"/>
  <c r="A610" i="7"/>
  <c r="H1212" i="7"/>
  <c r="G1127" i="7"/>
  <c r="F402" i="7"/>
  <c r="A814" i="7"/>
  <c r="A541" i="7"/>
  <c r="A1356" i="7"/>
  <c r="B31" i="7"/>
  <c r="E149" i="7"/>
  <c r="E47" i="7"/>
  <c r="D98" i="7"/>
  <c r="G112" i="7"/>
  <c r="G18" i="7"/>
  <c r="G247" i="7"/>
  <c r="A962" i="7"/>
  <c r="A427" i="7"/>
  <c r="H896" i="7"/>
  <c r="G1443" i="7"/>
  <c r="A822" i="7"/>
  <c r="A573" i="7"/>
  <c r="A1004" i="7"/>
  <c r="H1280" i="7"/>
  <c r="A514" i="7"/>
  <c r="H1020" i="7"/>
  <c r="A1483" i="7"/>
  <c r="H866" i="7"/>
  <c r="A314" i="7"/>
  <c r="H1387" i="7"/>
  <c r="A451" i="7"/>
  <c r="H1401" i="7"/>
  <c r="A1273" i="7"/>
  <c r="G1295" i="7"/>
  <c r="A1139" i="7"/>
  <c r="F1347" i="7"/>
  <c r="H1219" i="7"/>
  <c r="A1222" i="7"/>
  <c r="A772" i="7"/>
  <c r="A469" i="7"/>
  <c r="H804" i="7"/>
  <c r="H1051" i="7"/>
  <c r="G736" i="7"/>
  <c r="H276" i="7"/>
  <c r="H774" i="7"/>
  <c r="G487" i="7"/>
  <c r="H167" i="7"/>
  <c r="E1449" i="7"/>
  <c r="A425" i="7"/>
  <c r="F1243" i="7"/>
  <c r="A433" i="7"/>
  <c r="F853" i="7"/>
  <c r="G1095" i="7"/>
  <c r="G1111" i="7"/>
  <c r="H1326" i="7"/>
  <c r="A307" i="7"/>
  <c r="A224" i="7"/>
  <c r="A187" i="7"/>
  <c r="A446" i="7"/>
  <c r="F454" i="7"/>
  <c r="H1371" i="7"/>
  <c r="H777" i="7"/>
  <c r="A1176" i="7"/>
  <c r="G1101" i="7"/>
  <c r="A274" i="7"/>
  <c r="H1479" i="7"/>
  <c r="A759" i="7"/>
  <c r="A673" i="7"/>
  <c r="H956" i="7"/>
  <c r="H345" i="7"/>
  <c r="H265" i="7"/>
  <c r="A799" i="7"/>
  <c r="A488" i="7"/>
  <c r="H954" i="7"/>
  <c r="A1473" i="7"/>
  <c r="H617" i="7"/>
  <c r="H1076" i="7"/>
  <c r="H904" i="7"/>
  <c r="A1424" i="7"/>
  <c r="A809" i="7"/>
  <c r="H625" i="7"/>
  <c r="H868" i="7"/>
  <c r="A1391" i="7"/>
  <c r="A856" i="7"/>
  <c r="H1178" i="7"/>
  <c r="A1393" i="7"/>
  <c r="A1104" i="7"/>
  <c r="A842" i="7"/>
  <c r="A416" i="7"/>
  <c r="H880" i="7"/>
  <c r="H403" i="7"/>
  <c r="A1006" i="7"/>
  <c r="A1309" i="7"/>
  <c r="A820" i="7"/>
  <c r="C70" i="7"/>
  <c r="B137" i="7"/>
  <c r="B43" i="7"/>
  <c r="E129" i="7"/>
  <c r="H151" i="7"/>
  <c r="H1289" i="7"/>
  <c r="A489" i="7"/>
  <c r="A1194" i="7"/>
  <c r="A659" i="7"/>
  <c r="H1274" i="7"/>
  <c r="H803" i="7"/>
  <c r="A1014" i="7"/>
  <c r="A1341" i="7"/>
  <c r="A813" i="7"/>
  <c r="A704" i="7"/>
  <c r="A746" i="7"/>
  <c r="A288" i="7"/>
  <c r="H267" i="7"/>
  <c r="H1250" i="7"/>
  <c r="A542" i="7"/>
  <c r="A1020" i="7"/>
  <c r="A1221" i="7"/>
  <c r="H787" i="7"/>
  <c r="H1372" i="7"/>
  <c r="H812" i="7"/>
  <c r="A1371" i="7"/>
  <c r="H210" i="7"/>
  <c r="A196" i="7"/>
  <c r="A1510" i="7"/>
  <c r="A485" i="7"/>
  <c r="A1237" i="7"/>
  <c r="A1231" i="7"/>
  <c r="A372" i="7"/>
  <c r="H828" i="7"/>
  <c r="A1387" i="7"/>
  <c r="G1178" i="7"/>
  <c r="H1506" i="7"/>
  <c r="A1422" i="7"/>
  <c r="A685" i="7"/>
  <c r="H411" i="7"/>
  <c r="A383" i="7"/>
  <c r="H844" i="7"/>
  <c r="A1275" i="7"/>
  <c r="G183" i="7"/>
  <c r="H1251" i="7"/>
  <c r="A1238" i="7"/>
  <c r="A836" i="7"/>
  <c r="A405" i="7"/>
  <c r="A1369" i="7"/>
  <c r="A1354" i="7"/>
  <c r="A715" i="7"/>
  <c r="H976" i="7"/>
  <c r="F1354" i="7"/>
  <c r="A670" i="7"/>
  <c r="A343" i="7"/>
  <c r="A1012" i="7"/>
  <c r="A903" i="7"/>
  <c r="H643" i="7"/>
  <c r="A1498" i="7"/>
  <c r="A851" i="7"/>
  <c r="H1492" i="7"/>
  <c r="H691" i="7"/>
  <c r="A1078" i="7"/>
  <c r="A884" i="7"/>
  <c r="H473" i="7"/>
  <c r="H1307" i="7"/>
  <c r="A938" i="7"/>
  <c r="H1512" i="7"/>
  <c r="G1025" i="7"/>
  <c r="H994" i="7"/>
  <c r="A510" i="7"/>
  <c r="A1024" i="7"/>
  <c r="A482" i="7"/>
  <c r="H682" i="7"/>
  <c r="A1331" i="7"/>
  <c r="G914" i="7"/>
  <c r="H1324" i="7"/>
  <c r="A1382" i="7"/>
  <c r="A1212" i="7"/>
  <c r="C29" i="7"/>
  <c r="D158" i="7"/>
  <c r="E15" i="7"/>
  <c r="E17" i="7"/>
  <c r="H47" i="7"/>
  <c r="G114" i="7"/>
  <c r="F110" i="7"/>
  <c r="A152" i="7"/>
  <c r="A131" i="7"/>
  <c r="H475" i="7"/>
  <c r="B156" i="7"/>
  <c r="F745" i="7"/>
  <c r="A1509" i="7"/>
  <c r="D116" i="7"/>
  <c r="E117" i="7"/>
  <c r="E23" i="7"/>
  <c r="D82" i="7"/>
  <c r="G104" i="7"/>
  <c r="G26" i="7"/>
  <c r="F118" i="7"/>
  <c r="A148" i="7"/>
  <c r="H58" i="7"/>
  <c r="A990" i="7"/>
  <c r="A557" i="7"/>
  <c r="B64" i="7"/>
  <c r="F37" i="7"/>
  <c r="G872" i="7"/>
  <c r="H484" i="7"/>
  <c r="H1062" i="7"/>
  <c r="G871" i="7"/>
  <c r="H359" i="7"/>
  <c r="F777" i="7"/>
  <c r="F1075" i="7"/>
  <c r="G206" i="7"/>
  <c r="F531" i="7"/>
  <c r="G238" i="7"/>
  <c r="G1235" i="7"/>
  <c r="G1249" i="7"/>
  <c r="A176" i="7"/>
  <c r="A435" i="7"/>
  <c r="A352" i="7"/>
  <c r="A347" i="7"/>
  <c r="A545" i="7"/>
  <c r="G930" i="7"/>
  <c r="H1499" i="7"/>
  <c r="H1009" i="7"/>
  <c r="A1368" i="7"/>
  <c r="G1474" i="7"/>
  <c r="A434" i="7"/>
  <c r="A180" i="7"/>
  <c r="A871" i="7"/>
  <c r="A769" i="7"/>
  <c r="H1148" i="7"/>
  <c r="H465" i="7"/>
  <c r="H1065" i="7"/>
  <c r="A911" i="7"/>
  <c r="A600" i="7"/>
  <c r="H1318" i="7"/>
  <c r="F1418" i="7"/>
  <c r="H729" i="7"/>
  <c r="H1454" i="7"/>
  <c r="H1128" i="7"/>
  <c r="F181" i="7"/>
  <c r="A1001" i="7"/>
  <c r="H745" i="7"/>
  <c r="H1092" i="7"/>
  <c r="A1503" i="7"/>
  <c r="A952" i="7"/>
  <c r="H1467" i="7"/>
  <c r="A1489" i="7"/>
  <c r="A1488" i="7"/>
  <c r="A1066" i="7"/>
  <c r="A539" i="7"/>
  <c r="H1260" i="7"/>
  <c r="H786" i="7"/>
  <c r="A1102" i="7"/>
  <c r="A676" i="7"/>
  <c r="A344" i="7"/>
  <c r="D13" i="7"/>
  <c r="C72" i="7"/>
  <c r="B139" i="7"/>
  <c r="C68" i="7"/>
  <c r="D83" i="7"/>
  <c r="H346" i="7"/>
  <c r="A873" i="7"/>
  <c r="A1306" i="7"/>
  <c r="A779" i="7"/>
  <c r="H1407" i="7"/>
  <c r="H995" i="7"/>
  <c r="A1110" i="7"/>
  <c r="A238" i="7"/>
  <c r="A980" i="7"/>
  <c r="A1120" i="7"/>
  <c r="A970" i="7"/>
  <c r="A438" i="7"/>
  <c r="H651" i="7"/>
  <c r="F787" i="7"/>
  <c r="A638" i="7"/>
  <c r="A1436" i="7"/>
  <c r="H1355" i="7"/>
  <c r="A671" i="7"/>
  <c r="A362" i="7"/>
  <c r="H1036" i="7"/>
  <c r="A1491" i="7"/>
  <c r="H882" i="7"/>
  <c r="A324" i="7"/>
  <c r="H1472" i="7"/>
  <c r="A869" i="7"/>
  <c r="A604" i="7"/>
  <c r="H1306" i="7"/>
  <c r="A530" i="7"/>
  <c r="H1052" i="7"/>
  <c r="A1499" i="7"/>
  <c r="H242" i="7"/>
  <c r="A207" i="7"/>
  <c r="A700" i="7"/>
  <c r="A724" i="7"/>
  <c r="H1434" i="7"/>
  <c r="A538" i="7"/>
  <c r="H1084" i="7"/>
  <c r="A1395" i="7"/>
  <c r="G1221" i="7"/>
  <c r="H1388" i="7"/>
  <c r="A1334" i="7"/>
  <c r="A1220" i="7"/>
  <c r="H1028" i="7"/>
  <c r="H515" i="7"/>
  <c r="A1474" i="7"/>
  <c r="A827" i="7"/>
  <c r="H1168" i="7"/>
  <c r="G1141" i="7"/>
  <c r="A766" i="7"/>
  <c r="A312" i="7"/>
  <c r="A375" i="7"/>
  <c r="A1367" i="7"/>
  <c r="H1227" i="7"/>
  <c r="F557" i="7"/>
  <c r="A1083" i="7"/>
  <c r="A204" i="7"/>
  <c r="H931" i="7"/>
  <c r="A1174" i="7"/>
  <c r="A580" i="7"/>
  <c r="H1161" i="7"/>
  <c r="A371" i="7"/>
  <c r="A1050" i="7"/>
  <c r="A235" i="7"/>
  <c r="H523" i="7"/>
  <c r="H1186" i="7"/>
  <c r="A702" i="7"/>
  <c r="A1408" i="7"/>
  <c r="A594" i="7"/>
  <c r="H972" i="7"/>
  <c r="A1451" i="7"/>
  <c r="G1477" i="7"/>
  <c r="H1452" i="7"/>
  <c r="A1478" i="7"/>
  <c r="A1236" i="7"/>
  <c r="C149" i="7"/>
  <c r="E1157" i="7"/>
  <c r="G364" i="7"/>
  <c r="G399" i="7"/>
  <c r="F882" i="7"/>
  <c r="H1025" i="7"/>
  <c r="H918" i="7"/>
  <c r="H454" i="7"/>
  <c r="H560" i="7"/>
  <c r="H462" i="7"/>
  <c r="H472" i="7"/>
  <c r="H950" i="7"/>
  <c r="F990" i="7"/>
  <c r="A1399" i="7"/>
  <c r="A1401" i="7"/>
  <c r="A1435" i="7"/>
  <c r="F830" i="7"/>
  <c r="E1040" i="7"/>
  <c r="A847" i="7"/>
  <c r="A1225" i="7"/>
  <c r="H634" i="7"/>
  <c r="A211" i="7"/>
  <c r="H1361" i="7"/>
  <c r="F1283" i="7"/>
  <c r="G1473" i="7"/>
  <c r="H808" i="7"/>
  <c r="G1507" i="7"/>
  <c r="H1320" i="7"/>
  <c r="H809" i="7"/>
  <c r="H1185" i="7"/>
  <c r="A1143" i="7"/>
  <c r="A720" i="7"/>
  <c r="H1446" i="7"/>
  <c r="G1166" i="7"/>
  <c r="H849" i="7"/>
  <c r="A463" i="7"/>
  <c r="H1338" i="7"/>
  <c r="G631" i="7"/>
  <c r="A1097" i="7"/>
  <c r="H857" i="7"/>
  <c r="H1315" i="7"/>
  <c r="F466" i="7"/>
  <c r="A1048" i="7"/>
  <c r="A168" i="7"/>
  <c r="G278" i="7"/>
  <c r="H1424" i="7"/>
  <c r="A1186" i="7"/>
  <c r="A651" i="7"/>
  <c r="H1396" i="7"/>
  <c r="H979" i="7"/>
  <c r="A1198" i="7"/>
  <c r="A1060" i="7"/>
  <c r="A757" i="7"/>
  <c r="D109" i="7"/>
  <c r="D15" i="7"/>
  <c r="C74" i="7"/>
  <c r="F160" i="7"/>
  <c r="F82" i="7"/>
  <c r="A655" i="7"/>
  <c r="A1257" i="7"/>
  <c r="A1426" i="7"/>
  <c r="A891" i="7"/>
  <c r="A247" i="7"/>
  <c r="H1187" i="7"/>
  <c r="A1206" i="7"/>
  <c r="A708" i="7"/>
  <c r="A387" i="7"/>
  <c r="G375" i="7"/>
  <c r="A1090" i="7"/>
  <c r="A555" i="7"/>
  <c r="H912" i="7"/>
  <c r="G929" i="7"/>
  <c r="A734" i="7"/>
  <c r="A1293" i="7"/>
  <c r="A500" i="7"/>
  <c r="A1135" i="7"/>
  <c r="A522" i="7"/>
  <c r="H1272" i="7"/>
  <c r="G1262" i="7"/>
  <c r="H1074" i="7"/>
  <c r="A452" i="7"/>
  <c r="A668" i="7"/>
  <c r="A1253" i="7"/>
  <c r="A1453" i="7"/>
  <c r="A316" i="7"/>
  <c r="A650" i="7"/>
  <c r="H1284" i="7"/>
  <c r="E1210" i="7"/>
  <c r="H626" i="7"/>
  <c r="A462" i="7"/>
  <c r="A1084" i="7"/>
  <c r="A259" i="7"/>
  <c r="A327" i="7"/>
  <c r="A658" i="7"/>
  <c r="H1298" i="7"/>
  <c r="A1507" i="7"/>
  <c r="H274" i="7"/>
  <c r="H1516" i="7"/>
  <c r="A1430" i="7"/>
  <c r="A376" i="7"/>
  <c r="A791" i="7"/>
  <c r="H1083" i="7"/>
  <c r="G535" i="7"/>
  <c r="A939" i="7"/>
  <c r="H1332" i="7"/>
  <c r="H211" i="7"/>
  <c r="A862" i="7"/>
  <c r="A733" i="7"/>
  <c r="A780" i="7"/>
  <c r="G246" i="7"/>
  <c r="H1500" i="7"/>
  <c r="H618" i="7"/>
  <c r="A1203" i="7"/>
  <c r="F382" i="7"/>
  <c r="H1123" i="7"/>
  <c r="A1270" i="7"/>
  <c r="A964" i="7"/>
  <c r="G1231" i="7"/>
  <c r="A777" i="7"/>
  <c r="A1162" i="7"/>
  <c r="A384" i="7"/>
  <c r="H848" i="7"/>
  <c r="G470" i="7"/>
  <c r="A798" i="7"/>
  <c r="E853" i="7"/>
  <c r="A714" i="7"/>
  <c r="H1196" i="7"/>
  <c r="F1322" i="7"/>
  <c r="H466" i="7"/>
  <c r="A282" i="7"/>
  <c r="A1457" i="7"/>
  <c r="A1245" i="7"/>
  <c r="D108" i="7"/>
  <c r="H1263" i="7"/>
  <c r="H552" i="7"/>
  <c r="H497" i="7"/>
  <c r="A722" i="7"/>
  <c r="G935" i="7"/>
  <c r="G1219" i="7"/>
  <c r="A1156" i="7"/>
  <c r="H1043" i="7"/>
  <c r="A1361" i="7"/>
  <c r="H563" i="7"/>
  <c r="H1114" i="7"/>
  <c r="H930" i="7"/>
  <c r="F1507" i="7"/>
  <c r="H832" i="7"/>
  <c r="H1461" i="7"/>
  <c r="A1323" i="7"/>
  <c r="H859" i="7"/>
  <c r="H755" i="7"/>
  <c r="B152" i="7"/>
  <c r="C27" i="7"/>
  <c r="A110" i="7"/>
  <c r="A10" i="7"/>
  <c r="A153" i="7"/>
  <c r="G43" i="7"/>
  <c r="E90" i="7"/>
  <c r="A1277" i="7"/>
  <c r="C46" i="7"/>
  <c r="C25" i="7"/>
  <c r="E137" i="7"/>
  <c r="A63" i="7"/>
  <c r="H100" i="7"/>
  <c r="G108" i="7"/>
  <c r="A1308" i="7"/>
  <c r="D117" i="7"/>
  <c r="C33" i="7"/>
  <c r="D90" i="7"/>
  <c r="G120" i="7"/>
  <c r="G34" i="7"/>
  <c r="E107" i="7"/>
  <c r="H42" i="7"/>
  <c r="B157" i="7"/>
  <c r="A1034" i="7"/>
  <c r="A398" i="7"/>
  <c r="D20" i="7"/>
  <c r="E29" i="7"/>
  <c r="D88" i="7"/>
  <c r="C155" i="7"/>
  <c r="G24" i="7"/>
  <c r="F99" i="7"/>
  <c r="A130" i="7"/>
  <c r="E82" i="7"/>
  <c r="G83" i="7"/>
  <c r="A472" i="7"/>
  <c r="A590" i="7"/>
  <c r="A1261" i="7"/>
  <c r="D29" i="7"/>
  <c r="C96" i="7"/>
  <c r="C10" i="7"/>
  <c r="E19" i="7"/>
  <c r="B77" i="7"/>
  <c r="A24" i="7"/>
  <c r="H28" i="7"/>
  <c r="D35" i="7"/>
  <c r="D32" i="7"/>
  <c r="H1115" i="7"/>
  <c r="A1086" i="7"/>
  <c r="A291" i="7"/>
  <c r="D141" i="7"/>
  <c r="D55" i="7"/>
  <c r="C122" i="7"/>
  <c r="F120" i="7"/>
  <c r="F42" i="7"/>
  <c r="B37" i="7"/>
  <c r="H132" i="7"/>
  <c r="D59" i="7"/>
  <c r="H140" i="7"/>
  <c r="B112" i="7"/>
  <c r="A159" i="7"/>
  <c r="A947" i="7"/>
  <c r="A997" i="7"/>
  <c r="D44" i="7"/>
  <c r="E61" i="7"/>
  <c r="D120" i="7"/>
  <c r="D26" i="7"/>
  <c r="G48" i="7"/>
  <c r="F123" i="7"/>
  <c r="F124" i="7"/>
  <c r="A895" i="7"/>
  <c r="G439" i="7"/>
  <c r="A1484" i="7"/>
  <c r="C102" i="7"/>
  <c r="C16" i="7"/>
  <c r="B91" i="7"/>
  <c r="F24" i="7"/>
  <c r="A62" i="7"/>
  <c r="H105" i="7"/>
  <c r="G109" i="7"/>
  <c r="A65" i="7"/>
  <c r="A1312" i="7"/>
  <c r="H1323" i="7"/>
  <c r="A876" i="7"/>
  <c r="D69" i="7"/>
  <c r="C136" i="7"/>
  <c r="C50" i="7"/>
  <c r="F34" i="7"/>
  <c r="D19" i="7"/>
  <c r="A64" i="7"/>
  <c r="H68" i="7"/>
  <c r="G158" i="7"/>
  <c r="E12" i="7"/>
  <c r="F1290" i="7"/>
  <c r="A878" i="7"/>
  <c r="A1404" i="7"/>
  <c r="B24" i="7"/>
  <c r="E158" i="7"/>
  <c r="E56" i="7"/>
  <c r="H70" i="7"/>
  <c r="G145" i="7"/>
  <c r="G28" i="7"/>
  <c r="G78" i="7"/>
  <c r="G11" i="7"/>
  <c r="G64" i="7"/>
  <c r="H1491" i="7"/>
  <c r="A900" i="7"/>
  <c r="D100" i="7"/>
  <c r="E101" i="7"/>
  <c r="D160" i="7"/>
  <c r="D66" i="7"/>
  <c r="G88" i="7"/>
  <c r="F163" i="7"/>
  <c r="E11" i="7"/>
  <c r="G118" i="7"/>
  <c r="E502" i="7"/>
  <c r="A138" i="7"/>
  <c r="A1314" i="7"/>
  <c r="F67" i="7"/>
  <c r="F116" i="7"/>
  <c r="E74" i="7"/>
  <c r="D125" i="7"/>
  <c r="H116" i="7"/>
  <c r="C31" i="7"/>
  <c r="G126" i="7"/>
  <c r="H1494" i="7"/>
  <c r="D139" i="7"/>
  <c r="D42" i="7"/>
  <c r="C130" i="7"/>
  <c r="A796" i="7"/>
  <c r="G100" i="7"/>
  <c r="B154" i="7"/>
  <c r="B21" i="7"/>
  <c r="G80" i="7"/>
  <c r="A1460" i="7"/>
  <c r="A19" i="7"/>
  <c r="A918" i="7"/>
  <c r="A1035" i="7"/>
  <c r="A764" i="7"/>
  <c r="A987" i="7"/>
  <c r="G157" i="7"/>
  <c r="E80" i="7"/>
  <c r="B129" i="7"/>
  <c r="A139" i="7"/>
  <c r="D49" i="7"/>
  <c r="G163" i="7"/>
  <c r="C49" i="7"/>
  <c r="A132" i="7"/>
  <c r="G937" i="7"/>
  <c r="H1412" i="7"/>
  <c r="H836" i="7"/>
  <c r="H1384" i="7"/>
  <c r="H1435" i="7"/>
  <c r="H1058" i="7"/>
  <c r="A853" i="7"/>
  <c r="H1235" i="7"/>
  <c r="H1067" i="7"/>
  <c r="H867" i="7"/>
  <c r="A601" i="7"/>
  <c r="H1122" i="7"/>
  <c r="H1411" i="7"/>
  <c r="H1024" i="7"/>
  <c r="G1110" i="7"/>
  <c r="A1443" i="7"/>
  <c r="H1258" i="7"/>
  <c r="H963" i="7"/>
  <c r="C103" i="7"/>
  <c r="C131" i="7"/>
  <c r="F114" i="7"/>
  <c r="A106" i="7"/>
  <c r="G67" i="7"/>
  <c r="A33" i="7"/>
  <c r="E162" i="7"/>
  <c r="A996" i="7"/>
  <c r="D101" i="7"/>
  <c r="C129" i="7"/>
  <c r="F88" i="7"/>
  <c r="C156" i="7"/>
  <c r="H34" i="7"/>
  <c r="G117" i="7"/>
  <c r="A1028" i="7"/>
  <c r="E68" i="7"/>
  <c r="D80" i="7"/>
  <c r="E41" i="7"/>
  <c r="H71" i="7"/>
  <c r="G130" i="7"/>
  <c r="F126" i="7"/>
  <c r="B53" i="7"/>
  <c r="H1312" i="7"/>
  <c r="H554" i="7"/>
  <c r="A1284" i="7"/>
  <c r="D132" i="7"/>
  <c r="E133" i="7"/>
  <c r="E39" i="7"/>
  <c r="D106" i="7"/>
  <c r="G128" i="7"/>
  <c r="G42" i="7"/>
  <c r="E139" i="7"/>
  <c r="H74" i="7"/>
  <c r="A674" i="7"/>
  <c r="H1099" i="7"/>
  <c r="A1070" i="7"/>
  <c r="A206" i="7"/>
  <c r="D133" i="7"/>
  <c r="D47" i="7"/>
  <c r="C114" i="7"/>
  <c r="F112" i="7"/>
  <c r="F10" i="7"/>
  <c r="A120" i="7"/>
  <c r="H124" i="7"/>
  <c r="C100" i="7"/>
  <c r="D146" i="7"/>
  <c r="A458" i="7"/>
  <c r="A1470" i="7"/>
  <c r="A981" i="7"/>
  <c r="E92" i="7"/>
  <c r="D159" i="7"/>
  <c r="D65" i="7"/>
  <c r="G71" i="7"/>
  <c r="F154" i="7"/>
  <c r="F25" i="7"/>
  <c r="A67" i="7"/>
  <c r="H53" i="7"/>
  <c r="A75" i="7"/>
  <c r="B81" i="7"/>
  <c r="F55" i="7"/>
  <c r="G1433" i="7"/>
  <c r="A1485" i="7"/>
  <c r="B39" i="7"/>
  <c r="F12" i="7"/>
  <c r="E71" i="7"/>
  <c r="D130" i="7"/>
  <c r="G152" i="7"/>
  <c r="G66" i="7"/>
  <c r="A28" i="7"/>
  <c r="A928" i="7"/>
  <c r="H1154" i="7"/>
  <c r="A386" i="7"/>
  <c r="D53" i="7"/>
  <c r="C120" i="7"/>
  <c r="C34" i="7"/>
  <c r="E115" i="7"/>
  <c r="C84" i="7"/>
  <c r="A48" i="7"/>
  <c r="H52" i="7"/>
  <c r="F140" i="7"/>
  <c r="H258" i="7"/>
  <c r="H1091" i="7"/>
  <c r="A692" i="7"/>
  <c r="E20" i="7"/>
  <c r="D87" i="7"/>
  <c r="C154" i="7"/>
  <c r="F152" i="7"/>
  <c r="F90" i="7"/>
  <c r="D43" i="7"/>
  <c r="H164" i="7"/>
  <c r="F111" i="7"/>
  <c r="D79" i="7"/>
  <c r="A786" i="7"/>
  <c r="A1262" i="7"/>
  <c r="A468" i="7"/>
  <c r="B136" i="7"/>
  <c r="B58" i="7"/>
  <c r="E160" i="7"/>
  <c r="A21" i="7"/>
  <c r="H88" i="7"/>
  <c r="G124" i="7"/>
  <c r="A134" i="7"/>
  <c r="E146" i="7"/>
  <c r="A23" i="7"/>
  <c r="A499" i="7"/>
  <c r="A1413" i="7"/>
  <c r="B79" i="7"/>
  <c r="F52" i="7"/>
  <c r="E111" i="7"/>
  <c r="E9" i="7"/>
  <c r="H39" i="7"/>
  <c r="G106" i="7"/>
  <c r="F102" i="7"/>
  <c r="A144" i="7"/>
  <c r="A1343" i="7"/>
  <c r="F79" i="7"/>
  <c r="H678" i="7"/>
  <c r="A189" i="7"/>
  <c r="A1326" i="7"/>
  <c r="A1142" i="7"/>
  <c r="A574" i="7"/>
  <c r="H307" i="7"/>
  <c r="H234" i="7"/>
  <c r="A27" i="7"/>
  <c r="A619" i="7"/>
  <c r="A96" i="7"/>
  <c r="D41" i="7"/>
  <c r="G131" i="7"/>
  <c r="C106" i="7"/>
  <c r="A835" i="7"/>
  <c r="A69" i="7"/>
  <c r="C143" i="7"/>
  <c r="A140" i="7"/>
  <c r="D149" i="7"/>
  <c r="B146" i="7"/>
  <c r="E128" i="7"/>
  <c r="A892" i="7"/>
  <c r="H51" i="7"/>
  <c r="D92" i="7"/>
  <c r="D156" i="7"/>
  <c r="A164" i="7"/>
  <c r="D17" i="7"/>
  <c r="G35" i="7"/>
  <c r="H1486" i="7"/>
  <c r="A1085" i="7"/>
  <c r="A378" i="7"/>
  <c r="B8" i="7"/>
  <c r="G148" i="7"/>
  <c r="D145" i="7"/>
  <c r="C148" i="7"/>
  <c r="G55" i="7"/>
  <c r="A1523" i="7"/>
  <c r="G958" i="7"/>
  <c r="H1351" i="7"/>
  <c r="G881" i="7"/>
  <c r="H587" i="7"/>
  <c r="A1074" i="7"/>
  <c r="A442" i="7"/>
  <c r="A767" i="7"/>
  <c r="H1378" i="7"/>
  <c r="H1394" i="7"/>
  <c r="H1059" i="7"/>
  <c r="A985" i="7"/>
  <c r="H1300" i="7"/>
  <c r="A432" i="7"/>
  <c r="H1216" i="7"/>
  <c r="G1517" i="7"/>
  <c r="F1194" i="7"/>
  <c r="A255" i="7"/>
  <c r="H1155" i="7"/>
  <c r="D54" i="7"/>
  <c r="D74" i="7"/>
  <c r="H104" i="7"/>
  <c r="E43" i="7"/>
  <c r="F84" i="7"/>
  <c r="G134" i="7"/>
  <c r="G147" i="7"/>
  <c r="A323" i="7"/>
  <c r="B56" i="7"/>
  <c r="D72" i="7"/>
  <c r="H94" i="7"/>
  <c r="F75" i="7"/>
  <c r="H10" i="7"/>
  <c r="G22" i="7"/>
  <c r="A1196" i="7"/>
  <c r="F11" i="7"/>
  <c r="B51" i="7"/>
  <c r="E145" i="7"/>
  <c r="A22" i="7"/>
  <c r="H65" i="7"/>
  <c r="G69" i="7"/>
  <c r="H45" i="7"/>
  <c r="A1077" i="7"/>
  <c r="A731" i="7"/>
  <c r="A645" i="7"/>
  <c r="B111" i="7"/>
  <c r="B33" i="7"/>
  <c r="E151" i="7"/>
  <c r="E49" i="7"/>
  <c r="H79" i="7"/>
  <c r="G138" i="7"/>
  <c r="F134" i="7"/>
  <c r="C36" i="7"/>
  <c r="A548" i="7"/>
  <c r="A426" i="7"/>
  <c r="A1454" i="7"/>
  <c r="A949" i="7"/>
  <c r="E84" i="7"/>
  <c r="D151" i="7"/>
  <c r="D57" i="7"/>
  <c r="G63" i="7"/>
  <c r="F146" i="7"/>
  <c r="E138" i="7"/>
  <c r="A59" i="7"/>
  <c r="H21" i="7"/>
  <c r="A70" i="7"/>
  <c r="A1146" i="7"/>
  <c r="A476" i="7"/>
  <c r="A1429" i="7"/>
  <c r="F35" i="7"/>
  <c r="E110" i="7"/>
  <c r="E8" i="7"/>
  <c r="H22" i="7"/>
  <c r="G97" i="7"/>
  <c r="F141" i="7"/>
  <c r="F92" i="7"/>
  <c r="A163" i="7"/>
  <c r="A20" i="7"/>
  <c r="E134" i="7"/>
  <c r="H361" i="7"/>
  <c r="H1354" i="7"/>
  <c r="A748" i="7"/>
  <c r="B143" i="7"/>
  <c r="B65" i="7"/>
  <c r="F22" i="7"/>
  <c r="E73" i="7"/>
  <c r="H103" i="7"/>
  <c r="G162" i="7"/>
  <c r="E131" i="7"/>
  <c r="A681" i="7"/>
  <c r="H899" i="7"/>
  <c r="A533" i="7"/>
  <c r="D157" i="7"/>
  <c r="D71" i="7"/>
  <c r="C138" i="7"/>
  <c r="F136" i="7"/>
  <c r="F66" i="7"/>
  <c r="C44" i="7"/>
  <c r="H148" i="7"/>
  <c r="F33" i="7"/>
  <c r="A1065" i="7"/>
  <c r="A239" i="7"/>
  <c r="A597" i="7"/>
  <c r="E124" i="7"/>
  <c r="E38" i="7"/>
  <c r="D97" i="7"/>
  <c r="G111" i="7"/>
  <c r="G33" i="7"/>
  <c r="F77" i="7"/>
  <c r="A99" i="7"/>
  <c r="A9" i="7"/>
  <c r="C42" i="7"/>
  <c r="A1482" i="7"/>
  <c r="A924" i="7"/>
  <c r="B46" i="7"/>
  <c r="C87" i="7"/>
  <c r="B162" i="7"/>
  <c r="B68" i="7"/>
  <c r="A125" i="7"/>
  <c r="A39" i="7"/>
  <c r="H59" i="7"/>
  <c r="D163" i="7"/>
  <c r="H122" i="7"/>
  <c r="H43" i="7"/>
  <c r="A1195" i="7"/>
  <c r="H1344" i="7"/>
  <c r="C30" i="7"/>
  <c r="B105" i="7"/>
  <c r="B19" i="7"/>
  <c r="E113" i="7"/>
  <c r="H143" i="7"/>
  <c r="H41" i="7"/>
  <c r="G45" i="7"/>
  <c r="G123" i="7"/>
  <c r="A1067" i="7"/>
  <c r="BY4" i="11"/>
  <c r="A8" i="7" s="1"/>
  <c r="H1523" i="7"/>
  <c r="H426" i="7"/>
  <c r="H458" i="7"/>
  <c r="A1130" i="7"/>
  <c r="A1465" i="7"/>
  <c r="H322" i="7"/>
  <c r="A1286" i="7"/>
  <c r="A844" i="7"/>
  <c r="F57" i="7"/>
  <c r="A885" i="7"/>
  <c r="A43" i="7"/>
  <c r="D39" i="7"/>
  <c r="E144" i="7"/>
  <c r="B12" i="7"/>
  <c r="A1531" i="7"/>
  <c r="A103" i="7"/>
  <c r="H659" i="7"/>
  <c r="F58" i="7"/>
  <c r="A1325" i="7"/>
  <c r="H150" i="7"/>
  <c r="A52" i="7"/>
  <c r="B38" i="7"/>
  <c r="A117" i="7"/>
  <c r="A162" i="7"/>
  <c r="A644" i="7"/>
  <c r="D58" i="7"/>
  <c r="G86" i="7"/>
  <c r="E36" i="7"/>
  <c r="F106" i="7"/>
  <c r="D22" i="7"/>
  <c r="F1530" i="7"/>
  <c r="A1154" i="7"/>
  <c r="A37" i="7"/>
  <c r="A461" i="7"/>
  <c r="F915" i="7"/>
  <c r="F117" i="7"/>
  <c r="A917" i="7"/>
  <c r="E106" i="7"/>
  <c r="B110" i="7"/>
  <c r="G1036" i="7"/>
  <c r="H1108" i="7"/>
  <c r="A527" i="7"/>
  <c r="A1328" i="7"/>
  <c r="G1401" i="7"/>
  <c r="A547" i="7"/>
  <c r="A636" i="7"/>
  <c r="H1383" i="7"/>
  <c r="A1134" i="7"/>
  <c r="G407" i="7"/>
  <c r="A950" i="7"/>
  <c r="A898" i="7"/>
  <c r="A356" i="7"/>
  <c r="A697" i="7"/>
  <c r="D1013" i="7"/>
  <c r="A1016" i="7"/>
  <c r="G1434" i="7"/>
  <c r="A1522" i="7"/>
  <c r="A1094" i="7"/>
  <c r="E109" i="7"/>
  <c r="E121" i="7"/>
  <c r="A55" i="7"/>
  <c r="G53" i="7"/>
  <c r="A12" i="7"/>
  <c r="A342" i="7"/>
  <c r="H149" i="7"/>
  <c r="A418" i="7"/>
  <c r="B160" i="7"/>
  <c r="E127" i="7"/>
  <c r="A45" i="7"/>
  <c r="G122" i="7"/>
  <c r="H13" i="7"/>
  <c r="H547" i="7"/>
  <c r="A589" i="7"/>
  <c r="C15" i="7"/>
  <c r="B155" i="7"/>
  <c r="D131" i="7"/>
  <c r="A126" i="7"/>
  <c r="H161" i="7"/>
  <c r="H12" i="7"/>
  <c r="B93" i="7"/>
  <c r="D126" i="7"/>
  <c r="A1419" i="7"/>
  <c r="A524" i="7"/>
  <c r="C62" i="7"/>
  <c r="B145" i="7"/>
  <c r="B59" i="7"/>
  <c r="E153" i="7"/>
  <c r="A30" i="7"/>
  <c r="H73" i="7"/>
  <c r="G77" i="7"/>
  <c r="H77" i="7"/>
  <c r="D68" i="7"/>
  <c r="A1138" i="7"/>
  <c r="A396" i="7"/>
  <c r="A1397" i="7"/>
  <c r="F27" i="7"/>
  <c r="E102" i="7"/>
  <c r="D161" i="7"/>
  <c r="H14" i="7"/>
  <c r="G89" i="7"/>
  <c r="F133" i="7"/>
  <c r="F60" i="7"/>
  <c r="A155" i="7"/>
  <c r="H113" i="7"/>
  <c r="H908" i="7"/>
  <c r="A525" i="7"/>
  <c r="A941" i="7"/>
  <c r="B88" i="7"/>
  <c r="B10" i="7"/>
  <c r="E112" i="7"/>
  <c r="H126" i="7"/>
  <c r="H40" i="7"/>
  <c r="G84" i="7"/>
  <c r="H162" i="7"/>
  <c r="A149" i="7"/>
  <c r="A143" i="7"/>
  <c r="D136" i="7"/>
  <c r="F1379" i="7"/>
  <c r="E1220" i="7"/>
  <c r="A1324" i="7"/>
  <c r="C94" i="7"/>
  <c r="C8" i="7"/>
  <c r="B83" i="7"/>
  <c r="F16" i="7"/>
  <c r="A54" i="7"/>
  <c r="H97" i="7"/>
  <c r="A1516" i="7"/>
  <c r="H1426" i="7"/>
  <c r="A774" i="7"/>
  <c r="A1045" i="7"/>
  <c r="E108" i="7"/>
  <c r="E22" i="7"/>
  <c r="D81" i="7"/>
  <c r="G87" i="7"/>
  <c r="G9" i="7"/>
  <c r="F61" i="7"/>
  <c r="A83" i="7"/>
  <c r="H117" i="7"/>
  <c r="F1162" i="7"/>
  <c r="A870" i="7"/>
  <c r="A1109" i="7"/>
  <c r="B16" i="7"/>
  <c r="E142" i="7"/>
  <c r="E48" i="7"/>
  <c r="H62" i="7"/>
  <c r="G137" i="7"/>
  <c r="G20" i="7"/>
  <c r="G46" i="7"/>
  <c r="F119" i="7"/>
  <c r="F32" i="7"/>
  <c r="G898" i="7"/>
  <c r="A788" i="7"/>
  <c r="B158" i="7"/>
  <c r="D38" i="7"/>
  <c r="C105" i="7"/>
  <c r="C11" i="7"/>
  <c r="E154" i="7"/>
  <c r="B149" i="7"/>
  <c r="H155" i="7"/>
  <c r="H69" i="7"/>
  <c r="E163" i="7"/>
  <c r="G14" i="7"/>
  <c r="H800" i="7"/>
  <c r="A940" i="7"/>
  <c r="C134" i="7"/>
  <c r="C48" i="7"/>
  <c r="B123" i="7"/>
  <c r="B125" i="7"/>
  <c r="A102" i="7"/>
  <c r="H137" i="7"/>
  <c r="G141" i="7"/>
  <c r="A145" i="7"/>
  <c r="A861" i="7"/>
  <c r="G1456" i="7"/>
  <c r="H1478" i="7"/>
  <c r="A577" i="7"/>
  <c r="A713" i="7"/>
  <c r="A910" i="7"/>
  <c r="H1088" i="7"/>
  <c r="A837" i="7"/>
  <c r="G1338" i="7"/>
  <c r="A1230" i="7"/>
  <c r="G1423" i="7"/>
  <c r="A1046" i="7"/>
  <c r="A1010" i="7"/>
  <c r="A478" i="7"/>
  <c r="A1081" i="7"/>
  <c r="G342" i="7"/>
  <c r="A1400" i="7"/>
  <c r="H434" i="7"/>
  <c r="G1065" i="7"/>
  <c r="A1190" i="7"/>
  <c r="B113" i="7"/>
  <c r="C132" i="7"/>
  <c r="C92" i="7"/>
  <c r="G149" i="7"/>
  <c r="F151" i="7"/>
  <c r="G567" i="7"/>
  <c r="A914" i="7"/>
  <c r="A1132" i="7"/>
  <c r="C111" i="7"/>
  <c r="B35" i="7"/>
  <c r="C12" i="7"/>
  <c r="H57" i="7"/>
  <c r="G99" i="7"/>
  <c r="A212" i="7"/>
  <c r="H1462" i="7"/>
  <c r="C119" i="7"/>
  <c r="C98" i="7"/>
  <c r="F96" i="7"/>
  <c r="E123" i="7"/>
  <c r="A104" i="7"/>
  <c r="H108" i="7"/>
  <c r="A154" i="7"/>
  <c r="F38" i="7"/>
  <c r="H1184" i="7"/>
  <c r="A1228" i="7"/>
  <c r="D21" i="7"/>
  <c r="C88" i="7"/>
  <c r="B163" i="7"/>
  <c r="D164" i="7"/>
  <c r="B13" i="7"/>
  <c r="A16" i="7"/>
  <c r="H20" i="7"/>
  <c r="C60" i="7"/>
  <c r="C128" i="7"/>
  <c r="H892" i="7"/>
  <c r="A334" i="7"/>
  <c r="A781" i="7"/>
  <c r="B80" i="7"/>
  <c r="F53" i="7"/>
  <c r="E104" i="7"/>
  <c r="H118" i="7"/>
  <c r="H32" i="7"/>
  <c r="G76" i="7"/>
  <c r="H130" i="7"/>
  <c r="A113" i="7"/>
  <c r="A91" i="7"/>
  <c r="A843" i="7"/>
  <c r="A509" i="7"/>
  <c r="A1396" i="7"/>
  <c r="C39" i="7"/>
  <c r="B114" i="7"/>
  <c r="B20" i="7"/>
  <c r="A77" i="7"/>
  <c r="H152" i="7"/>
  <c r="H19" i="7"/>
  <c r="H18" i="7"/>
  <c r="G102" i="7"/>
  <c r="F103" i="7"/>
  <c r="D89" i="7"/>
  <c r="A887" i="7"/>
  <c r="H1138" i="7"/>
  <c r="H1366" i="7"/>
  <c r="D45" i="7"/>
  <c r="C112" i="7"/>
  <c r="C26" i="7"/>
  <c r="E83" i="7"/>
  <c r="C20" i="7"/>
  <c r="B101" i="7"/>
  <c r="E116" i="7"/>
  <c r="A570" i="7"/>
  <c r="A1166" i="7"/>
  <c r="A1493" i="7"/>
  <c r="F51" i="7"/>
  <c r="E126" i="7"/>
  <c r="E24" i="7"/>
  <c r="H38" i="7"/>
  <c r="G121" i="7"/>
  <c r="F157" i="7"/>
  <c r="F156" i="7"/>
  <c r="E35" i="7"/>
  <c r="A682" i="7"/>
  <c r="A1254" i="7"/>
  <c r="A195" i="7"/>
  <c r="B120" i="7"/>
  <c r="B50" i="7"/>
  <c r="E152" i="7"/>
  <c r="A13" i="7"/>
  <c r="H80" i="7"/>
  <c r="G116" i="7"/>
  <c r="A116" i="7"/>
  <c r="E18" i="7"/>
  <c r="H119" i="7"/>
  <c r="H1480" i="7"/>
  <c r="A1149" i="7"/>
  <c r="C125" i="7"/>
  <c r="D142" i="7"/>
  <c r="D48" i="7"/>
  <c r="C115" i="7"/>
  <c r="F137" i="7"/>
  <c r="F48" i="7"/>
  <c r="A90" i="7"/>
  <c r="G94" i="7"/>
  <c r="A157" i="7"/>
  <c r="G27" i="7"/>
  <c r="G214" i="7"/>
  <c r="H1440" i="7"/>
  <c r="D85" i="7"/>
  <c r="C152" i="7"/>
  <c r="C66" i="7"/>
  <c r="F72" i="7"/>
  <c r="E27" i="7"/>
  <c r="A80" i="7"/>
  <c r="H84" i="7"/>
  <c r="H146" i="7"/>
  <c r="B142" i="7"/>
  <c r="A305" i="7"/>
  <c r="H1226" i="7"/>
  <c r="A188" i="7"/>
  <c r="H986" i="7"/>
  <c r="E143" i="7"/>
  <c r="A178" i="7"/>
  <c r="G1129" i="7"/>
  <c r="H1439" i="7"/>
  <c r="H1012" i="7"/>
  <c r="H1322" i="7"/>
  <c r="H383" i="7"/>
  <c r="G694" i="7"/>
  <c r="A965" i="7"/>
  <c r="A507" i="7"/>
  <c r="A440" i="7"/>
  <c r="H940" i="7"/>
  <c r="A1471" i="7"/>
  <c r="H1524" i="7"/>
  <c r="A184" i="7"/>
  <c r="B27" i="7"/>
  <c r="F153" i="7"/>
  <c r="E10" i="7"/>
  <c r="A100" i="7"/>
  <c r="A161" i="7"/>
  <c r="E87" i="7"/>
  <c r="H1410" i="7"/>
  <c r="C37" i="7"/>
  <c r="D23" i="7"/>
  <c r="C35" i="7"/>
  <c r="E91" i="7"/>
  <c r="A114" i="7"/>
  <c r="F28" i="7"/>
  <c r="H1420" i="7"/>
  <c r="D12" i="7"/>
  <c r="D135" i="7"/>
  <c r="B100" i="7"/>
  <c r="C76" i="7"/>
  <c r="A71" i="7"/>
  <c r="H91" i="7"/>
  <c r="F127" i="7"/>
  <c r="A76" i="7"/>
  <c r="D99" i="7"/>
  <c r="A1062" i="7"/>
  <c r="A1044" i="7"/>
  <c r="C23" i="7"/>
  <c r="B98" i="7"/>
  <c r="F47" i="7"/>
  <c r="A61" i="7"/>
  <c r="H128" i="7"/>
  <c r="G164" i="7"/>
  <c r="G30" i="7"/>
  <c r="G38" i="7"/>
  <c r="A92" i="7"/>
  <c r="A194" i="7"/>
  <c r="A1101" i="7"/>
  <c r="B15" i="7"/>
  <c r="E141" i="7"/>
  <c r="E55" i="7"/>
  <c r="D114" i="7"/>
  <c r="G136" i="7"/>
  <c r="G50" i="7"/>
  <c r="F26" i="7"/>
  <c r="H106" i="7"/>
  <c r="A49" i="7"/>
  <c r="A422" i="7"/>
  <c r="H962" i="7"/>
  <c r="A716" i="7"/>
  <c r="B135" i="7"/>
  <c r="B57" i="7"/>
  <c r="F14" i="7"/>
  <c r="E65" i="7"/>
  <c r="H95" i="7"/>
  <c r="G154" i="7"/>
  <c r="F150" i="7"/>
  <c r="F71" i="7"/>
  <c r="C52" i="7"/>
  <c r="A1093" i="7"/>
  <c r="G82" i="7"/>
  <c r="A1250" i="7"/>
  <c r="A749" i="7"/>
  <c r="B14" i="7"/>
  <c r="C47" i="7"/>
  <c r="B122" i="7"/>
  <c r="B28" i="7"/>
  <c r="A93" i="7"/>
  <c r="H160" i="7"/>
  <c r="A58" i="7"/>
  <c r="H156" i="7"/>
  <c r="A963" i="7"/>
  <c r="A1029" i="7"/>
  <c r="D52" i="7"/>
  <c r="E69" i="7"/>
  <c r="D128" i="7"/>
  <c r="D34" i="7"/>
  <c r="G56" i="7"/>
  <c r="F131" i="7"/>
  <c r="C116" i="7"/>
  <c r="F164" i="7"/>
  <c r="H1266" i="7"/>
  <c r="A1075" i="7"/>
  <c r="H1419" i="7"/>
  <c r="B63" i="7"/>
  <c r="F36" i="7"/>
  <c r="E95" i="7"/>
  <c r="D154" i="7"/>
  <c r="H23" i="7"/>
  <c r="G90" i="7"/>
  <c r="F86" i="7"/>
  <c r="A124" i="7"/>
  <c r="H1331" i="7"/>
  <c r="H1466" i="7"/>
  <c r="F1482" i="7"/>
  <c r="A1332" i="7"/>
  <c r="D77" i="7"/>
  <c r="C144" i="7"/>
  <c r="C58" i="7"/>
  <c r="F56" i="7"/>
  <c r="D140" i="7"/>
  <c r="A72" i="7"/>
  <c r="H76" i="7"/>
  <c r="H50" i="7"/>
  <c r="C24" i="7"/>
  <c r="A802" i="7"/>
  <c r="A1180" i="7"/>
  <c r="B54" i="7"/>
  <c r="C95" i="7"/>
  <c r="C9" i="7"/>
  <c r="B76" i="7"/>
  <c r="B69" i="7"/>
  <c r="A47" i="7"/>
  <c r="H67" i="7"/>
  <c r="E67" i="7"/>
  <c r="H154" i="7"/>
  <c r="G129" i="7"/>
  <c r="C19" i="7"/>
  <c r="C28" i="7"/>
  <c r="H101" i="7"/>
  <c r="A56" i="7"/>
  <c r="A925" i="7"/>
  <c r="H802" i="7"/>
  <c r="G52" i="7"/>
  <c r="H1376" i="7"/>
  <c r="H522" i="7"/>
  <c r="F130" i="7"/>
  <c r="A183" i="7"/>
  <c r="E155" i="7"/>
  <c r="A477" i="7"/>
  <c r="H11" i="7"/>
  <c r="B118" i="7"/>
  <c r="H115" i="7"/>
  <c r="A501" i="7"/>
  <c r="F50" i="7"/>
  <c r="B26" i="7"/>
  <c r="A1378" i="7"/>
  <c r="A31" i="7"/>
  <c r="E93" i="7"/>
  <c r="A1304" i="7"/>
  <c r="G23" i="7"/>
  <c r="H474" i="7"/>
  <c r="A1188" i="7"/>
  <c r="A586" i="7"/>
  <c r="A150" i="7"/>
  <c r="F161" i="7"/>
  <c r="G151" i="7"/>
  <c r="H754" i="7"/>
  <c r="F138" i="7"/>
  <c r="H1408" i="7"/>
  <c r="A95" i="7"/>
  <c r="F810" i="7"/>
  <c r="H665" i="7"/>
  <c r="H354" i="7"/>
  <c r="A1297" i="7"/>
  <c r="E33" i="7"/>
  <c r="A626" i="7"/>
  <c r="H1367" i="7"/>
  <c r="A279" i="7"/>
  <c r="A272" i="7"/>
  <c r="H1450" i="7"/>
  <c r="H209" i="7"/>
  <c r="H395" i="7"/>
  <c r="A1349" i="7"/>
  <c r="A627" i="7"/>
  <c r="A829" i="7"/>
  <c r="H1180" i="7"/>
  <c r="G502" i="7"/>
  <c r="A226" i="7"/>
  <c r="A660" i="7"/>
  <c r="B131" i="7"/>
  <c r="G96" i="7"/>
  <c r="G140" i="7"/>
  <c r="G150" i="7"/>
  <c r="H61" i="7"/>
  <c r="C146" i="7"/>
  <c r="A1358" i="7"/>
  <c r="C157" i="7"/>
  <c r="F29" i="7"/>
  <c r="C139" i="7"/>
  <c r="H8" i="7"/>
  <c r="E75" i="7"/>
  <c r="H158" i="7"/>
  <c r="A494" i="7"/>
  <c r="C54" i="7"/>
  <c r="E86" i="7"/>
  <c r="C43" i="7"/>
  <c r="F65" i="7"/>
  <c r="D27" i="7"/>
  <c r="A26" i="7"/>
  <c r="A57" i="7"/>
  <c r="G107" i="7"/>
  <c r="H579" i="7"/>
  <c r="A1446" i="7"/>
  <c r="B94" i="7"/>
  <c r="C127" i="7"/>
  <c r="C41" i="7"/>
  <c r="B108" i="7"/>
  <c r="C140" i="7"/>
  <c r="A79" i="7"/>
  <c r="H99" i="7"/>
  <c r="F159" i="7"/>
  <c r="A108" i="7"/>
  <c r="A133" i="7"/>
  <c r="H946" i="7"/>
  <c r="A556" i="7"/>
  <c r="B119" i="7"/>
  <c r="B49" i="7"/>
  <c r="E159" i="7"/>
  <c r="E57" i="7"/>
  <c r="H87" i="7"/>
  <c r="G146" i="7"/>
  <c r="F142" i="7"/>
  <c r="E99" i="7"/>
  <c r="H915" i="7"/>
  <c r="A480" i="7"/>
  <c r="H627" i="7"/>
  <c r="A1292" i="7"/>
  <c r="C86" i="7"/>
  <c r="B161" i="7"/>
  <c r="B75" i="7"/>
  <c r="F8" i="7"/>
  <c r="A46" i="7"/>
  <c r="H89" i="7"/>
  <c r="G93" i="7"/>
  <c r="H141" i="7"/>
  <c r="F158" i="7"/>
  <c r="C101" i="7"/>
  <c r="H139" i="7"/>
  <c r="H1116" i="7"/>
  <c r="A765" i="7"/>
  <c r="B126" i="7"/>
  <c r="C151" i="7"/>
  <c r="C65" i="7"/>
  <c r="B140" i="7"/>
  <c r="E26" i="7"/>
  <c r="A111" i="7"/>
  <c r="F62" i="7"/>
  <c r="A97" i="7"/>
  <c r="G1475" i="7"/>
  <c r="H1526" i="7"/>
  <c r="B47" i="7"/>
  <c r="F20" i="7"/>
  <c r="E79" i="7"/>
  <c r="D138" i="7"/>
  <c r="G160" i="7"/>
  <c r="G74" i="7"/>
  <c r="F70" i="7"/>
  <c r="A60" i="7"/>
  <c r="A1351" i="7"/>
  <c r="H427" i="7"/>
  <c r="A1125" i="7"/>
  <c r="C14" i="7"/>
  <c r="B89" i="7"/>
  <c r="F46" i="7"/>
  <c r="E97" i="7"/>
  <c r="H127" i="7"/>
  <c r="H25" i="7"/>
  <c r="G29" i="7"/>
  <c r="G59" i="7"/>
  <c r="A782" i="7"/>
  <c r="H1130" i="7"/>
  <c r="H1107" i="7"/>
  <c r="A629" i="7"/>
  <c r="E28" i="7"/>
  <c r="D95" i="7"/>
  <c r="C162" i="7"/>
  <c r="G15" i="7"/>
  <c r="F98" i="7"/>
  <c r="D107" i="7"/>
  <c r="A11" i="7"/>
  <c r="F143" i="7"/>
  <c r="B99" i="7"/>
  <c r="A1490" i="7"/>
  <c r="A1108" i="7"/>
  <c r="C13" i="7"/>
  <c r="D46" i="7"/>
  <c r="C113" i="7"/>
  <c r="F9" i="7"/>
  <c r="H163" i="7"/>
  <c r="F87" i="7"/>
  <c r="H435" i="7"/>
  <c r="C160" i="7"/>
  <c r="D62" i="7"/>
  <c r="G47" i="7"/>
  <c r="A1165" i="7"/>
  <c r="A112" i="7"/>
  <c r="A1268" i="7"/>
  <c r="H136" i="7"/>
  <c r="G62" i="7"/>
  <c r="B124" i="7"/>
  <c r="H85" i="7"/>
  <c r="D63" i="7"/>
  <c r="A1258" i="7"/>
  <c r="H64" i="7"/>
  <c r="C79" i="7"/>
  <c r="H90" i="7"/>
  <c r="D152" i="7"/>
  <c r="H1276" i="7"/>
  <c r="D155" i="7"/>
  <c r="A717" i="7"/>
  <c r="H1035" i="7"/>
  <c r="A182" i="7"/>
  <c r="H1442" i="7"/>
  <c r="G10" i="7"/>
  <c r="E13" i="7"/>
  <c r="A1333" i="7"/>
  <c r="D148" i="7"/>
  <c r="D143" i="7"/>
  <c r="A109" i="7"/>
  <c r="B116" i="7"/>
  <c r="A313" i="7"/>
  <c r="A1080" i="7"/>
  <c r="A1377" i="7"/>
  <c r="A688" i="7"/>
  <c r="H55" i="7"/>
  <c r="H1244" i="7"/>
  <c r="A1414" i="7"/>
  <c r="F1475" i="7"/>
  <c r="A1239" i="7"/>
  <c r="A290" i="7"/>
  <c r="H937" i="7"/>
  <c r="H779" i="7"/>
  <c r="A973" i="7"/>
  <c r="A739" i="7"/>
  <c r="A1213" i="7"/>
  <c r="H1363" i="7"/>
  <c r="H1064" i="7"/>
  <c r="F778" i="7"/>
  <c r="B62" i="7"/>
  <c r="D25" i="7"/>
  <c r="H159" i="7"/>
  <c r="H75" i="7"/>
  <c r="G155" i="7"/>
  <c r="A44" i="7"/>
  <c r="F144" i="7"/>
  <c r="A1276" i="7"/>
  <c r="B95" i="7"/>
  <c r="B82" i="7"/>
  <c r="E25" i="7"/>
  <c r="H112" i="7"/>
  <c r="G61" i="7"/>
  <c r="H72" i="7"/>
  <c r="A1374" i="7"/>
  <c r="C158" i="7"/>
  <c r="B90" i="7"/>
  <c r="C147" i="7"/>
  <c r="G8" i="7"/>
  <c r="F91" i="7"/>
  <c r="A122" i="7"/>
  <c r="B29" i="7"/>
  <c r="F132" i="7"/>
  <c r="A223" i="7"/>
  <c r="A354" i="7"/>
  <c r="C61" i="7"/>
  <c r="D78" i="7"/>
  <c r="C145" i="7"/>
  <c r="C51" i="7"/>
  <c r="F73" i="7"/>
  <c r="D147" i="7"/>
  <c r="A34" i="7"/>
  <c r="A89" i="7"/>
  <c r="H29" i="7"/>
  <c r="A411" i="7"/>
  <c r="H275" i="7"/>
  <c r="A1260" i="7"/>
  <c r="C78" i="7"/>
  <c r="B153" i="7"/>
  <c r="B67" i="7"/>
  <c r="E161" i="7"/>
  <c r="A38" i="7"/>
  <c r="H81" i="7"/>
  <c r="G85" i="7"/>
  <c r="H109" i="7"/>
  <c r="C63" i="7"/>
  <c r="A243" i="7"/>
  <c r="A678" i="7"/>
  <c r="A1517" i="7"/>
  <c r="D37" i="7"/>
  <c r="C104" i="7"/>
  <c r="C18" i="7"/>
  <c r="E51" i="7"/>
  <c r="B141" i="7"/>
  <c r="A32" i="7"/>
  <c r="H36" i="7"/>
  <c r="E114" i="7"/>
  <c r="G101" i="7"/>
  <c r="D61" i="7"/>
  <c r="H60" i="7"/>
  <c r="A192" i="7"/>
  <c r="A1412" i="7"/>
  <c r="C85" i="7"/>
  <c r="D102" i="7"/>
  <c r="D16" i="7"/>
  <c r="C83" i="7"/>
  <c r="F105" i="7"/>
  <c r="E98" i="7"/>
  <c r="H44" i="7"/>
  <c r="H945" i="7"/>
  <c r="H1471" i="7"/>
  <c r="A812" i="7"/>
  <c r="B151" i="7"/>
  <c r="B73" i="7"/>
  <c r="F30" i="7"/>
  <c r="E81" i="7"/>
  <c r="H111" i="7"/>
  <c r="H9" i="7"/>
  <c r="G13" i="7"/>
  <c r="F135" i="7"/>
  <c r="H824" i="7"/>
  <c r="G1306" i="7"/>
  <c r="A1300" i="7"/>
  <c r="C118" i="7"/>
  <c r="C32" i="7"/>
  <c r="B107" i="7"/>
  <c r="F40" i="7"/>
  <c r="A78" i="7"/>
  <c r="H121" i="7"/>
  <c r="G125" i="7"/>
  <c r="A127" i="7"/>
  <c r="A565" i="7"/>
  <c r="A1073" i="7"/>
  <c r="A250" i="7"/>
  <c r="A1173" i="7"/>
  <c r="E132" i="7"/>
  <c r="E46" i="7"/>
  <c r="D113" i="7"/>
  <c r="G119" i="7"/>
  <c r="G41" i="7"/>
  <c r="F85" i="7"/>
  <c r="A107" i="7"/>
  <c r="A41" i="7"/>
  <c r="E89" i="7"/>
  <c r="G1509" i="7"/>
  <c r="A1181" i="7"/>
  <c r="C133" i="7"/>
  <c r="D150" i="7"/>
  <c r="D56" i="7"/>
  <c r="C123" i="7"/>
  <c r="F145" i="7"/>
  <c r="F59" i="7"/>
  <c r="A98" i="7"/>
  <c r="H82" i="7"/>
  <c r="D123" i="7"/>
  <c r="A74" i="7"/>
  <c r="H513" i="7"/>
  <c r="G31" i="7"/>
  <c r="C90" i="7"/>
  <c r="E21" i="7"/>
  <c r="E147" i="7"/>
  <c r="F104" i="7"/>
  <c r="B117" i="7"/>
  <c r="B106" i="7"/>
  <c r="G70" i="7"/>
  <c r="C57" i="7"/>
  <c r="G51" i="7"/>
  <c r="A920" i="7"/>
  <c r="F128" i="7"/>
  <c r="B104" i="7"/>
  <c r="C124" i="7"/>
  <c r="B60" i="7"/>
  <c r="A491" i="7"/>
  <c r="F155" i="7"/>
  <c r="D103" i="7"/>
  <c r="H201" i="7"/>
  <c r="A931" i="7"/>
  <c r="A694" i="7"/>
  <c r="C17" i="7"/>
  <c r="A1307" i="7"/>
  <c r="F76" i="7"/>
  <c r="G73" i="7"/>
  <c r="E76" i="7"/>
  <c r="A51" i="7"/>
  <c r="C135" i="7"/>
  <c r="H107" i="7"/>
  <c r="B41" i="7"/>
  <c r="A450" i="7"/>
  <c r="A399" i="7"/>
  <c r="H133" i="7"/>
  <c r="B92" i="7"/>
  <c r="D31" i="7"/>
  <c r="F148" i="7"/>
  <c r="E96" i="7"/>
  <c r="F78" i="7"/>
  <c r="D10" i="7"/>
  <c r="H114" i="7"/>
  <c r="B23" i="7"/>
  <c r="G144" i="7"/>
  <c r="H123" i="7"/>
  <c r="A508" i="7"/>
  <c r="E120" i="7"/>
  <c r="H17" i="7"/>
  <c r="D118" i="7"/>
  <c r="E130" i="7"/>
  <c r="A363" i="7"/>
  <c r="D144" i="7"/>
  <c r="D115" i="7"/>
  <c r="G1349" i="7"/>
  <c r="B115" i="7"/>
  <c r="G133" i="7"/>
  <c r="A1278" i="7"/>
  <c r="F15" i="7"/>
  <c r="A142" i="7"/>
  <c r="B130" i="7"/>
  <c r="H35" i="7"/>
  <c r="B164" i="7"/>
  <c r="H37" i="7"/>
  <c r="H1503" i="7"/>
  <c r="A136" i="7"/>
  <c r="A661" i="7"/>
  <c r="A73" i="7"/>
  <c r="H1200" i="7"/>
  <c r="E45" i="7"/>
  <c r="A1362" i="7"/>
  <c r="H30" i="7"/>
  <c r="H1132" i="7"/>
  <c r="H131" i="7"/>
  <c r="C107" i="7"/>
  <c r="F108" i="7"/>
  <c r="E105" i="7"/>
  <c r="G91" i="7"/>
  <c r="H78" i="7"/>
  <c r="G75" i="7"/>
  <c r="H394" i="7"/>
  <c r="A966" i="7"/>
  <c r="E77" i="7"/>
  <c r="H83" i="7"/>
  <c r="H243" i="7"/>
  <c r="A1316" i="7"/>
  <c r="A421" i="7"/>
  <c r="H1482" i="7"/>
  <c r="H134" i="7"/>
  <c r="D24" i="7"/>
  <c r="A66" i="7"/>
  <c r="D50" i="7"/>
  <c r="G54" i="7"/>
  <c r="A908" i="7"/>
  <c r="A137" i="7"/>
  <c r="A29" i="7"/>
  <c r="F49" i="7"/>
  <c r="A1259" i="7"/>
  <c r="A1350" i="7"/>
  <c r="E30" i="7"/>
  <c r="A18" i="7"/>
  <c r="A582" i="7"/>
  <c r="A709" i="7"/>
  <c r="G913" i="7"/>
  <c r="G95" i="7"/>
  <c r="F162" i="7"/>
  <c r="A877" i="7"/>
  <c r="A68" i="7"/>
  <c r="E122" i="7"/>
  <c r="B71" i="7"/>
  <c r="A1182" i="7"/>
  <c r="G49" i="7"/>
  <c r="B34" i="7"/>
  <c r="A567" i="7"/>
  <c r="A982" i="7"/>
  <c r="F41" i="7"/>
  <c r="B70" i="7"/>
  <c r="H722" i="7"/>
  <c r="G156" i="7"/>
  <c r="B72" i="7"/>
  <c r="E37" i="7"/>
  <c r="G19" i="7"/>
  <c r="D18" i="7"/>
  <c r="F100" i="7"/>
  <c r="H1415" i="7"/>
  <c r="G92" i="7"/>
  <c r="E58" i="7"/>
  <c r="D134" i="7"/>
  <c r="F17" i="7"/>
  <c r="B97" i="7"/>
  <c r="H33" i="7"/>
  <c r="H1282" i="7"/>
  <c r="G36" i="7"/>
  <c r="A706" i="7"/>
  <c r="B17" i="7"/>
  <c r="H66" i="7"/>
  <c r="E94" i="7"/>
  <c r="A147" i="7"/>
  <c r="A121" i="7"/>
  <c r="A1229" i="7"/>
  <c r="A562" i="7"/>
  <c r="C93" i="7"/>
  <c r="E85" i="7"/>
  <c r="G1165" i="7"/>
  <c r="H129" i="7"/>
  <c r="G132" i="7"/>
  <c r="C77" i="7"/>
  <c r="C99" i="7"/>
  <c r="A15" i="7"/>
  <c r="C97" i="7"/>
  <c r="E103" i="7"/>
  <c r="A367" i="7"/>
  <c r="B127" i="7"/>
  <c r="C80" i="7"/>
  <c r="D153" i="7"/>
  <c r="H93" i="7"/>
  <c r="G40" i="7"/>
  <c r="A40" i="7"/>
  <c r="A1158" i="7"/>
  <c r="D40" i="7"/>
  <c r="G37" i="7"/>
  <c r="G110" i="7"/>
  <c r="A957" i="7"/>
  <c r="A331" i="7"/>
  <c r="A1107" i="7"/>
  <c r="A158" i="7"/>
  <c r="H63" i="7"/>
  <c r="E88" i="7"/>
  <c r="C108" i="7"/>
  <c r="G159" i="7"/>
  <c r="G822" i="7"/>
  <c r="D11" i="7"/>
  <c r="F341" i="7"/>
  <c r="D94" i="7"/>
  <c r="E66" i="7"/>
  <c r="H1252" i="7"/>
  <c r="A1013" i="7"/>
  <c r="G79" i="7"/>
  <c r="E1049" i="7"/>
  <c r="A596" i="7"/>
  <c r="D162" i="7"/>
  <c r="G127" i="7"/>
  <c r="A1388" i="7"/>
  <c r="A595" i="7"/>
  <c r="A1219" i="7"/>
  <c r="A146" i="7"/>
  <c r="A14" i="7"/>
  <c r="F39" i="7"/>
  <c r="A84" i="7"/>
  <c r="H110" i="7"/>
  <c r="F89" i="7"/>
  <c r="H225" i="7"/>
  <c r="F115" i="7"/>
  <c r="A1461" i="7"/>
  <c r="C81" i="7"/>
  <c r="A893" i="7"/>
  <c r="A1381" i="7"/>
  <c r="A1205" i="7"/>
  <c r="A1148" i="7"/>
  <c r="H102" i="7"/>
  <c r="G81" i="7"/>
  <c r="G32" i="7"/>
  <c r="E157" i="7"/>
  <c r="G58" i="7"/>
  <c r="A1197" i="7"/>
  <c r="A203" i="7"/>
  <c r="A612" i="7"/>
  <c r="B61" i="7"/>
  <c r="A532" i="7"/>
  <c r="H1515" i="7"/>
  <c r="A53" i="7"/>
  <c r="H24" i="7"/>
  <c r="E34" i="7"/>
  <c r="C161" i="7"/>
  <c r="A50" i="7"/>
  <c r="E100" i="7"/>
  <c r="B44" i="7"/>
  <c r="B150" i="7"/>
  <c r="C164" i="7"/>
  <c r="H31" i="7"/>
  <c r="E140" i="7"/>
  <c r="A901" i="7"/>
  <c r="H98" i="7"/>
  <c r="A741" i="7"/>
  <c r="E118" i="7"/>
  <c r="B134" i="7"/>
  <c r="A156" i="7"/>
  <c r="G21" i="7"/>
  <c r="F13" i="7"/>
  <c r="A1043" i="7"/>
  <c r="A916" i="7"/>
  <c r="C153" i="7"/>
  <c r="D122" i="7"/>
  <c r="B18" i="7"/>
  <c r="H27" i="7"/>
  <c r="A81" i="7"/>
  <c r="C40" i="7"/>
  <c r="B66" i="7"/>
  <c r="H157" i="7"/>
  <c r="C55" i="7"/>
  <c r="H147" i="7"/>
  <c r="F94" i="7"/>
  <c r="D121" i="7"/>
  <c r="A271" i="7"/>
  <c r="D36" i="7"/>
  <c r="C159" i="7"/>
  <c r="A82" i="7"/>
  <c r="A894" i="7"/>
  <c r="A1279" i="7"/>
  <c r="H138" i="7"/>
  <c r="F147" i="7"/>
  <c r="A1449" i="7"/>
  <c r="A686" i="7"/>
  <c r="A1179" i="7"/>
  <c r="A115" i="7"/>
  <c r="A1469" i="7"/>
  <c r="F139" i="7"/>
  <c r="A119" i="7"/>
  <c r="B11" i="7"/>
  <c r="G1471" i="7"/>
  <c r="H728" i="7"/>
  <c r="A318" i="7"/>
  <c r="A1155" i="7"/>
  <c r="A1266" i="7"/>
  <c r="C121" i="7"/>
  <c r="H992" i="7"/>
  <c r="A689" i="7"/>
  <c r="H16" i="7"/>
  <c r="A1365" i="7"/>
  <c r="F125" i="7"/>
  <c r="C69" i="7"/>
  <c r="F107" i="7"/>
  <c r="H1343" i="7"/>
  <c r="D112" i="7"/>
  <c r="B109" i="7"/>
  <c r="F121" i="7"/>
  <c r="F43" i="7"/>
  <c r="G105" i="7"/>
  <c r="A797" i="7"/>
  <c r="B148" i="7"/>
  <c r="G115" i="7"/>
  <c r="C109" i="7"/>
  <c r="F129" i="7"/>
  <c r="A141" i="7"/>
  <c r="C22" i="7"/>
  <c r="H135" i="7"/>
  <c r="A1172" i="7"/>
  <c r="B40" i="7"/>
  <c r="G153" i="7"/>
  <c r="E32" i="7"/>
  <c r="A365" i="7"/>
  <c r="A1267" i="7"/>
  <c r="A1386" i="7"/>
  <c r="D64" i="7"/>
  <c r="H370" i="7"/>
  <c r="A564" i="7"/>
  <c r="H120" i="7"/>
  <c r="A653" i="7"/>
  <c r="G68" i="7"/>
  <c r="D28" i="7"/>
  <c r="A42" i="7"/>
  <c r="A311" i="7"/>
  <c r="E63" i="7"/>
  <c r="F54" i="7"/>
  <c r="G25" i="7"/>
  <c r="B96" i="7"/>
  <c r="H56" i="7"/>
  <c r="A516" i="7"/>
  <c r="C91" i="7"/>
  <c r="A151" i="7"/>
  <c r="D76" i="7"/>
  <c r="G72" i="7"/>
  <c r="H1049" i="7"/>
  <c r="C126" i="7"/>
  <c r="A86" i="7"/>
  <c r="B159" i="7"/>
  <c r="B144" i="7"/>
  <c r="H96" i="7"/>
  <c r="H54" i="7"/>
  <c r="F862" i="7"/>
  <c r="A517" i="7"/>
  <c r="A886" i="7"/>
  <c r="B133" i="7"/>
  <c r="A756" i="7"/>
  <c r="H1008" i="7"/>
  <c r="G60" i="7"/>
  <c r="F19" i="7"/>
  <c r="E50" i="7"/>
  <c r="D86" i="7"/>
  <c r="B45" i="7"/>
  <c r="A1380" i="7"/>
  <c r="C75" i="7"/>
  <c r="A135" i="7"/>
  <c r="A254" i="7"/>
  <c r="E14" i="7"/>
  <c r="F149" i="7"/>
  <c r="B22" i="7"/>
  <c r="A101" i="7"/>
  <c r="H26" i="7"/>
  <c r="D30" i="7"/>
  <c r="B85" i="7"/>
  <c r="G12" i="7"/>
  <c r="F44" i="7"/>
  <c r="G98" i="7"/>
  <c r="F767" i="7"/>
  <c r="E62" i="7"/>
  <c r="F93" i="7"/>
  <c r="F63" i="7"/>
  <c r="H49" i="7"/>
  <c r="F113" i="7"/>
  <c r="H125" i="7"/>
  <c r="E16" i="7"/>
  <c r="H459" i="7"/>
  <c r="A736" i="7"/>
  <c r="A1163" i="7"/>
  <c r="A818" i="7"/>
  <c r="H145" i="7"/>
  <c r="B121" i="7"/>
  <c r="B86" i="7"/>
  <c r="F18" i="7"/>
  <c r="F45" i="7"/>
  <c r="A17" i="7"/>
  <c r="D96" i="7"/>
  <c r="F68" i="7"/>
  <c r="F97" i="7"/>
  <c r="D73" i="7"/>
  <c r="G791" i="7"/>
  <c r="F31" i="7"/>
  <c r="C59" i="7"/>
  <c r="H15" i="7"/>
  <c r="H1342" i="7"/>
  <c r="E6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tc={F7F9EF87-E403-40C0-AEDA-AFB1A1BB2FEE}</author>
    <author>tc={91CB5016-A55C-478C-BDB6-7700A6C527C6}</author>
    <author>tc={DEA53BCE-85F8-474D-A054-C96144F76989}</author>
  </authors>
  <commentList>
    <comment ref="J1" authorId="0" shapeId="0" xr:uid="{F7F9EF87-E403-40C0-AEDA-AFB1A1BB2FEE}">
      <text>
        <t>[Threaded comment]
Your version of Excel allows you to read this threaded comment; however, any edits to it will get removed if the file is opened in a newer version of Excel. Learn more: https://go.microsoft.com/fwlink/?linkid=870924
Comment:
    From “Yield (gallon SAF/ton feedstock)” for solids feedstocks or “Yield (gallon SAF/gallon feedstock)”column for liquid feedstocks in SAF_Data_Tables.xlsx</t>
      </text>
    </comment>
    <comment ref="O1" authorId="1" shapeId="0" xr:uid="{91CB5016-A55C-478C-BDB6-7700A6C527C6}">
      <text>
        <t>[Threaded comment]
Your version of Excel allows you to read this threaded comment; however, any edits to it will get removed if the file is opened in a newer version of Excel. Learn more: https://go.microsoft.com/fwlink/?linkid=870924
Comment:
    From “Input Capacity in ton/yr” column for solid feedstocks and “Input Capacity in gal/yr” for liquid feedstocks in SAF_Data_Tables.xlsx</t>
      </text>
    </comment>
    <comment ref="S1" authorId="2" shapeId="0" xr:uid="{DEA53BCE-85F8-474D-A054-C96144F76989}">
      <text>
        <t>[Threaded comment]
Your version of Excel allows you to read this threaded comment; however, any edits to it will get removed if the file is opened in a newer version of Excel. Learn more: https://go.microsoft.com/fwlink/?linkid=870924
Comment:
    “Amortized cost (30yr, 6%)” column in SAF_Data_Tables.xlsx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Volpe</author>
    <author>tc={181513DB-41F3-4278-80EB-85B3AD598965}</author>
  </authors>
  <commentList>
    <comment ref="X1" authorId="0" shapeId="0" xr:uid="{76C1F141-98A9-45B6-9FBC-4DC166259EC5}">
      <text>
        <r>
          <rPr>
            <b/>
            <sz val="9"/>
            <color indexed="81"/>
            <rFont val="Tahoma"/>
            <family val="2"/>
          </rPr>
          <t>Volpe:</t>
        </r>
        <r>
          <rPr>
            <sz val="9"/>
            <color indexed="81"/>
            <rFont val="Tahoma"/>
            <family val="2"/>
          </rPr>
          <t xml:space="preserve">
Will return "solidliquid" if inputs of liquid only. Otherwise solid.</t>
        </r>
      </text>
    </comment>
    <comment ref="AU3" authorId="1" shapeId="0" xr:uid="{181513DB-41F3-4278-80EB-85B3AD598965}">
      <text>
        <t>[Threaded comment]
Your version of Excel allows you to read this threaded comment; however, any edits to it will get removed if the file is opened in a newer version of Excel. Learn more: https://go.microsoft.com/fwlink/?linkid=870924
Comment:
    Bring over UDP and Access cost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<sst xmlns="http://schemas.openxmlformats.org/spreadsheetml/2006/main" count="12226" uniqueCount="2870">
  <si>
    <t>Scenario Name</t>
  </si>
  <si>
    <t>Scenario Description</t>
  </si>
  <si>
    <t>Common Data Folder</t>
  </si>
  <si>
    <t>Network GDB</t>
  </si>
  <si>
    <t>File Paths</t>
  </si>
  <si>
    <t>solid</t>
  </si>
  <si>
    <t>Existing facilities:</t>
  </si>
  <si>
    <t>Y</t>
  </si>
  <si>
    <t>Additional Settings</t>
  </si>
  <si>
    <t>Transport Costs</t>
  </si>
  <si>
    <t>Truck Load (Solids)</t>
  </si>
  <si>
    <t>Truck Load (Liquids)</t>
  </si>
  <si>
    <t>Basic Information</t>
  </si>
  <si>
    <t>Value</t>
  </si>
  <si>
    <t>tons</t>
  </si>
  <si>
    <t>tonnes</t>
  </si>
  <si>
    <t>Default Units</t>
  </si>
  <si>
    <t>raw_material_producer</t>
  </si>
  <si>
    <t>ultimate_destination</t>
  </si>
  <si>
    <t>processor</t>
  </si>
  <si>
    <t>Inputs</t>
  </si>
  <si>
    <t>Outputs</t>
  </si>
  <si>
    <t>liquid</t>
  </si>
  <si>
    <t>N</t>
  </si>
  <si>
    <t>Max Amount</t>
  </si>
  <si>
    <t>Facility Type</t>
  </si>
  <si>
    <t>Commodities</t>
  </si>
  <si>
    <t>Name</t>
  </si>
  <si>
    <t>Phase</t>
  </si>
  <si>
    <t>Max Transport Distance</t>
  </si>
  <si>
    <t>Processes</t>
  </si>
  <si>
    <t>Commodity or Process</t>
  </si>
  <si>
    <t>Process name:</t>
  </si>
  <si>
    <t>Transloading Cost (Solids)</t>
  </si>
  <si>
    <t>Transloading Cost (Liquids)</t>
  </si>
  <si>
    <t>Facility Name</t>
  </si>
  <si>
    <t>Units</t>
  </si>
  <si>
    <t>Disruption CSV</t>
  </si>
  <si>
    <t>Schedules CSV</t>
  </si>
  <si>
    <t>pounds</t>
  </si>
  <si>
    <t>kilograms</t>
  </si>
  <si>
    <t>liters</t>
  </si>
  <si>
    <t>gallons</t>
  </si>
  <si>
    <t>thousand gallons</t>
  </si>
  <si>
    <t>Min Amount</t>
  </si>
  <si>
    <t>Build Cost</t>
  </si>
  <si>
    <t>Schedule</t>
  </si>
  <si>
    <t>Commodity Mode CSV</t>
  </si>
  <si>
    <t>Commodity Density CSV</t>
  </si>
  <si>
    <t>Distance</t>
  </si>
  <si>
    <t>Currency</t>
  </si>
  <si>
    <t>Commodities (Solids)</t>
  </si>
  <si>
    <t>Commodities (Liquids)</t>
  </si>
  <si>
    <t>Railcar Load (Solids)</t>
  </si>
  <si>
    <t>Railcar Load (Liquids)</t>
  </si>
  <si>
    <t>Barge Load (Solids)</t>
  </si>
  <si>
    <t>Barge Load (Liquids)</t>
  </si>
  <si>
    <t>Pipeline Crude Load (Liquids)</t>
  </si>
  <si>
    <t>Pipeline Prod Load (Liquids)</t>
  </si>
  <si>
    <t>Truck Fuel Efficiency</t>
  </si>
  <si>
    <t>Rail Fuel Efficiency</t>
  </si>
  <si>
    <t>Barge Fuel Efficiency</t>
  </si>
  <si>
    <t>Solid Units List</t>
  </si>
  <si>
    <t>Liquid Units List</t>
  </si>
  <si>
    <t>Distance Units List</t>
  </si>
  <si>
    <t>miles</t>
  </si>
  <si>
    <t>meters</t>
  </si>
  <si>
    <t>kilometers</t>
  </si>
  <si>
    <t>feet</t>
  </si>
  <si>
    <t>Detailed Emissions CSV</t>
  </si>
  <si>
    <t>Emissions Parameters</t>
  </si>
  <si>
    <t>Road CO2 Emission Factor</t>
  </si>
  <si>
    <t>Railroad CO2 Emission Factor</t>
  </si>
  <si>
    <t>Barge CO2 Emission Factor</t>
  </si>
  <si>
    <t>Pipeline CO2 Emission Factor</t>
  </si>
  <si>
    <t>Density Conversion Factor</t>
  </si>
  <si>
    <t>Truck Base Cost (Solids)</t>
  </si>
  <si>
    <t>Truck Base Cost (Liquids)</t>
  </si>
  <si>
    <t>Railroad Base Cost (Solids)</t>
  </si>
  <si>
    <t>Railroad Base Cost (Liquids)</t>
  </si>
  <si>
    <t>Barge Base Cost (Solids)</t>
  </si>
  <si>
    <t>Barge Base Cost (Liquids)</t>
  </si>
  <si>
    <t>Impedance Weights CSV</t>
  </si>
  <si>
    <t>Network Density Reduction Flag</t>
  </si>
  <si>
    <t>Road Max Artificial Link Distance</t>
  </si>
  <si>
    <t>Rail Max Artificial Link Distance</t>
  </si>
  <si>
    <t>Water Max Artificial Link Distance</t>
  </si>
  <si>
    <t>Pipeline Crude Max Artificial Link Distance</t>
  </si>
  <si>
    <t>Pipeline Prod Max Artificial Link Distance</t>
  </si>
  <si>
    <t>Permitted Modes</t>
  </si>
  <si>
    <t>True/False</t>
  </si>
  <si>
    <t>Artificial Links Reporting Flag</t>
  </si>
  <si>
    <t>Rail Short Haul Penalty</t>
  </si>
  <si>
    <t>Water Short Haul Penalty</t>
  </si>
  <si>
    <t>Road</t>
  </si>
  <si>
    <t>Rail</t>
  </si>
  <si>
    <t>Water</t>
  </si>
  <si>
    <t>Pipeline Crude</t>
  </si>
  <si>
    <t>Pipeline Prod</t>
  </si>
  <si>
    <t>Scenario Settings</t>
  </si>
  <si>
    <t>None</t>
  </si>
  <si>
    <t>C:\FTOT\scenarios\common_data\networks\default_impedance_weights.csv</t>
  </si>
  <si>
    <t>Capacity Flag</t>
  </si>
  <si>
    <t>Road Background Flows</t>
  </si>
  <si>
    <t>Rail Background Flows</t>
  </si>
  <si>
    <t>Water Background Flows</t>
  </si>
  <si>
    <t>Pipeline Crude Background Flows</t>
  </si>
  <si>
    <t>Pipeline Prod Background Flows</t>
  </si>
  <si>
    <t>Minimum Capacity Level</t>
  </si>
  <si>
    <t>Unmet Demand Penalty</t>
  </si>
  <si>
    <t>Data Validation Checks</t>
  </si>
  <si>
    <t>string</t>
  </si>
  <si>
    <t>file path to check with Python</t>
  </si>
  <si>
    <t>positive number</t>
  </si>
  <si>
    <t>non-negative number</t>
  </si>
  <si>
    <t>Value Check</t>
  </si>
  <si>
    <t>Units Check</t>
  </si>
  <si>
    <t>none</t>
  </si>
  <si>
    <t>file path to check with Python, or "None"</t>
  </si>
  <si>
    <t>g/mi</t>
  </si>
  <si>
    <t>g/ton/mi</t>
  </si>
  <si>
    <t>Artificial Link Parameters</t>
  </si>
  <si>
    <t>FTOT Optimization Parameters</t>
  </si>
  <si>
    <t>Drop-Down Menus</t>
  </si>
  <si>
    <t>number between 0 and 1</t>
  </si>
  <si>
    <t>Facility Types</t>
  </si>
  <si>
    <t>Configuration Tab</t>
  </si>
  <si>
    <t>Input ratio</t>
  </si>
  <si>
    <t>Output ratio</t>
  </si>
  <si>
    <t>Yes/No</t>
  </si>
  <si>
    <t>Commodities and Processes Tab</t>
  </si>
  <si>
    <t>Existing facilities</t>
  </si>
  <si>
    <t>Solid Units List drop-down</t>
  </si>
  <si>
    <t>Liquid Units List drop-down</t>
  </si>
  <si>
    <t>Distance Units List drop-down</t>
  </si>
  <si>
    <t>T/F drop-down</t>
  </si>
  <si>
    <t>Phase drop-down</t>
  </si>
  <si>
    <t>Y/N drop-down</t>
  </si>
  <si>
    <t>"commodities" table drop-down</t>
  </si>
  <si>
    <t>Facilities and Amounts Tab</t>
  </si>
  <si>
    <t>Facility Types drop-down</t>
  </si>
  <si>
    <t>"commodities" table OR "processes" table drop-down</t>
  </si>
  <si>
    <t>District of Columbia</t>
  </si>
  <si>
    <t>State</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</si>
  <si>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</si>
  <si>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</si>
  <si>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</si>
  <si>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</si>
  <si>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</si>
  <si>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</si>
  <si>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</si>
  <si>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</si>
  <si>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</si>
  <si>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</si>
  <si>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</si>
  <si>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</si>
  <si>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</si>
  <si>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</si>
  <si>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</si>
  <si>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</si>
  <si>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</si>
  <si>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</si>
  <si>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</si>
  <si>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</si>
  <si>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</si>
  <si>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</si>
  <si>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</si>
  <si>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</si>
  <si>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</si>
  <si>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</si>
  <si>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</si>
  <si>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</si>
  <si>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</si>
  <si>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</si>
  <si>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</si>
  <si>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</si>
  <si>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</si>
  <si>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</si>
  <si>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</si>
  <si>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</si>
  <si>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</si>
  <si>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</si>
  <si>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</si>
  <si>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</si>
  <si>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</si>
  <si>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</si>
  <si>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</si>
  <si>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</si>
  <si>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</si>
  <si>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</si>
  <si>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</si>
  <si>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</si>
  <si>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Output units</t>
  </si>
  <si>
    <t>Input units</t>
  </si>
  <si>
    <t>Min Aggregation</t>
  </si>
  <si>
    <t>1. Create a copy of this template file. Give it a descriptive filename.</t>
  </si>
  <si>
    <t>Instructions</t>
  </si>
  <si>
    <t>Commodity Amounts (Solids)</t>
  </si>
  <si>
    <t>Commodity Amounts (Liquids)</t>
  </si>
  <si>
    <t>Commodity Name</t>
  </si>
  <si>
    <t>Process Name</t>
  </si>
  <si>
    <t>Optimization Weight for Transport Cost</t>
  </si>
  <si>
    <t>Optimization Weight for CO2 Emissions</t>
  </si>
  <si>
    <t>Carbon Cost</t>
  </si>
  <si>
    <t>usd/ton</t>
  </si>
  <si>
    <t>RMP GIS Feature Layer</t>
  </si>
  <si>
    <t>Processor GIS Feature Layer (if applicable)</t>
  </si>
  <si>
    <t>Destination GIS Feature Layer</t>
  </si>
  <si>
    <t>C:\FTOT\scenarios\common_data</t>
  </si>
  <si>
    <t>Optimization Scalar for Transport Cost</t>
  </si>
  <si>
    <t>Optimization Scalar for CO2 Emissions</t>
  </si>
  <si>
    <t>Processor GIS Feature Layer</t>
  </si>
  <si>
    <t>Links:</t>
  </si>
  <si>
    <t>FTOT-Public GitHub Repository</t>
  </si>
  <si>
    <t>FTOT Landing Page</t>
  </si>
  <si>
    <t>The Freight and Fuel Transportation Optimization Tool (FTOT) is a flexible scenario-testing tool that optimizes the transportation of materials for future energy and freight scenarios. FTOT was developed at the U.S. Department of Transportation’s Volpe National Transportation Systems Center.</t>
  </si>
  <si>
    <t>Select from drop-down menu:</t>
  </si>
  <si>
    <t>Provide text:</t>
  </si>
  <si>
    <t>Enter full file paths or "None":</t>
  </si>
  <si>
    <t>Enter numbers:</t>
  </si>
  <si>
    <t>Enter units:</t>
  </si>
  <si>
    <t>Select units from drop-down:</t>
  </si>
  <si>
    <t>Should be in grams of CO2 per unit of distance (e.g., g/mi).</t>
  </si>
  <si>
    <t>Should be in grams of CO2 per unit of commodity mass and distance (e.g., g/ton/mi).</t>
  </si>
  <si>
    <t>Set TRUE or FALSE:</t>
  </si>
  <si>
    <t>Set TRUE / FALSE toggle and enter numbers:</t>
  </si>
  <si>
    <t>Additional File Paths</t>
  </si>
  <si>
    <t>Set to "None" if not applicable.</t>
  </si>
  <si>
    <t>Facilities</t>
  </si>
  <si>
    <t>Required for SOME facility types --&gt;</t>
  </si>
  <si>
    <t>Required for ALL facility types --&gt;</t>
  </si>
  <si>
    <r>
      <t>2)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</si>
  <si>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Required for use w/ non-existing facilities</t>
  </si>
  <si>
    <r>
      <t>b)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</si>
  <si>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Pipeline Product</t>
  </si>
  <si>
    <t>b) Specify a folder file path to put the FTOT input files that will be generated by the tool.</t>
  </si>
  <si>
    <t>Solid/Liquid Units List drop-down depending on commodity</t>
  </si>
  <si>
    <t>Input Amount</t>
  </si>
  <si>
    <t>Output Units</t>
  </si>
  <si>
    <t>Output Amount</t>
  </si>
  <si>
    <t>Input Units</t>
  </si>
  <si>
    <t>Solid and Liquid Units List</t>
  </si>
  <si>
    <t>Existing Facilities</t>
  </si>
  <si>
    <t>Do not edit --&gt;</t>
  </si>
  <si>
    <t>Input Commodity</t>
  </si>
  <si>
    <t>Process</t>
  </si>
  <si>
    <t>Allowed Units</t>
  </si>
  <si>
    <t>Select units from drop-down and/or enter units:</t>
  </si>
  <si>
    <t>Solid/Liquid Units List drop-down depending on commodity or process</t>
  </si>
  <si>
    <t>a) When prompted, drag the template file from your File Explorer into the Command Prompt.</t>
  </si>
  <si>
    <t>For questions or issues in using this template, please contact the FTOT development team (FTOT-Team@dot.gov) or log an issue in the FTOT-Public GitHub Repository.</t>
  </si>
  <si>
    <t>Resource</t>
  </si>
  <si>
    <t>Logging residues</t>
  </si>
  <si>
    <t>Hardwood lowland logging residues</t>
  </si>
  <si>
    <t>Softwood planted logging residues</t>
  </si>
  <si>
    <t>Mixedwood logging residues</t>
  </si>
  <si>
    <t>Hardwood upland logging residues</t>
  </si>
  <si>
    <t>Softwood natural logging residues</t>
  </si>
  <si>
    <t>Small-diameter trees</t>
  </si>
  <si>
    <t>Hardwood lowland small-diameter trees</t>
  </si>
  <si>
    <t>Other forest waste</t>
  </si>
  <si>
    <t>Forest waste human generated</t>
  </si>
  <si>
    <t>Softwood planted small-diameter trees</t>
  </si>
  <si>
    <t>Softwood natural small-diameter trees</t>
  </si>
  <si>
    <t>Hardwood upland small-diameter trees</t>
  </si>
  <si>
    <t>Forest processing waste</t>
  </si>
  <si>
    <t>Hardwood processing residues</t>
  </si>
  <si>
    <t>Softwood processing residues</t>
  </si>
  <si>
    <t>Mixedwood small-diameter trees</t>
  </si>
  <si>
    <t>Fire reduction thinnings</t>
  </si>
  <si>
    <t>Mixedwood thinning residues</t>
  </si>
  <si>
    <t>Agricultural residues</t>
  </si>
  <si>
    <t>Corn stover</t>
  </si>
  <si>
    <t>Barley straw</t>
  </si>
  <si>
    <t>Oats straw</t>
  </si>
  <si>
    <t>Wheat straw</t>
  </si>
  <si>
    <t>Sorghum stubble</t>
  </si>
  <si>
    <t>Intermediate oilseeds</t>
  </si>
  <si>
    <t>Pennycress</t>
  </si>
  <si>
    <t>Camelina</t>
  </si>
  <si>
    <t>Carinata</t>
  </si>
  <si>
    <t>Rice straw</t>
  </si>
  <si>
    <t>Pruning residues, noncitrus</t>
  </si>
  <si>
    <t>Cotton field residues</t>
  </si>
  <si>
    <t>Ag processing waste</t>
  </si>
  <si>
    <t>Cotton gin trash</t>
  </si>
  <si>
    <t>Pruning residues, tree nuts</t>
  </si>
  <si>
    <t>Pruning residues, citrus</t>
  </si>
  <si>
    <t>Rice hulls</t>
  </si>
  <si>
    <t>FOG</t>
  </si>
  <si>
    <t>FOG, animal fats</t>
  </si>
  <si>
    <t>FOG, brown grease</t>
  </si>
  <si>
    <t>FOG, yellow grease</t>
  </si>
  <si>
    <t>Other solid waste</t>
  </si>
  <si>
    <t>Rubber and leather</t>
  </si>
  <si>
    <t>Textiles</t>
  </si>
  <si>
    <t>Urban wood, clean</t>
  </si>
  <si>
    <t>Yard waste</t>
  </si>
  <si>
    <t>Paper</t>
  </si>
  <si>
    <t>Paper and paperboard</t>
  </si>
  <si>
    <t>Plastic</t>
  </si>
  <si>
    <t>Plastics</t>
  </si>
  <si>
    <t>Scenario</t>
  </si>
  <si>
    <t>Emerging</t>
  </si>
  <si>
    <t>Conversion Process</t>
  </si>
  <si>
    <t>Fischer-Tropsch</t>
  </si>
  <si>
    <t>HEFA</t>
  </si>
  <si>
    <t>Pyrolysis</t>
  </si>
  <si>
    <t>Nth/Pioneer</t>
  </si>
  <si>
    <t>Commodity</t>
  </si>
  <si>
    <t>Mature-market medium</t>
  </si>
  <si>
    <t>Mature-market low</t>
  </si>
  <si>
    <t>Near-term</t>
  </si>
  <si>
    <t>Mature-market high</t>
  </si>
  <si>
    <t>Pioneer</t>
  </si>
  <si>
    <t>Single select</t>
  </si>
  <si>
    <r>
      <t xml:space="preserve">Freight and Fuel Transportation Optimization Tool (FTOT)
</t>
    </r>
    <r>
      <rPr>
        <b/>
        <u/>
        <sz val="24"/>
        <color theme="1"/>
        <rFont val="Calibri"/>
        <family val="2"/>
        <scheme val="minor"/>
      </rPr>
      <t>Sustainable Aviation Fuel (SAF)</t>
    </r>
    <r>
      <rPr>
        <b/>
        <sz val="24"/>
        <color theme="1"/>
        <rFont val="Calibri"/>
        <family val="2"/>
        <scheme val="minor"/>
      </rPr>
      <t xml:space="preserve"> Scenario Setup Template
[BETA Version]</t>
    </r>
  </si>
  <si>
    <t>Filtered</t>
  </si>
  <si>
    <t>SAF</t>
  </si>
  <si>
    <t>makeSAF</t>
  </si>
  <si>
    <t>Leave as None for SAF scenario template</t>
  </si>
  <si>
    <t>fuel_blend</t>
  </si>
  <si>
    <t>blendSAF</t>
  </si>
  <si>
    <t>makeSAF_Existing</t>
  </si>
  <si>
    <t>BHM</t>
  </si>
  <si>
    <t>HSV</t>
  </si>
  <si>
    <t>PHX</t>
  </si>
  <si>
    <t>TUS</t>
  </si>
  <si>
    <t>XNA</t>
  </si>
  <si>
    <t>BUR</t>
  </si>
  <si>
    <t>LAX</t>
  </si>
  <si>
    <t>LGB</t>
  </si>
  <si>
    <t>OAK</t>
  </si>
  <si>
    <t>ONT</t>
  </si>
  <si>
    <t>PSP</t>
  </si>
  <si>
    <t>SAN</t>
  </si>
  <si>
    <t>SBA</t>
  </si>
  <si>
    <t>SFO</t>
  </si>
  <si>
    <t>SJC</t>
  </si>
  <si>
    <t>SMF</t>
  </si>
  <si>
    <t>SNA</t>
  </si>
  <si>
    <t>COS</t>
  </si>
  <si>
    <t>DEN</t>
  </si>
  <si>
    <t>BDL</t>
  </si>
  <si>
    <t>HVN</t>
  </si>
  <si>
    <t>ECP</t>
  </si>
  <si>
    <t>FLL</t>
  </si>
  <si>
    <t>JAX</t>
  </si>
  <si>
    <t>MCO</t>
  </si>
  <si>
    <t>MIA</t>
  </si>
  <si>
    <t>MLB</t>
  </si>
  <si>
    <t>PBI</t>
  </si>
  <si>
    <t>PGD</t>
  </si>
  <si>
    <t>PIE</t>
  </si>
  <si>
    <t>PNS</t>
  </si>
  <si>
    <t>RSW</t>
  </si>
  <si>
    <t>SFB</t>
  </si>
  <si>
    <t>SRQ</t>
  </si>
  <si>
    <t>TLH</t>
  </si>
  <si>
    <t>TPA</t>
  </si>
  <si>
    <t>VPS</t>
  </si>
  <si>
    <t>ATL</t>
  </si>
  <si>
    <t>SAV</t>
  </si>
  <si>
    <t>MDW</t>
  </si>
  <si>
    <t>ORD</t>
  </si>
  <si>
    <t>IND</t>
  </si>
  <si>
    <t>DSM</t>
  </si>
  <si>
    <t>ICT</t>
  </si>
  <si>
    <t>CVG</t>
  </si>
  <si>
    <t>SDF</t>
  </si>
  <si>
    <t>MSY</t>
  </si>
  <si>
    <t>BWI</t>
  </si>
  <si>
    <t>BOS</t>
  </si>
  <si>
    <t>DTW</t>
  </si>
  <si>
    <t>GRR</t>
  </si>
  <si>
    <t>MSP</t>
  </si>
  <si>
    <t>MCI</t>
  </si>
  <si>
    <t>STL</t>
  </si>
  <si>
    <t>BZN</t>
  </si>
  <si>
    <t>OMA</t>
  </si>
  <si>
    <t>LAS</t>
  </si>
  <si>
    <t>RNO</t>
  </si>
  <si>
    <t>EWR</t>
  </si>
  <si>
    <t>ABQ</t>
  </si>
  <si>
    <t>ALB</t>
  </si>
  <si>
    <t>BUF</t>
  </si>
  <si>
    <t>HPN</t>
  </si>
  <si>
    <t>ISP</t>
  </si>
  <si>
    <t>JFK</t>
  </si>
  <si>
    <t>LGA</t>
  </si>
  <si>
    <t>ROC</t>
  </si>
  <si>
    <t>SWF</t>
  </si>
  <si>
    <t>SYR</t>
  </si>
  <si>
    <t>AVL</t>
  </si>
  <si>
    <t>CLT</t>
  </si>
  <si>
    <t>GSO</t>
  </si>
  <si>
    <t>RDU</t>
  </si>
  <si>
    <t>GFK</t>
  </si>
  <si>
    <t>CLE</t>
  </si>
  <si>
    <t>CMH</t>
  </si>
  <si>
    <t>LCK</t>
  </si>
  <si>
    <t>OKC</t>
  </si>
  <si>
    <t>TUL</t>
  </si>
  <si>
    <t>EUG</t>
  </si>
  <si>
    <t>PDX</t>
  </si>
  <si>
    <t>ABE</t>
  </si>
  <si>
    <t>MDT</t>
  </si>
  <si>
    <t>PHL</t>
  </si>
  <si>
    <t>PIT</t>
  </si>
  <si>
    <t>PVD</t>
  </si>
  <si>
    <t>CAE</t>
  </si>
  <si>
    <t>CHS</t>
  </si>
  <si>
    <t>GSP</t>
  </si>
  <si>
    <t>MYR</t>
  </si>
  <si>
    <t>BNA</t>
  </si>
  <si>
    <t>MEM</t>
  </si>
  <si>
    <t>TYS</t>
  </si>
  <si>
    <t>AFW</t>
  </si>
  <si>
    <t>AUS</t>
  </si>
  <si>
    <t>DAL</t>
  </si>
  <si>
    <t>DFW</t>
  </si>
  <si>
    <t>ELP</t>
  </si>
  <si>
    <t>HOU</t>
  </si>
  <si>
    <t>IAH</t>
  </si>
  <si>
    <t>SAT</t>
  </si>
  <si>
    <t>SLC</t>
  </si>
  <si>
    <t>DCA</t>
  </si>
  <si>
    <t>IAD</t>
  </si>
  <si>
    <t>ORF</t>
  </si>
  <si>
    <t>GEG</t>
  </si>
  <si>
    <t>PAE</t>
  </si>
  <si>
    <t>SEA</t>
  </si>
  <si>
    <t>MKE</t>
  </si>
  <si>
    <t>MSN</t>
  </si>
  <si>
    <t>Airport Code</t>
  </si>
  <si>
    <t>FAA Hub Size</t>
  </si>
  <si>
    <t>City</t>
  </si>
  <si>
    <t>Birmingham</t>
  </si>
  <si>
    <t>Huntsville</t>
  </si>
  <si>
    <t>Phoenix</t>
  </si>
  <si>
    <t>Tucson</t>
  </si>
  <si>
    <t>Burbank</t>
  </si>
  <si>
    <t>Los Angeles</t>
  </si>
  <si>
    <t>Long Beach</t>
  </si>
  <si>
    <t>Oakland</t>
  </si>
  <si>
    <t>Ontario</t>
  </si>
  <si>
    <t>Palm Springs</t>
  </si>
  <si>
    <t>San Diego</t>
  </si>
  <si>
    <t>Santa Barbara</t>
  </si>
  <si>
    <t>San Francisco</t>
  </si>
  <si>
    <t>San Jose</t>
  </si>
  <si>
    <t>Sacramento</t>
  </si>
  <si>
    <t>Santa Ana</t>
  </si>
  <si>
    <t>Colorado Springs</t>
  </si>
  <si>
    <t>Denver</t>
  </si>
  <si>
    <t>Windsor Locks</t>
  </si>
  <si>
    <t>New Haven</t>
  </si>
  <si>
    <t>Panama City</t>
  </si>
  <si>
    <t>Fort Lauderdale</t>
  </si>
  <si>
    <t>Jacksonville</t>
  </si>
  <si>
    <t>Orlando</t>
  </si>
  <si>
    <t>Miami</t>
  </si>
  <si>
    <t>Melbourne</t>
  </si>
  <si>
    <t>West Palm Beach</t>
  </si>
  <si>
    <t>Punta Gorda</t>
  </si>
  <si>
    <t>St Petersburg-Clearwater</t>
  </si>
  <si>
    <t>Pensacola</t>
  </si>
  <si>
    <t>Fort Myers</t>
  </si>
  <si>
    <t>Sarasota/Bradenton</t>
  </si>
  <si>
    <t>Tallahassee</t>
  </si>
  <si>
    <t>Tampa</t>
  </si>
  <si>
    <t>Valparaiso</t>
  </si>
  <si>
    <t>Atlanta</t>
  </si>
  <si>
    <t>Savannah</t>
  </si>
  <si>
    <t>Chicago</t>
  </si>
  <si>
    <t>Indianapolis</t>
  </si>
  <si>
    <t>Des Moines</t>
  </si>
  <si>
    <t>Wichita</t>
  </si>
  <si>
    <t>Covington</t>
  </si>
  <si>
    <t>Louisville</t>
  </si>
  <si>
    <t>New Orleans</t>
  </si>
  <si>
    <t>Baltimore</t>
  </si>
  <si>
    <t>Boston</t>
  </si>
  <si>
    <t>Detroit</t>
  </si>
  <si>
    <t>Grand Rapids</t>
  </si>
  <si>
    <t>Minneapolis</t>
  </si>
  <si>
    <t>Kansas City</t>
  </si>
  <si>
    <t>St Louis</t>
  </si>
  <si>
    <t>Bozeman</t>
  </si>
  <si>
    <t>Omaha</t>
  </si>
  <si>
    <t>Las Vegas</t>
  </si>
  <si>
    <t>Reno</t>
  </si>
  <si>
    <t>Newark</t>
  </si>
  <si>
    <t>Albuquerque</t>
  </si>
  <si>
    <t>Albany</t>
  </si>
  <si>
    <t>Buffalo</t>
  </si>
  <si>
    <t>White Plains</t>
  </si>
  <si>
    <t>Rochester</t>
  </si>
  <si>
    <t>Newburgh</t>
  </si>
  <si>
    <t>Syracuse</t>
  </si>
  <si>
    <t>Asheville</t>
  </si>
  <si>
    <t>Charlotte</t>
  </si>
  <si>
    <t>Greensboro</t>
  </si>
  <si>
    <t>Raleigh/Durham</t>
  </si>
  <si>
    <t>Grand Forks</t>
  </si>
  <si>
    <t>Cleveland</t>
  </si>
  <si>
    <t>Columbus</t>
  </si>
  <si>
    <t>Oklahoma City</t>
  </si>
  <si>
    <t>Tulsa</t>
  </si>
  <si>
    <t>Eugene</t>
  </si>
  <si>
    <t>Portland</t>
  </si>
  <si>
    <t>Allentown</t>
  </si>
  <si>
    <t>Harrisburg</t>
  </si>
  <si>
    <t>Philadelphia</t>
  </si>
  <si>
    <t>Pittsburgh</t>
  </si>
  <si>
    <t>Providence</t>
  </si>
  <si>
    <t>Columbia</t>
  </si>
  <si>
    <t>Charleston</t>
  </si>
  <si>
    <t>Greer</t>
  </si>
  <si>
    <t>Myrtle Beach</t>
  </si>
  <si>
    <t>Nashville</t>
  </si>
  <si>
    <t>Memphis</t>
  </si>
  <si>
    <t>Knoxville</t>
  </si>
  <si>
    <t>Fort Worth</t>
  </si>
  <si>
    <t>Austin</t>
  </si>
  <si>
    <t>Dallas</t>
  </si>
  <si>
    <t>Dallas-Fort Worth</t>
  </si>
  <si>
    <t>El Paso</t>
  </si>
  <si>
    <t>Houston</t>
  </si>
  <si>
    <t>San Antonio</t>
  </si>
  <si>
    <t>Salt Lake City</t>
  </si>
  <si>
    <t>Norfolk</t>
  </si>
  <si>
    <t>Spokane</t>
  </si>
  <si>
    <t>Everett</t>
  </si>
  <si>
    <t>Seattle</t>
  </si>
  <si>
    <t>Milwaukee</t>
  </si>
  <si>
    <t>Madison</t>
  </si>
  <si>
    <t>Mentor</t>
  </si>
  <si>
    <t>Cincinnati</t>
  </si>
  <si>
    <t>East Rochester</t>
  </si>
  <si>
    <t>Saint Louis</t>
  </si>
  <si>
    <t>Willow Springs</t>
  </si>
  <si>
    <t>Brownsville</t>
  </si>
  <si>
    <t>Galena Park</t>
  </si>
  <si>
    <t>El Segundo</t>
  </si>
  <si>
    <t>Arcadia</t>
  </si>
  <si>
    <t>Collins</t>
  </si>
  <si>
    <t>Pascagoula</t>
  </si>
  <si>
    <t>Van Nuys</t>
  </si>
  <si>
    <t>Huntington Beach</t>
  </si>
  <si>
    <t>Montebello</t>
  </si>
  <si>
    <t>Tracy</t>
  </si>
  <si>
    <t>Martinez</t>
  </si>
  <si>
    <t>Eureka</t>
  </si>
  <si>
    <t>Richmond</t>
  </si>
  <si>
    <t>Doraville</t>
  </si>
  <si>
    <t>Hoquiam</t>
  </si>
  <si>
    <t>Wilmington</t>
  </si>
  <si>
    <t>Rensselaer</t>
  </si>
  <si>
    <t>Forest View</t>
  </si>
  <si>
    <t>Mount Airy</t>
  </si>
  <si>
    <t>Chesapeake</t>
  </si>
  <si>
    <t>Glenmont</t>
  </si>
  <si>
    <t>North Little Rock</t>
  </si>
  <si>
    <t>Granite City</t>
  </si>
  <si>
    <t>Baton Rouge</t>
  </si>
  <si>
    <t>Pine Bluff</t>
  </si>
  <si>
    <t>Weirton</t>
  </si>
  <si>
    <t>Chickasaw</t>
  </si>
  <si>
    <t>Mobile</t>
  </si>
  <si>
    <t>Salisbury</t>
  </si>
  <si>
    <t>Hugheston</t>
  </si>
  <si>
    <t>Mount Pleasant</t>
  </si>
  <si>
    <t>Pleasanton</t>
  </si>
  <si>
    <t>Iuka</t>
  </si>
  <si>
    <t>Catoosa</t>
  </si>
  <si>
    <t>Dodge City</t>
  </si>
  <si>
    <t>El Dorado</t>
  </si>
  <si>
    <t>Ennis</t>
  </si>
  <si>
    <t>Fontana</t>
  </si>
  <si>
    <t>Halstead</t>
  </si>
  <si>
    <t>Lawton</t>
  </si>
  <si>
    <t>Little Rock</t>
  </si>
  <si>
    <t>Parsons</t>
  </si>
  <si>
    <t>Salina</t>
  </si>
  <si>
    <t>Corpus Christi</t>
  </si>
  <si>
    <t>Garden City</t>
  </si>
  <si>
    <t>Saginaw</t>
  </si>
  <si>
    <t>Lubbock</t>
  </si>
  <si>
    <t>Cheyenne</t>
  </si>
  <si>
    <t>Boise</t>
  </si>
  <si>
    <t>Pasco</t>
  </si>
  <si>
    <t>Gloucester City</t>
  </si>
  <si>
    <t>Grand Island</t>
  </si>
  <si>
    <t>Grand Junction</t>
  </si>
  <si>
    <t>Newport News</t>
  </si>
  <si>
    <t>Pueblo</t>
  </si>
  <si>
    <t>Dumfries</t>
  </si>
  <si>
    <t>Bainbridge</t>
  </si>
  <si>
    <t>Muskogee</t>
  </si>
  <si>
    <t>Loma</t>
  </si>
  <si>
    <t>Waupun</t>
  </si>
  <si>
    <t>Mcfarland</t>
  </si>
  <si>
    <t>Junction City</t>
  </si>
  <si>
    <t>Euless</t>
  </si>
  <si>
    <t>Cedar Creek</t>
  </si>
  <si>
    <t>Waco</t>
  </si>
  <si>
    <t>Algona</t>
  </si>
  <si>
    <t>Davenport</t>
  </si>
  <si>
    <t>Dubuque</t>
  </si>
  <si>
    <t>Marshall</t>
  </si>
  <si>
    <t>Savage</t>
  </si>
  <si>
    <t>Saint Paul</t>
  </si>
  <si>
    <t>West Fargo</t>
  </si>
  <si>
    <t>Green Bay</t>
  </si>
  <si>
    <t>Stevens Point</t>
  </si>
  <si>
    <t>Buda</t>
  </si>
  <si>
    <t>Rosemount</t>
  </si>
  <si>
    <t>Taylor</t>
  </si>
  <si>
    <t>Delmita</t>
  </si>
  <si>
    <t>Anniston</t>
  </si>
  <si>
    <t>Freeport</t>
  </si>
  <si>
    <t>Jonesboro</t>
  </si>
  <si>
    <t>Montgomery</t>
  </si>
  <si>
    <t>Sheffield</t>
  </si>
  <si>
    <t>Meridian</t>
  </si>
  <si>
    <t>Chelsea</t>
  </si>
  <si>
    <t>Linden</t>
  </si>
  <si>
    <t>South Portland</t>
  </si>
  <si>
    <t>Woodbury</t>
  </si>
  <si>
    <t>Altoona</t>
  </si>
  <si>
    <t>Coraopolis</t>
  </si>
  <si>
    <t>Pittston</t>
  </si>
  <si>
    <t>Middletown</t>
  </si>
  <si>
    <t>Mechanicsburg</t>
  </si>
  <si>
    <t>Northumberland</t>
  </si>
  <si>
    <t>Sinking Spring</t>
  </si>
  <si>
    <t>Delmont</t>
  </si>
  <si>
    <t>Fullerton</t>
  </si>
  <si>
    <t>Tacoma</t>
  </si>
  <si>
    <t>Alexandria</t>
  </si>
  <si>
    <t>Monroe</t>
  </si>
  <si>
    <t>Benton</t>
  </si>
  <si>
    <t>Saint Elmo</t>
  </si>
  <si>
    <t>Lake City</t>
  </si>
  <si>
    <t>Gainesville</t>
  </si>
  <si>
    <t>Bristol</t>
  </si>
  <si>
    <t>Martinsburg</t>
  </si>
  <si>
    <t>Roanoke</t>
  </si>
  <si>
    <t>Inman</t>
  </si>
  <si>
    <t>Hopewell</t>
  </si>
  <si>
    <t>Owensboro</t>
  </si>
  <si>
    <t>Canton</t>
  </si>
  <si>
    <t>East Hartford</t>
  </si>
  <si>
    <t>Casper</t>
  </si>
  <si>
    <t>Chippewa Falls</t>
  </si>
  <si>
    <t>Cheboygan</t>
  </si>
  <si>
    <t>Bettendorf</t>
  </si>
  <si>
    <t>Bryan</t>
  </si>
  <si>
    <t>Rogers City</t>
  </si>
  <si>
    <t>Melissa</t>
  </si>
  <si>
    <t>Spartanburg</t>
  </si>
  <si>
    <t>North Augusta</t>
  </si>
  <si>
    <t>Meraux</t>
  </si>
  <si>
    <t>West Memphis</t>
  </si>
  <si>
    <t>Arkansas City</t>
  </si>
  <si>
    <t>Beaumont</t>
  </si>
  <si>
    <t>Hammond</t>
  </si>
  <si>
    <t>Blue Island</t>
  </si>
  <si>
    <t>Lexington</t>
  </si>
  <si>
    <t>Hearne</t>
  </si>
  <si>
    <t>Brooklyn</t>
  </si>
  <si>
    <t>Newington</t>
  </si>
  <si>
    <t>Plaquemine</t>
  </si>
  <si>
    <t>Sulphur</t>
  </si>
  <si>
    <t>Bromley</t>
  </si>
  <si>
    <t>Port Allen</t>
  </si>
  <si>
    <t>Richwood</t>
  </si>
  <si>
    <t>Hayti</t>
  </si>
  <si>
    <t>South Bend</t>
  </si>
  <si>
    <t>Bedford Park</t>
  </si>
  <si>
    <t>Rockford</t>
  </si>
  <si>
    <t>Effingham</t>
  </si>
  <si>
    <t>Decatur</t>
  </si>
  <si>
    <t>Spring Lake</t>
  </si>
  <si>
    <t>Lima</t>
  </si>
  <si>
    <t>Dayton</t>
  </si>
  <si>
    <t>Muncie</t>
  </si>
  <si>
    <t>Malvern</t>
  </si>
  <si>
    <t>Emmaus</t>
  </si>
  <si>
    <t>Brewerton</t>
  </si>
  <si>
    <t>Marcy</t>
  </si>
  <si>
    <t>Utica</t>
  </si>
  <si>
    <t>Vestal</t>
  </si>
  <si>
    <t>Flint</t>
  </si>
  <si>
    <t>Niles</t>
  </si>
  <si>
    <t>Woodhaven</t>
  </si>
  <si>
    <t>Wethersfield</t>
  </si>
  <si>
    <t>East Chicago</t>
  </si>
  <si>
    <t>Kankakee</t>
  </si>
  <si>
    <t>Opelousas</t>
  </si>
  <si>
    <t>Sugar Creek</t>
  </si>
  <si>
    <t>Granger</t>
  </si>
  <si>
    <t>River Rouge</t>
  </si>
  <si>
    <t>Greensburg</t>
  </si>
  <si>
    <t>Grafton</t>
  </si>
  <si>
    <t>Toledo</t>
  </si>
  <si>
    <t>North Liberty</t>
  </si>
  <si>
    <t>Fairfax</t>
  </si>
  <si>
    <t>Council Bluffs</t>
  </si>
  <si>
    <t>Belton</t>
  </si>
  <si>
    <t>Jackson</t>
  </si>
  <si>
    <t>Ottumwa</t>
  </si>
  <si>
    <t>Bangor</t>
  </si>
  <si>
    <t>Perth Amboy</t>
  </si>
  <si>
    <t>Port Reading</t>
  </si>
  <si>
    <t>Pennsauken</t>
  </si>
  <si>
    <t>Groton</t>
  </si>
  <si>
    <t>Bayonne</t>
  </si>
  <si>
    <t>Springfield</t>
  </si>
  <si>
    <t>Indianola</t>
  </si>
  <si>
    <t>Trenton</t>
  </si>
  <si>
    <t>Marrero</t>
  </si>
  <si>
    <t>Dickson</t>
  </si>
  <si>
    <t>Macungie</t>
  </si>
  <si>
    <t>Williamsport</t>
  </si>
  <si>
    <t>Reading</t>
  </si>
  <si>
    <t>Tuscola</t>
  </si>
  <si>
    <t>Huntington</t>
  </si>
  <si>
    <t>Chattanooga</t>
  </si>
  <si>
    <t>Selma</t>
  </si>
  <si>
    <t>Macon</t>
  </si>
  <si>
    <t>Saint Peters</t>
  </si>
  <si>
    <t>Port Fourchon</t>
  </si>
  <si>
    <t>Stockton</t>
  </si>
  <si>
    <t>Minot</t>
  </si>
  <si>
    <t>Glendive</t>
  </si>
  <si>
    <t>Missoula</t>
  </si>
  <si>
    <t>Three Forks</t>
  </si>
  <si>
    <t>Crookston</t>
  </si>
  <si>
    <t>Esko</t>
  </si>
  <si>
    <t>Rhinelander</t>
  </si>
  <si>
    <t>Superior</t>
  </si>
  <si>
    <t>Brazoria</t>
  </si>
  <si>
    <t>Savona</t>
  </si>
  <si>
    <t>Schaefferstown</t>
  </si>
  <si>
    <t>York</t>
  </si>
  <si>
    <t>Alto</t>
  </si>
  <si>
    <t>Hampden</t>
  </si>
  <si>
    <t>Fredericksburg</t>
  </si>
  <si>
    <t>Austell</t>
  </si>
  <si>
    <t>Rock Springs</t>
  </si>
  <si>
    <t>Bloomington</t>
  </si>
  <si>
    <t>Sheridan</t>
  </si>
  <si>
    <t>Jenks</t>
  </si>
  <si>
    <t>Westlake</t>
  </si>
  <si>
    <t>Great Falls</t>
  </si>
  <si>
    <t>Billings</t>
  </si>
  <si>
    <t>Helena</t>
  </si>
  <si>
    <t>Medford</t>
  </si>
  <si>
    <t>Hartford</t>
  </si>
  <si>
    <t>Roca</t>
  </si>
  <si>
    <t>Renton</t>
  </si>
  <si>
    <t>Mount Vernon</t>
  </si>
  <si>
    <t>Ponca City</t>
  </si>
  <si>
    <t>Cahokia</t>
  </si>
  <si>
    <t>Amarillo</t>
  </si>
  <si>
    <t>La Junta</t>
  </si>
  <si>
    <t>North Salt Lake</t>
  </si>
  <si>
    <t>Lost Hills</t>
  </si>
  <si>
    <t>Evansville</t>
  </si>
  <si>
    <t>Jefferson City</t>
  </si>
  <si>
    <t>Paola</t>
  </si>
  <si>
    <t>Nederland</t>
  </si>
  <si>
    <t>Switz City</t>
  </si>
  <si>
    <t>Peru</t>
  </si>
  <si>
    <t>Westfield</t>
  </si>
  <si>
    <t>Ogden</t>
  </si>
  <si>
    <t>Saint Marys</t>
  </si>
  <si>
    <t>Marysville</t>
  </si>
  <si>
    <t>Big Sandy</t>
  </si>
  <si>
    <t>Abilene</t>
  </si>
  <si>
    <t>San Angelo</t>
  </si>
  <si>
    <t>Duncan</t>
  </si>
  <si>
    <t>New Madrid</t>
  </si>
  <si>
    <t>Greenville</t>
  </si>
  <si>
    <t>Paulsboro</t>
  </si>
  <si>
    <t>Steins</t>
  </si>
  <si>
    <t>Markham</t>
  </si>
  <si>
    <t>Baldwin</t>
  </si>
  <si>
    <t>Tyler</t>
  </si>
  <si>
    <t>Denton</t>
  </si>
  <si>
    <t>Cartersville</t>
  </si>
  <si>
    <t>Augusta</t>
  </si>
  <si>
    <t>Ingleside</t>
  </si>
  <si>
    <t>College Point</t>
  </si>
  <si>
    <t>Youngstown</t>
  </si>
  <si>
    <t>Owosso</t>
  </si>
  <si>
    <t>Akron</t>
  </si>
  <si>
    <t>Kingston</t>
  </si>
  <si>
    <t>Center</t>
  </si>
  <si>
    <t>Waskom</t>
  </si>
  <si>
    <t>Blawnox</t>
  </si>
  <si>
    <t>Inkster</t>
  </si>
  <si>
    <t>Romulus</t>
  </si>
  <si>
    <t>Westville</t>
  </si>
  <si>
    <t>East Boston</t>
  </si>
  <si>
    <t>Manassas</t>
  </si>
  <si>
    <t>Aston Mills</t>
  </si>
  <si>
    <t>Warners</t>
  </si>
  <si>
    <t>Marcus Hook</t>
  </si>
  <si>
    <t>Big Flats</t>
  </si>
  <si>
    <t>Caddo Mills</t>
  </si>
  <si>
    <t>Virginia Beach</t>
  </si>
  <si>
    <t>Mont Belvieu</t>
  </si>
  <si>
    <t>Hattiesburg</t>
  </si>
  <si>
    <t>Dupont</t>
  </si>
  <si>
    <t>Aurora</t>
  </si>
  <si>
    <t>Belle Vernon</t>
  </si>
  <si>
    <t>Star City</t>
  </si>
  <si>
    <t>Galveston</t>
  </si>
  <si>
    <t>Breaux Bridge</t>
  </si>
  <si>
    <t>Petal</t>
  </si>
  <si>
    <t>Adamana</t>
  </si>
  <si>
    <t>Hutchinson</t>
  </si>
  <si>
    <t>Inver Grove Heights</t>
  </si>
  <si>
    <t>Sylva</t>
  </si>
  <si>
    <t>Flagstaff</t>
  </si>
  <si>
    <t>Morgans Point</t>
  </si>
  <si>
    <t>Opelika</t>
  </si>
  <si>
    <t>Demopolis</t>
  </si>
  <si>
    <t>Milner</t>
  </si>
  <si>
    <t>Apex</t>
  </si>
  <si>
    <t>Cheraw</t>
  </si>
  <si>
    <t>Monee</t>
  </si>
  <si>
    <t>Coshocton</t>
  </si>
  <si>
    <t>Luthersburg</t>
  </si>
  <si>
    <t>Harford Mills</t>
  </si>
  <si>
    <t>Watkins Glen</t>
  </si>
  <si>
    <t>Oneonta</t>
  </si>
  <si>
    <t>Selkirk</t>
  </si>
  <si>
    <t>Greenwood</t>
  </si>
  <si>
    <t>Higginbotham</t>
  </si>
  <si>
    <t>Iowa City</t>
  </si>
  <si>
    <t>Cantril</t>
  </si>
  <si>
    <t>Morganville</t>
  </si>
  <si>
    <t>Zwingle</t>
  </si>
  <si>
    <t>Farmington</t>
  </si>
  <si>
    <t>Janesville</t>
  </si>
  <si>
    <t>Kearney</t>
  </si>
  <si>
    <t>Vernon Center</t>
  </si>
  <si>
    <t>Cairo</t>
  </si>
  <si>
    <t>Beaver</t>
  </si>
  <si>
    <t>Sanborn</t>
  </si>
  <si>
    <t>Whiting</t>
  </si>
  <si>
    <t>Clint</t>
  </si>
  <si>
    <t>Texas City</t>
  </si>
  <si>
    <t>Boligee</t>
  </si>
  <si>
    <t>Port Arthur</t>
  </si>
  <si>
    <t>Aberdeen</t>
  </si>
  <si>
    <t>Lebanon</t>
  </si>
  <si>
    <t>Scott City</t>
  </si>
  <si>
    <t>Oakland City</t>
  </si>
  <si>
    <t>Bossier City</t>
  </si>
  <si>
    <t>Vidor</t>
  </si>
  <si>
    <t>Lithonia</t>
  </si>
  <si>
    <t>Newport</t>
  </si>
  <si>
    <t>Arlington Heights</t>
  </si>
  <si>
    <t>Lockport</t>
  </si>
  <si>
    <t>Cicero</t>
  </si>
  <si>
    <t>East Providence</t>
  </si>
  <si>
    <t>Irving</t>
  </si>
  <si>
    <t>Hull</t>
  </si>
  <si>
    <t>Sorrento</t>
  </si>
  <si>
    <t>Gibbstown</t>
  </si>
  <si>
    <t>Petersburg</t>
  </si>
  <si>
    <t>Fort Dodge</t>
  </si>
  <si>
    <t>Ashkum</t>
  </si>
  <si>
    <t>Wathena</t>
  </si>
  <si>
    <t>New Hampton</t>
  </si>
  <si>
    <t>Amboy</t>
  </si>
  <si>
    <t>Fort Madison</t>
  </si>
  <si>
    <t>Meredosia</t>
  </si>
  <si>
    <t>Morehead City</t>
  </si>
  <si>
    <t>Shreveport</t>
  </si>
  <si>
    <t>Geismar</t>
  </si>
  <si>
    <t>Sandwich</t>
  </si>
  <si>
    <t>Bridgeport</t>
  </si>
  <si>
    <t>Burlington</t>
  </si>
  <si>
    <t>Revere</t>
  </si>
  <si>
    <t>New Windsor</t>
  </si>
  <si>
    <t>Glenwood Landing</t>
  </si>
  <si>
    <t>Inwood</t>
  </si>
  <si>
    <t>Clatskanie</t>
  </si>
  <si>
    <t>Saint Albans</t>
  </si>
  <si>
    <t>Mckees Rocks</t>
  </si>
  <si>
    <t>Bakersfield</t>
  </si>
  <si>
    <t>Carrollton</t>
  </si>
  <si>
    <t>Burley</t>
  </si>
  <si>
    <t>Sinclair</t>
  </si>
  <si>
    <t>North Las Vegas</t>
  </si>
  <si>
    <t>Cedar City</t>
  </si>
  <si>
    <t>Nantucket</t>
  </si>
  <si>
    <t>Athens</t>
  </si>
  <si>
    <t>Stamford</t>
  </si>
  <si>
    <t>Quincy</t>
  </si>
  <si>
    <t>Searsport</t>
  </si>
  <si>
    <t>Bronx</t>
  </si>
  <si>
    <t>Lawrence</t>
  </si>
  <si>
    <t>Warsaw</t>
  </si>
  <si>
    <t>Belle Chasse</t>
  </si>
  <si>
    <t>Moriarty</t>
  </si>
  <si>
    <t>Wichita Falls</t>
  </si>
  <si>
    <t>Artesia</t>
  </si>
  <si>
    <t>Peoria</t>
  </si>
  <si>
    <t>Sidney</t>
  </si>
  <si>
    <t>Orla</t>
  </si>
  <si>
    <t>New London</t>
  </si>
  <si>
    <t>Vicksburg</t>
  </si>
  <si>
    <t>Lumberton</t>
  </si>
  <si>
    <t>Seymour</t>
  </si>
  <si>
    <t>Norris City</t>
  </si>
  <si>
    <t>Woods Cross</t>
  </si>
  <si>
    <t>Deer Park</t>
  </si>
  <si>
    <t>Pasadena</t>
  </si>
  <si>
    <t>La Porte</t>
  </si>
  <si>
    <t>Saint Rose</t>
  </si>
  <si>
    <t>Avondale</t>
  </si>
  <si>
    <t>Channahon</t>
  </si>
  <si>
    <t>Lemont</t>
  </si>
  <si>
    <t>Manly</t>
  </si>
  <si>
    <t>Portsmouth</t>
  </si>
  <si>
    <t>Sioux City</t>
  </si>
  <si>
    <t>Corson</t>
  </si>
  <si>
    <t>Venice</t>
  </si>
  <si>
    <t>Gretna</t>
  </si>
  <si>
    <t>Harlingen</t>
  </si>
  <si>
    <t>Cushing</t>
  </si>
  <si>
    <t>Brisbane</t>
  </si>
  <si>
    <t>Chico</t>
  </si>
  <si>
    <t>Fresno</t>
  </si>
  <si>
    <t>Orange</t>
  </si>
  <si>
    <t>Imperial</t>
  </si>
  <si>
    <t>Carson</t>
  </si>
  <si>
    <t>Carteret</t>
  </si>
  <si>
    <t>Argo Fay</t>
  </si>
  <si>
    <t>Curtis Bay</t>
  </si>
  <si>
    <t>Wood River</t>
  </si>
  <si>
    <t>Des Plaines</t>
  </si>
  <si>
    <t>Rochelle</t>
  </si>
  <si>
    <t>Spring Valley</t>
  </si>
  <si>
    <t>Daggett</t>
  </si>
  <si>
    <t>Lorton</t>
  </si>
  <si>
    <t>Harvey</t>
  </si>
  <si>
    <t>North Charleston</t>
  </si>
  <si>
    <t>Natchez</t>
  </si>
  <si>
    <t>Bremen</t>
  </si>
  <si>
    <t>Moundville</t>
  </si>
  <si>
    <t>Alamogordo</t>
  </si>
  <si>
    <t>Doniphan</t>
  </si>
  <si>
    <t>Heyworth</t>
  </si>
  <si>
    <t>Lincoln</t>
  </si>
  <si>
    <t>Mankato</t>
  </si>
  <si>
    <t>Mason City</t>
  </si>
  <si>
    <t>Milford</t>
  </si>
  <si>
    <t>Sioux Falls</t>
  </si>
  <si>
    <t>Topeka</t>
  </si>
  <si>
    <t>Waterloo</t>
  </si>
  <si>
    <t>Watertown</t>
  </si>
  <si>
    <t>Fargo</t>
  </si>
  <si>
    <t>Allen</t>
  </si>
  <si>
    <t>Odessa</t>
  </si>
  <si>
    <t>Nebraska City</t>
  </si>
  <si>
    <t>Palmyra</t>
  </si>
  <si>
    <t>Enid</t>
  </si>
  <si>
    <t>Brookline Historical</t>
  </si>
  <si>
    <t>Jasper</t>
  </si>
  <si>
    <t>Olathe</t>
  </si>
  <si>
    <t>Valley Center</t>
  </si>
  <si>
    <t>Fort Smith</t>
  </si>
  <si>
    <t>Aledo</t>
  </si>
  <si>
    <t>Midland</t>
  </si>
  <si>
    <t>Great Bend</t>
  </si>
  <si>
    <t>Wrenshall</t>
  </si>
  <si>
    <t>Mertens</t>
  </si>
  <si>
    <t>Riverdale</t>
  </si>
  <si>
    <t>Grapevine</t>
  </si>
  <si>
    <t>Fountain</t>
  </si>
  <si>
    <t>Rapid City</t>
  </si>
  <si>
    <t>Rogers</t>
  </si>
  <si>
    <t>Ybor City</t>
  </si>
  <si>
    <t>Wellsville</t>
  </si>
  <si>
    <t>Bordeaux</t>
  </si>
  <si>
    <t>Paducah</t>
  </si>
  <si>
    <t>Steubenville</t>
  </si>
  <si>
    <t>Bellevue</t>
  </si>
  <si>
    <t>Catlettsburg</t>
  </si>
  <si>
    <t>Floreffe</t>
  </si>
  <si>
    <t>Garyville</t>
  </si>
  <si>
    <t>Kuttawa</t>
  </si>
  <si>
    <t>North Bend</t>
  </si>
  <si>
    <t>Tonawanda</t>
  </si>
  <si>
    <t>Robinson</t>
  </si>
  <si>
    <t>Mount Morris</t>
  </si>
  <si>
    <t>Bay City</t>
  </si>
  <si>
    <t>North Muskegon</t>
  </si>
  <si>
    <t>Heath</t>
  </si>
  <si>
    <t>Champaign</t>
  </si>
  <si>
    <t>Brecksville</t>
  </si>
  <si>
    <t>Lansing</t>
  </si>
  <si>
    <t>Marietta</t>
  </si>
  <si>
    <t>Port Angeles</t>
  </si>
  <si>
    <t>Vancouver</t>
  </si>
  <si>
    <t>South Gate</t>
  </si>
  <si>
    <t>Pocatello</t>
  </si>
  <si>
    <t>Jal</t>
  </si>
  <si>
    <t>Bloomfield</t>
  </si>
  <si>
    <t>Fernley</t>
  </si>
  <si>
    <t>Theodore</t>
  </si>
  <si>
    <t>Aransas Pass</t>
  </si>
  <si>
    <t>Amelia</t>
  </si>
  <si>
    <t>Golden Meadow</t>
  </si>
  <si>
    <t>Gueydan</t>
  </si>
  <si>
    <t>Lake Charles</t>
  </si>
  <si>
    <t>Rockmart</t>
  </si>
  <si>
    <t>Mount Prospect</t>
  </si>
  <si>
    <t>Broad Brook</t>
  </si>
  <si>
    <t>Tooele</t>
  </si>
  <si>
    <t>Channelview</t>
  </si>
  <si>
    <t>Dexter</t>
  </si>
  <si>
    <t>Bono</t>
  </si>
  <si>
    <t>Delta</t>
  </si>
  <si>
    <t>Holtsville</t>
  </si>
  <si>
    <t>East Setauket</t>
  </si>
  <si>
    <t>Southlake</t>
  </si>
  <si>
    <t>Moorhead</t>
  </si>
  <si>
    <t>North Platte</t>
  </si>
  <si>
    <t>Rock Rapids</t>
  </si>
  <si>
    <t>Roseville</t>
  </si>
  <si>
    <t>Sauk Centre</t>
  </si>
  <si>
    <t>Geneva</t>
  </si>
  <si>
    <t>Jamestown</t>
  </si>
  <si>
    <t>Le Mars</t>
  </si>
  <si>
    <t>Mitchell</t>
  </si>
  <si>
    <t>Yankton</t>
  </si>
  <si>
    <t>Concordia</t>
  </si>
  <si>
    <t>Abernathy</t>
  </si>
  <si>
    <t>Edinburg</t>
  </si>
  <si>
    <t>Laredo</t>
  </si>
  <si>
    <t>Mcpherson</t>
  </si>
  <si>
    <t>Osceola</t>
  </si>
  <si>
    <t>Peaa Blanca</t>
  </si>
  <si>
    <t>Crockett</t>
  </si>
  <si>
    <t>Wolsey</t>
  </si>
  <si>
    <t>Henderson</t>
  </si>
  <si>
    <t>Bushton</t>
  </si>
  <si>
    <t>Riverview</t>
  </si>
  <si>
    <t>Plattsmouth</t>
  </si>
  <si>
    <t>Pleasant Hill</t>
  </si>
  <si>
    <t>Coralville</t>
  </si>
  <si>
    <t>Clear Lake</t>
  </si>
  <si>
    <t>Morris</t>
  </si>
  <si>
    <t>Tampico</t>
  </si>
  <si>
    <t>Sparks</t>
  </si>
  <si>
    <t>Moses Lake</t>
  </si>
  <si>
    <t>Maxbass</t>
  </si>
  <si>
    <t>La Crosse</t>
  </si>
  <si>
    <t>Griffith</t>
  </si>
  <si>
    <t>Ferndale</t>
  </si>
  <si>
    <t>Rocky Hill</t>
  </si>
  <si>
    <t>East Braintree</t>
  </si>
  <si>
    <t>Ferrysburg</t>
  </si>
  <si>
    <t>Victoria</t>
  </si>
  <si>
    <t>Niceville</t>
  </si>
  <si>
    <t>Sunshine</t>
  </si>
  <si>
    <t>Seabrook</t>
  </si>
  <si>
    <t>Yorktown</t>
  </si>
  <si>
    <t>Waddell</t>
  </si>
  <si>
    <t>San Pedro</t>
  </si>
  <si>
    <t>Saint Clair</t>
  </si>
  <si>
    <t>Camilla</t>
  </si>
  <si>
    <t>Port Isabel</t>
  </si>
  <si>
    <t>Holland</t>
  </si>
  <si>
    <t>Newell</t>
  </si>
  <si>
    <t>Sewaren</t>
  </si>
  <si>
    <t>Kenner</t>
  </si>
  <si>
    <t>Tiverton</t>
  </si>
  <si>
    <t>Fayetteville</t>
  </si>
  <si>
    <t>Port Neches</t>
  </si>
  <si>
    <t>Sauget</t>
  </si>
  <si>
    <t>Cordova</t>
  </si>
  <si>
    <t>Dania Beach</t>
  </si>
  <si>
    <t>Riviera Beach</t>
  </si>
  <si>
    <t>Cortland</t>
  </si>
  <si>
    <t>Melville</t>
  </si>
  <si>
    <t>Tullytown</t>
  </si>
  <si>
    <t>Braithwaite</t>
  </si>
  <si>
    <t>Lemay</t>
  </si>
  <si>
    <t>Elk Grove</t>
  </si>
  <si>
    <t>Port Everglades</t>
  </si>
  <si>
    <t>Hackberry</t>
  </si>
  <si>
    <t>Union</t>
  </si>
  <si>
    <t>Perry</t>
  </si>
  <si>
    <t>Saint James</t>
  </si>
  <si>
    <t>Umatilla</t>
  </si>
  <si>
    <t>Miami Beach</t>
  </si>
  <si>
    <t>Palmetto</t>
  </si>
  <si>
    <t>Americus</t>
  </si>
  <si>
    <t>Griffin</t>
  </si>
  <si>
    <t>Rome</t>
  </si>
  <si>
    <t>New Albany</t>
  </si>
  <si>
    <t>East Liverpool</t>
  </si>
  <si>
    <t>Rossville</t>
  </si>
  <si>
    <t>Montvale</t>
  </si>
  <si>
    <t>Cape Girardeau</t>
  </si>
  <si>
    <t>Cape Canaveral</t>
  </si>
  <si>
    <t>Purvis</t>
  </si>
  <si>
    <t>Compton</t>
  </si>
  <si>
    <t>Kearny</t>
  </si>
  <si>
    <t>Medina</t>
  </si>
  <si>
    <t>Summit</t>
  </si>
  <si>
    <t>Springdale</t>
  </si>
  <si>
    <t>Riverhead</t>
  </si>
  <si>
    <t>Novi</t>
  </si>
  <si>
    <t>Oswego</t>
  </si>
  <si>
    <t>Tuscaloosa</t>
  </si>
  <si>
    <t>Dearborn</t>
  </si>
  <si>
    <t>Dravosburg</t>
  </si>
  <si>
    <t>Bucksport</t>
  </si>
  <si>
    <t>Port Chester</t>
  </si>
  <si>
    <t>Blakeley</t>
  </si>
  <si>
    <t>Conway</t>
  </si>
  <si>
    <t>Dansville</t>
  </si>
  <si>
    <t>Joliet</t>
  </si>
  <si>
    <t>Terminal Name</t>
  </si>
  <si>
    <t>Hess Corp</t>
  </si>
  <si>
    <t>Valvoline</t>
  </si>
  <si>
    <t>Valvoline Llc</t>
  </si>
  <si>
    <t>Abc Gulf Coast Terminal</t>
  </si>
  <si>
    <t>Chevron Usa Inc Galena Park</t>
  </si>
  <si>
    <t>Chevron Usa Inc El Segundo</t>
  </si>
  <si>
    <t>Chevron Usa Inc Arcadia</t>
  </si>
  <si>
    <t>Chevron Usa Inc Collins</t>
  </si>
  <si>
    <t>Chevron Usa Inc Pascagoula</t>
  </si>
  <si>
    <t>Chevron Usa Inc Willbridge</t>
  </si>
  <si>
    <t>Chevron Usa Inc San Diego Terminal</t>
  </si>
  <si>
    <t>Chevron Usa Inc Van Nuys</t>
  </si>
  <si>
    <t>Chevron Usa Inc Huntington Beach</t>
  </si>
  <si>
    <t>Chevron Usa Inc Montebello</t>
  </si>
  <si>
    <t>Chevron Usa Inc Tracy</t>
  </si>
  <si>
    <t>Chevron Usa Inc San Jose</t>
  </si>
  <si>
    <t>Chevron Usa Inc Sacramento</t>
  </si>
  <si>
    <t>Chevron Usa Inc Martinez</t>
  </si>
  <si>
    <t>Chevron Usa Inc Eureka</t>
  </si>
  <si>
    <t>Chevron Usa Inc Richmond</t>
  </si>
  <si>
    <t>Chevron Usa Inc Doraville</t>
  </si>
  <si>
    <t>Chevron Usa Inc Panama City</t>
  </si>
  <si>
    <t>Chevron Usa Inc Tampa</t>
  </si>
  <si>
    <t>Chevron Usa Inc Birmingham</t>
  </si>
  <si>
    <t>Chevron Usa Inc Fort Lauderdale</t>
  </si>
  <si>
    <t>Chevron Usa Inc Charleston</t>
  </si>
  <si>
    <t>Reg Grays Harbor Llc</t>
  </si>
  <si>
    <t>Apex Oil Company Inc</t>
  </si>
  <si>
    <t>Petroleum Fuel And Terminal Company</t>
  </si>
  <si>
    <t>Petroleum Fuel &amp; Terminal Co</t>
  </si>
  <si>
    <t>Petroleum Fuels &amp; Terminal Co</t>
  </si>
  <si>
    <t>Colonial Terminals Inc</t>
  </si>
  <si>
    <t>Cti Of North Carolina Inc</t>
  </si>
  <si>
    <t>Cti Wahlstrom Terminal Inc</t>
  </si>
  <si>
    <t>Cti Foundation Terminal Inc</t>
  </si>
  <si>
    <t>Ergon West Virginia Inc</t>
  </si>
  <si>
    <t>Ergon Asphalt &amp; Emulsions Inc</t>
  </si>
  <si>
    <t>Ergon Asphalt And Emulsions</t>
  </si>
  <si>
    <t>Ergon Asphalt &amp; Emulsions</t>
  </si>
  <si>
    <t>Ergon Asphalt 7 Emulsions Inc</t>
  </si>
  <si>
    <t>Bkep Materials Llc</t>
  </si>
  <si>
    <t>Circle K Terminal Llc</t>
  </si>
  <si>
    <t>Circle K Terminal Alabama Llc</t>
  </si>
  <si>
    <t>Flint Hills Resources Lp</t>
  </si>
  <si>
    <t>Flint Hill Resources Lp</t>
  </si>
  <si>
    <t>Murphy Oil Usa Inc</t>
  </si>
  <si>
    <t>American River Transp Co</t>
  </si>
  <si>
    <t>Gulf Oil Lp</t>
  </si>
  <si>
    <t>Lucknow - Highspire Terminal</t>
  </si>
  <si>
    <t>Lucknow - Highspire Terminals</t>
  </si>
  <si>
    <t>Tlp Management Services Llc</t>
  </si>
  <si>
    <t>Seaport Sound Terminal Llc</t>
  </si>
  <si>
    <t>Pike Baltimore Terminals Llc</t>
  </si>
  <si>
    <t>Saratoga Rp East Llc</t>
  </si>
  <si>
    <t>Pro Petroleum Inc</t>
  </si>
  <si>
    <t>Alexandria Terminal Co Llc</t>
  </si>
  <si>
    <t>Monroe Terminal Company Llc</t>
  </si>
  <si>
    <t>Emulsicoat Of Southern Illinois Llc</t>
  </si>
  <si>
    <t>Associated Asphalt Lake City Llc</t>
  </si>
  <si>
    <t>Associated Asphalt Gainsville Llc</t>
  </si>
  <si>
    <t>Associated Asphalt Charlotte Llc</t>
  </si>
  <si>
    <t>Associated Asphalt Bristol Llc</t>
  </si>
  <si>
    <t>Associated Asphalt Tampa Llc</t>
  </si>
  <si>
    <t>Associated Asphalt Martinsburg Llc</t>
  </si>
  <si>
    <t>Associated Asphalt Salisbury Llc</t>
  </si>
  <si>
    <t>Associated Asphalt Greensboro Llc</t>
  </si>
  <si>
    <t>Associated Asphalt Roanoke Llc</t>
  </si>
  <si>
    <t>Associated Asphalt Inman Llc</t>
  </si>
  <si>
    <t>Associated Asphalt Hopewell Llc</t>
  </si>
  <si>
    <t>Southern States Cooperative Inc</t>
  </si>
  <si>
    <t>Ayers Oil Co</t>
  </si>
  <si>
    <t>B&amp;B Petroleum Inc</t>
  </si>
  <si>
    <t>Equitable Oil Purchasing Co</t>
  </si>
  <si>
    <t>Us Venture Inc</t>
  </si>
  <si>
    <t>Vrm</t>
  </si>
  <si>
    <t>Premcor Refining Group Inc</t>
  </si>
  <si>
    <t>Valero Terminaling &amp; Distr Co</t>
  </si>
  <si>
    <t>Valero Terminaling And Distr Co</t>
  </si>
  <si>
    <t>V-Tex Logistics Llc</t>
  </si>
  <si>
    <t>Bayside Fuel Oil Depot Corp</t>
  </si>
  <si>
    <t>Benchmark Biodiesel Inc</t>
  </si>
  <si>
    <t>Sea-3 Llc</t>
  </si>
  <si>
    <t>Sea-3 Providence Llc</t>
  </si>
  <si>
    <t>Bluewing One Llc</t>
  </si>
  <si>
    <t>Bluewing Royal Llc</t>
  </si>
  <si>
    <t>Boardwalk Louisiana Midstream Llc</t>
  </si>
  <si>
    <t>Bp Oil</t>
  </si>
  <si>
    <t>Bp Products North America</t>
  </si>
  <si>
    <t>Bp Lubricants Usa Inc</t>
  </si>
  <si>
    <t>Ineos Usa Llc</t>
  </si>
  <si>
    <t>Oakmar Terminal Llc</t>
  </si>
  <si>
    <t>Oakley Fuels Inc</t>
  </si>
  <si>
    <t>Buckeye Terminals Llc</t>
  </si>
  <si>
    <t>Buckeye Energy Services</t>
  </si>
  <si>
    <t>Buckeye Albany Terminal Llc</t>
  </si>
  <si>
    <t>Buckeye Pipe Line Holdings Lp</t>
  </si>
  <si>
    <t>Buckeye Development &amp; Logistics</t>
  </si>
  <si>
    <t>Buckeye Texas Hub Llc</t>
  </si>
  <si>
    <t>Buckeye Se Terminals Lp</t>
  </si>
  <si>
    <t>Buckeye Se Terminals</t>
  </si>
  <si>
    <t>C-Portstone Llc</t>
  </si>
  <si>
    <t>Caljet</t>
  </si>
  <si>
    <t>Canary Renewables Corp</t>
  </si>
  <si>
    <t>Chs Inc</t>
  </si>
  <si>
    <t>Cenex Pl Llc</t>
  </si>
  <si>
    <t>Husky Energy</t>
  </si>
  <si>
    <t>Chevron Phillips Chemical Co</t>
  </si>
  <si>
    <t>Crestwood Midstream Partners Lp</t>
  </si>
  <si>
    <t>Crestwood Services Llc</t>
  </si>
  <si>
    <t>Cold Brook Energy Inc</t>
  </si>
  <si>
    <t>Colonial Terminals Operating Co Llc</t>
  </si>
  <si>
    <t>Colonial Terminal Operating Co Llc</t>
  </si>
  <si>
    <t>Energy Logistics Solutions Llc</t>
  </si>
  <si>
    <t>Colonial Pipeline Co</t>
  </si>
  <si>
    <t>Colonial Pipeline Company</t>
  </si>
  <si>
    <t>Phillips 66 Co</t>
  </si>
  <si>
    <t>Phillips 66 Company</t>
  </si>
  <si>
    <t>Phillips 66</t>
  </si>
  <si>
    <t>Phillips P66</t>
  </si>
  <si>
    <t>Phillips 66 Pipeline Llc</t>
  </si>
  <si>
    <t>Phillips 66 Pipeline Llc - Denver</t>
  </si>
  <si>
    <t>Phillips 66 Pl Llc</t>
  </si>
  <si>
    <t>Phillips 66 Carrier Llc</t>
  </si>
  <si>
    <t>Phillips 66 Gulf Coast Properties Ll</t>
  </si>
  <si>
    <t>Consumers Oil Corp</t>
  </si>
  <si>
    <t>Countrymark Refining &amp; Logistics Llc</t>
  </si>
  <si>
    <t>Staker Parson Companies</t>
  </si>
  <si>
    <t>Cumberland Terminals Inc</t>
  </si>
  <si>
    <t>Marysville Hydrocarbons Llc</t>
  </si>
  <si>
    <t>Lion Oil Co</t>
  </si>
  <si>
    <t>Delek Marketing - Big Sandy Llc</t>
  </si>
  <si>
    <t>Delek Marketing &amp; Supply Lp</t>
  </si>
  <si>
    <t>Alon Usa Lp</t>
  </si>
  <si>
    <t>Monroe Energy Llc</t>
  </si>
  <si>
    <t>Brown Sand &amp; Gravel</t>
  </si>
  <si>
    <t>Delta Terminal Inc</t>
  </si>
  <si>
    <t>Pbf T&amp;M Terminal</t>
  </si>
  <si>
    <t>Pbf Logistics Products Terminals Llc</t>
  </si>
  <si>
    <t>Torrance Logistics Co Llc</t>
  </si>
  <si>
    <t>Cpi Operations Llc</t>
  </si>
  <si>
    <t>Martinez Terminal Company Llc</t>
  </si>
  <si>
    <t>Dansk Wholesale Inc</t>
  </si>
  <si>
    <t>Dow Hydrocarbons &amp; Resrcs Llc</t>
  </si>
  <si>
    <t>Five Star Fuels</t>
  </si>
  <si>
    <t>Texas Eastman Div Eastman Chem Co</t>
  </si>
  <si>
    <t>Eco-Energy Distribution Services Llc</t>
  </si>
  <si>
    <t>Eco-Energy Dstr Services Llc</t>
  </si>
  <si>
    <t>Economy/Stone Midstream Fuel Llc</t>
  </si>
  <si>
    <t>Enbridge Ingleside Energy Center Llc</t>
  </si>
  <si>
    <t>The Energy Consrv Group Llc</t>
  </si>
  <si>
    <t>Sunoco Logistics</t>
  </si>
  <si>
    <t>Sunoco Partners Ngl Facilities Llc</t>
  </si>
  <si>
    <t>Sunoco Llc</t>
  </si>
  <si>
    <t>Energy Transfer</t>
  </si>
  <si>
    <t>Hfotco Llc</t>
  </si>
  <si>
    <t>Orbit Gulf Coast Ng Exports Llc</t>
  </si>
  <si>
    <t>Energy Transfer Gc Ngls Lls</t>
  </si>
  <si>
    <t>Energy Transfer Gc Ngls Llc</t>
  </si>
  <si>
    <t>Sunoco Midstream Llc</t>
  </si>
  <si>
    <t>Sunoco Midstream  Llc</t>
  </si>
  <si>
    <t>Pelican Island Storage Termls</t>
  </si>
  <si>
    <t>Enterprise Field Services Llc</t>
  </si>
  <si>
    <t>Ent Houston Ship Channel Lp</t>
  </si>
  <si>
    <t>Enterprise Products Operating Llc</t>
  </si>
  <si>
    <t>Enterprise Products Operating Lp</t>
  </si>
  <si>
    <t>Mont Belvieu Caverns Llc</t>
  </si>
  <si>
    <t>Ent Propane Terminals &amp; Storage Llc</t>
  </si>
  <si>
    <t>Enterprise Terminals &amp; Storage Llc</t>
  </si>
  <si>
    <t>Mid-America Pipeline Co Llcente</t>
  </si>
  <si>
    <t>Mid-America Pipeline Co Llc</t>
  </si>
  <si>
    <t>Enterprise Termls &amp; Stge Llc</t>
  </si>
  <si>
    <t>Enterprise Gc Llc</t>
  </si>
  <si>
    <t>Enterprise Refined Products Co Llc</t>
  </si>
  <si>
    <t>Ent Beaumont Marine West Lp</t>
  </si>
  <si>
    <t>E R Snell Contractor Inc</t>
  </si>
  <si>
    <t>Newport Terminal Corporation</t>
  </si>
  <si>
    <t>Exxonmobil Corp</t>
  </si>
  <si>
    <t>Exxonmobil</t>
  </si>
  <si>
    <t>Exxonmobil Pipeline Co</t>
  </si>
  <si>
    <t>Exxon Mobil Refg &amp; Sply Comp</t>
  </si>
  <si>
    <t>Exxonmobil Chemical Company</t>
  </si>
  <si>
    <t>Exxonmobil Port Allen Lubricants B</t>
  </si>
  <si>
    <t>Exxonmobil Corporation</t>
  </si>
  <si>
    <t>Exxonmobil P L Co</t>
  </si>
  <si>
    <t>Exxonmobil Pl Co</t>
  </si>
  <si>
    <t>Jefferson Gulf Coast Energy Partners</t>
  </si>
  <si>
    <t>Delaware River Partners Llc</t>
  </si>
  <si>
    <t>Growmark Inc</t>
  </si>
  <si>
    <t>Fikes Wholesale Inc</t>
  </si>
  <si>
    <t>Asphalt Emulsions Llc</t>
  </si>
  <si>
    <t>Red River Terminals Llc</t>
  </si>
  <si>
    <t>Gulf Coast Energy Llc</t>
  </si>
  <si>
    <t>Enlink Processing Services Llc</t>
  </si>
  <si>
    <t>Global Companies Llc</t>
  </si>
  <si>
    <t>Global Co Llc</t>
  </si>
  <si>
    <t>Go-Mart Inc</t>
  </si>
  <si>
    <t>Golden Gateset Petro Partners Of Nv</t>
  </si>
  <si>
    <t>Gordon Terminal Service Co</t>
  </si>
  <si>
    <t>Centennial Asphalt Company</t>
  </si>
  <si>
    <t>Birmingham Bioenergy Partners Llc</t>
  </si>
  <si>
    <t>Sinclair Oil Corp</t>
  </si>
  <si>
    <t>Unev Pipeline Llc</t>
  </si>
  <si>
    <t>Philadelphia Energy Solutions</t>
  </si>
  <si>
    <t>Harbor Fuel Oil Corp</t>
  </si>
  <si>
    <t>Harborview Terminals Inc</t>
  </si>
  <si>
    <t>Peckham Industries Inc</t>
  </si>
  <si>
    <t>Pacific Terminal Services Inc</t>
  </si>
  <si>
    <t>Sprague Operating Resources Llc</t>
  </si>
  <si>
    <t>Sprague Operating Resrcs Llc</t>
  </si>
  <si>
    <t>Gt Logistics Llc</t>
  </si>
  <si>
    <t>Maverick Terminals Corpus Llc</t>
  </si>
  <si>
    <t>Gt Gulfway Llc</t>
  </si>
  <si>
    <t>Heritage Asphalt Llc</t>
  </si>
  <si>
    <t>Harvest Midstream Co</t>
  </si>
  <si>
    <t>Holly Energy Partners Oper Lp</t>
  </si>
  <si>
    <t>Nk Asphalt Partners</t>
  </si>
  <si>
    <t>Hop Energy Llc</t>
  </si>
  <si>
    <t>The Hudson Co</t>
  </si>
  <si>
    <t>Hudson Co</t>
  </si>
  <si>
    <t>Alabama Bulk Terminal</t>
  </si>
  <si>
    <t>Hunt Southland Refining Company</t>
  </si>
  <si>
    <t>Hunt Southland Refining Co</t>
  </si>
  <si>
    <t>Hwrt Oil Company Llc</t>
  </si>
  <si>
    <t>Hwrt Oil Co Llc</t>
  </si>
  <si>
    <t>Western Emulsions Inc</t>
  </si>
  <si>
    <t>Meredosia Terminal</t>
  </si>
  <si>
    <t>Intercontinental Terminals Co</t>
  </si>
  <si>
    <t>Intercontinental Terminals Company</t>
  </si>
  <si>
    <t>Intergulf Corporation</t>
  </si>
  <si>
    <t>Imtt</t>
  </si>
  <si>
    <t>International Matex Tank Terminals</t>
  </si>
  <si>
    <t>Intl Matex Tank Terminals</t>
  </si>
  <si>
    <t>Imtt-Richmond</t>
  </si>
  <si>
    <t>Imtt-Illinois</t>
  </si>
  <si>
    <t>Manly Terminal Llc</t>
  </si>
  <si>
    <t>Irving Oil Terminals Inc</t>
  </si>
  <si>
    <t>Jebro Incorporated</t>
  </si>
  <si>
    <t>Arrow Infrastructure Holding Ia Llc</t>
  </si>
  <si>
    <t>Conduit Infrastructure Holding Ia</t>
  </si>
  <si>
    <t>John W Stone Oil Distributor Llc</t>
  </si>
  <si>
    <t>John W Stone Oil Dstr Llc</t>
  </si>
  <si>
    <t>Key Petrol Llc</t>
  </si>
  <si>
    <t>Keyera Energy</t>
  </si>
  <si>
    <t>Sfpp Lp</t>
  </si>
  <si>
    <t>Kinder Morgan Transmix Llc</t>
  </si>
  <si>
    <t>Kindermorgan</t>
  </si>
  <si>
    <t>Kinder Morgan Liq Trmnls Llc</t>
  </si>
  <si>
    <t>Kinder Morgan Liq Termls Llc</t>
  </si>
  <si>
    <t>Kinder Morgan Energy Partner Lp</t>
  </si>
  <si>
    <t>Kinder Morgan Inc</t>
  </si>
  <si>
    <t>Kinder Morgan</t>
  </si>
  <si>
    <t>Kinder Morgan Liquid Terminals</t>
  </si>
  <si>
    <t>Km Liquids Terminals Lp</t>
  </si>
  <si>
    <t>Kinder Morgan Portland Liquids Termi</t>
  </si>
  <si>
    <t>Kinder Morgan Phoenix Holdings Llc</t>
  </si>
  <si>
    <t>Kinder Morgan Calnev P L Llc</t>
  </si>
  <si>
    <t>Kindermorgan Southeast Terminals Llc</t>
  </si>
  <si>
    <t>Kinder Morgan Southeast Terminal</t>
  </si>
  <si>
    <t>Kinder Morgan Se Trmnls Llc</t>
  </si>
  <si>
    <t>Battleground Oil Specialty Terminal</t>
  </si>
  <si>
    <t>Kinder Morgan Va Liq Terminals Llc</t>
  </si>
  <si>
    <t>Kinder Morgan Tmnls Wilmington Llc</t>
  </si>
  <si>
    <t>Kinder Morgan Galena Park West Llc</t>
  </si>
  <si>
    <t>Delta Fuels Inc</t>
  </si>
  <si>
    <t>Greens Port Crude By Rail</t>
  </si>
  <si>
    <t>Lassus Brothers Oil Inc</t>
  </si>
  <si>
    <t>Lincoln Terminal Company</t>
  </si>
  <si>
    <t>Mvp Terminalling Llc</t>
  </si>
  <si>
    <t>Imtt Epic Llc</t>
  </si>
  <si>
    <t>Magellan Pipeline Co Lp</t>
  </si>
  <si>
    <t>Magellan Pl Co</t>
  </si>
  <si>
    <t>Magellan Pipeline Company Lp</t>
  </si>
  <si>
    <t>Magellan Pipeline  Co Lp</t>
  </si>
  <si>
    <t>Magellan Trmnls Holdings Lp</t>
  </si>
  <si>
    <t>Magellan Terminal Holdings Lp</t>
  </si>
  <si>
    <t>Maples Gas Co Inc</t>
  </si>
  <si>
    <t>Marathon Petroleum Co Llc</t>
  </si>
  <si>
    <t>Marathon Petroleum Co Lp</t>
  </si>
  <si>
    <t>Marathon Pipeline Llc</t>
  </si>
  <si>
    <t>Mplx Terminals Llc</t>
  </si>
  <si>
    <t>Tesoro Refining &amp; Marketing</t>
  </si>
  <si>
    <t>Andeavor Logistics Lp</t>
  </si>
  <si>
    <t>Advario Texas City Lp</t>
  </si>
  <si>
    <t>Martin Operating Partnership Lp</t>
  </si>
  <si>
    <t>Martin Energy Services Llc</t>
  </si>
  <si>
    <t>Martin Midstream Partnership Lp</t>
  </si>
  <si>
    <t>Bright Star Energy Inc</t>
  </si>
  <si>
    <t>Cw Matthews Contracting Co Inc</t>
  </si>
  <si>
    <t>Mccall Oil &amp; Chemical</t>
  </si>
  <si>
    <t>Mck Terminals Llc</t>
  </si>
  <si>
    <t>Ace Energy Llc</t>
  </si>
  <si>
    <t>Barcliff Llc</t>
  </si>
  <si>
    <t>Midwest Marine Inc</t>
  </si>
  <si>
    <t>Midstream Texas Ingleside Llc</t>
  </si>
  <si>
    <t>Petro-Diamond Trmnl Co</t>
  </si>
  <si>
    <t>Motus T1 Llc</t>
  </si>
  <si>
    <t>Motus T2 Llc</t>
  </si>
  <si>
    <t>Mountain States Asphalt Inc</t>
  </si>
  <si>
    <t>Gulf Gateway Terminal Llc</t>
  </si>
  <si>
    <t>Musket Corp</t>
  </si>
  <si>
    <t>Pelican Asphalt Co Llc</t>
  </si>
  <si>
    <t>New Haven Terminal Inc</t>
  </si>
  <si>
    <t>Suit-Kote Corp</t>
  </si>
  <si>
    <t>Ngl Energy Partners Lp</t>
  </si>
  <si>
    <t>Ngl Supply Wholesale Llc</t>
  </si>
  <si>
    <t>Sawtooth Ngl Caverns Llc</t>
  </si>
  <si>
    <t>Nic Holding Corp</t>
  </si>
  <si>
    <t>Northville Industries Corp</t>
  </si>
  <si>
    <t>Nustar Energy Lp</t>
  </si>
  <si>
    <t>Olympus Terminals Llc</t>
  </si>
  <si>
    <t>Omega Ptnrs Iii Llc</t>
  </si>
  <si>
    <t>Omega Partners Iii Llc</t>
  </si>
  <si>
    <t>Oneok Hydrocarbon Lp</t>
  </si>
  <si>
    <t>Oneok Rockies Midstream Llc</t>
  </si>
  <si>
    <t>Oneok North System Llc</t>
  </si>
  <si>
    <t>Op Reno Llc</t>
  </si>
  <si>
    <t>Par Montana Llc</t>
  </si>
  <si>
    <t>First Energy Corp</t>
  </si>
  <si>
    <t>Pelican Renewables</t>
  </si>
  <si>
    <t>Pkm Cochin Llc</t>
  </si>
  <si>
    <t>Peterson Oil Service Inc</t>
  </si>
  <si>
    <t>Texpar Energy Llc</t>
  </si>
  <si>
    <t>Texpar Energy</t>
  </si>
  <si>
    <t>Midwest Industrial Asphalt Inc</t>
  </si>
  <si>
    <t>Petrogas Terminals Llc</t>
  </si>
  <si>
    <t>Petrogas West Llc</t>
  </si>
  <si>
    <t>Citgo Petro Corp</t>
  </si>
  <si>
    <t>Citgo Petroleum Corp</t>
  </si>
  <si>
    <t>Citgo Holding Terminals Llc</t>
  </si>
  <si>
    <t>Petroleum Wholesale Lp</t>
  </si>
  <si>
    <t>Lbc Baton Rouge</t>
  </si>
  <si>
    <t>Lbc Houston Lp</t>
  </si>
  <si>
    <t>Phoenix Park Energy Marketing Llc</t>
  </si>
  <si>
    <t>Potac Llc</t>
  </si>
  <si>
    <t>Plains Marketing Lp - Yorktown Trml</t>
  </si>
  <si>
    <t>Plains Lpg Services</t>
  </si>
  <si>
    <t>Plains Lpg Services Lp</t>
  </si>
  <si>
    <t>Poet Biorefining Camilla Llc</t>
  </si>
  <si>
    <t>Arguindegui Oil Co Ii Ltd</t>
  </si>
  <si>
    <t>Powder Springs Logistics Llc</t>
  </si>
  <si>
    <t>Christensen Inc</t>
  </si>
  <si>
    <t>Holland Terminal Inc</t>
  </si>
  <si>
    <t>Rebel Oil Co</t>
  </si>
  <si>
    <t>Equilon Enterprises Llc</t>
  </si>
  <si>
    <t>Shell Oil Products Us</t>
  </si>
  <si>
    <t>Shell Oil Product Us</t>
  </si>
  <si>
    <t>Inland Fuel Terminals</t>
  </si>
  <si>
    <t>Inland Fuel</t>
  </si>
  <si>
    <t>Motiva Enterprises Llc</t>
  </si>
  <si>
    <t>Motiva Enterprises Llc Port Neches</t>
  </si>
  <si>
    <t>Gateway Terminals Llc</t>
  </si>
  <si>
    <t>Scott Petroleum Corp</t>
  </si>
  <si>
    <t>Safety-Kleen Systems Inc</t>
  </si>
  <si>
    <t>South Florida Materials Corp</t>
  </si>
  <si>
    <t>South Portland Terminal Llc</t>
  </si>
  <si>
    <t>Springfield Terminal Inc</t>
  </si>
  <si>
    <t>Meenan Oil Lp</t>
  </si>
  <si>
    <t>Meenan Oil Co Lp</t>
  </si>
  <si>
    <t>Stolthaven New Orleans Llc</t>
  </si>
  <si>
    <t>Stolthaven Houston Llc</t>
  </si>
  <si>
    <t>J D Streett &amp; Co Inc</t>
  </si>
  <si>
    <t>Jd Streett &amp; Co Inc</t>
  </si>
  <si>
    <t>Suburban Propane Partners Lp</t>
  </si>
  <si>
    <t>United Liquid Gas Company</t>
  </si>
  <si>
    <t>Surner Heating Co Inc</t>
  </si>
  <si>
    <t>Targa Midstream Services Llc</t>
  </si>
  <si>
    <t>Southeast Emulsions Inc</t>
  </si>
  <si>
    <t>Valero Marketing &amp; Supply Co</t>
  </si>
  <si>
    <t>Texas Deepwater Deer Park Treml Llc</t>
  </si>
  <si>
    <t>Texon Lp</t>
  </si>
  <si>
    <t>Tidewater Terminal Co</t>
  </si>
  <si>
    <t>Tiller Corp</t>
  </si>
  <si>
    <t>Titan Marine Fuel Llc</t>
  </si>
  <si>
    <t>Total Petrochemicals Usa Inc</t>
  </si>
  <si>
    <t>Transmontaigne Operating Company</t>
  </si>
  <si>
    <t>Transmontaigne Operation Company</t>
  </si>
  <si>
    <t>Transmontaigne Operating Co</t>
  </si>
  <si>
    <t>Tricor Refining Llc</t>
  </si>
  <si>
    <t>Owens Corning</t>
  </si>
  <si>
    <t>Amerigas Propane</t>
  </si>
  <si>
    <t>United Metro Energy Corp</t>
  </si>
  <si>
    <t>United Refining Co</t>
  </si>
  <si>
    <t>Us Energy Distribution Llc</t>
  </si>
  <si>
    <t>Seaport Canaveral Corp</t>
  </si>
  <si>
    <t>Benchmark Distribution Terminal Llc</t>
  </si>
  <si>
    <t>Vance Brothers Inc</t>
  </si>
  <si>
    <t>Vopak Terminals North Amer Inc</t>
  </si>
  <si>
    <t>Paktank Terminal Los Angeles</t>
  </si>
  <si>
    <t>Vopak Terminal Long Beach Inc</t>
  </si>
  <si>
    <t>Wt Terminal Oswego Llc</t>
  </si>
  <si>
    <t>Warrior Asphalt Inc</t>
  </si>
  <si>
    <t>Waterfront Enterprises Inc</t>
  </si>
  <si>
    <t>Waterfront Petroleum Terminal</t>
  </si>
  <si>
    <t>Waterfront Petroleum</t>
  </si>
  <si>
    <t>Watco Transloading Llc</t>
  </si>
  <si>
    <t>Webber Tanks Inc</t>
  </si>
  <si>
    <t>Westmore Fuels</t>
  </si>
  <si>
    <t>Bwc Terminals Llc</t>
  </si>
  <si>
    <t>Bwc Texas City Terminals Inc</t>
  </si>
  <si>
    <t>Mid Continent Frac &amp; Storage</t>
  </si>
  <si>
    <t>Williams Hutch Rail Company Llc</t>
  </si>
  <si>
    <t>Wolf Lake Terminals</t>
  </si>
  <si>
    <t>Wolverine Pipeline Company</t>
  </si>
  <si>
    <t>World Fuel Services</t>
  </si>
  <si>
    <t>Ribost Terminal Llc</t>
  </si>
  <si>
    <t>Zenith Energy Terminals Holdings Llc</t>
  </si>
  <si>
    <t>Zenith Energy Terminals Joliet Hldg</t>
  </si>
  <si>
    <t>Zenith Energy West Coast Terminals</t>
  </si>
  <si>
    <t>Company</t>
  </si>
  <si>
    <t>Feedstock</t>
  </si>
  <si>
    <t>Status</t>
  </si>
  <si>
    <t>Aemetis</t>
  </si>
  <si>
    <t>Riverbank</t>
  </si>
  <si>
    <t>Proposed/Under Development</t>
  </si>
  <si>
    <t>Chevron USA Inc.</t>
  </si>
  <si>
    <t>Under Construction/Conversion</t>
  </si>
  <si>
    <t>CVR Energy Inc. - Coffeyville</t>
  </si>
  <si>
    <t>Coffeyville</t>
  </si>
  <si>
    <t>Gron Fuel LLC</t>
  </si>
  <si>
    <t>Montana Renewables (Calumet)</t>
  </si>
  <si>
    <t>Operational</t>
  </si>
  <si>
    <t>Next Renewable Fuels Inc.</t>
  </si>
  <si>
    <t>Phillips 66 - Rodeo Renewed</t>
  </si>
  <si>
    <t>Rodeo</t>
  </si>
  <si>
    <t>Proposed/Under Development Conversion</t>
  </si>
  <si>
    <t>ReadiFuels-Iowa LLC</t>
  </si>
  <si>
    <t>Sioux Center</t>
  </si>
  <si>
    <t>REG Geismar LLC</t>
  </si>
  <si>
    <t>Under Construction/Expansion</t>
  </si>
  <si>
    <t>World Energy - Houston</t>
  </si>
  <si>
    <t>World Energy - Paramount</t>
  </si>
  <si>
    <t>Paramount</t>
  </si>
  <si>
    <t>Input</t>
  </si>
  <si>
    <t>Soybean Oil</t>
  </si>
  <si>
    <t>Nth</t>
  </si>
  <si>
    <t>gallon</t>
  </si>
  <si>
    <t>cand_FT_MSW</t>
  </si>
  <si>
    <t>cand_FT_Forest</t>
  </si>
  <si>
    <t>cand_FT_Ag</t>
  </si>
  <si>
    <t>cand_HEFA_FOG</t>
  </si>
  <si>
    <t>cand_HEFA_Soybean</t>
  </si>
  <si>
    <t>cand_Py_Forest</t>
  </si>
  <si>
    <t>cand_Py_Ag</t>
  </si>
  <si>
    <t>b) Select states</t>
  </si>
  <si>
    <t>c) Select commodity</t>
  </si>
  <si>
    <t>d) Select specific resources</t>
  </si>
  <si>
    <t>e) Enter usable share of feedstock</t>
  </si>
  <si>
    <t>Share of available feedstock to be used for SAF.</t>
  </si>
  <si>
    <t>b) Select plant type</t>
  </si>
  <si>
    <t>If Y, a list of current and planned refineries will be queried.</t>
  </si>
  <si>
    <t>STEP 1. Use filters and text boxes to provide FEEDSTOCK information.</t>
  </si>
  <si>
    <t>a) Select airports by filtering by state, city, airport code, and/or FAA hub size.</t>
  </si>
  <si>
    <t>Output</t>
  </si>
  <si>
    <t>STEP 2. Use filters and text boxes to provide REFINERY information</t>
  </si>
  <si>
    <t>STEP 4. Use filters to select AIRPORTS.</t>
  </si>
  <si>
    <t>STEP 3. Use filters and text boxes to provide BLENDER information</t>
  </si>
  <si>
    <t>a) Select blenders by filtering by state, city, and/or terminal name.</t>
  </si>
  <si>
    <t>b) Review selected airports.</t>
  </si>
  <si>
    <t>Adjust filters to refine selections if needed.</t>
  </si>
  <si>
    <t>b) Review selected blending facilities.</t>
  </si>
  <si>
    <t>Review the remaining "Terminal Name" values to the left.</t>
  </si>
  <si>
    <t>Review the remaining "Airport Code" values in to the left.</t>
  </si>
  <si>
    <t>Share of SAF to use in the fuel blend.</t>
  </si>
  <si>
    <t>Next: Move to Step 4.</t>
  </si>
  <si>
    <t>Next: Move to Step 3.</t>
  </si>
  <si>
    <t>Next: Move to Step 2.</t>
  </si>
  <si>
    <t>c) Enter SAF blend ratio</t>
  </si>
  <si>
    <t>SAF Filters Complete.</t>
  </si>
  <si>
    <t>Existing Refineries</t>
  </si>
  <si>
    <t>Selected Commodity</t>
  </si>
  <si>
    <t>Selected Process</t>
  </si>
  <si>
    <t>Candidate Refineries</t>
  </si>
  <si>
    <t>Blending Facilities</t>
  </si>
  <si>
    <t>Airports</t>
  </si>
  <si>
    <t>SAF Helper Tables ---&gt;</t>
  </si>
  <si>
    <t>Note: Filters (c) and (d) are impacted by filters in Step 2. Clear filters in both Step 1 and Step 2 to reset.</t>
  </si>
  <si>
    <t>Small</t>
  </si>
  <si>
    <t>Medium</t>
  </si>
  <si>
    <t>Large</t>
  </si>
  <si>
    <t>Facilites and Amounts Table</t>
  </si>
  <si>
    <t>Processes Table</t>
  </si>
  <si>
    <t>Commodities Table</t>
  </si>
  <si>
    <t>usd</t>
  </si>
  <si>
    <t>Nonprimary</t>
  </si>
  <si>
    <t>Nonhub</t>
  </si>
  <si>
    <t>Does not apply to SAF scenario template. Leave as False.</t>
  </si>
  <si>
    <t>Set to TRUE to allow SAF blend to flow on pipeline.</t>
  </si>
  <si>
    <t>Enter a decimal value between 0 and 1, inclusive.</t>
  </si>
  <si>
    <t>These blending facilities will be available in your scenario.</t>
  </si>
  <si>
    <t>Enter a decimal between 0 and 1, inclusive.</t>
  </si>
  <si>
    <t>These airports will be available in your scenario.</t>
  </si>
  <si>
    <t>Note: Only airports with available demand information are included. Please reach out to the FTOT team if you would like other airports to be added.</t>
  </si>
  <si>
    <t>The template will fill in estimated demand values for each airport</t>
  </si>
  <si>
    <t>Max transport distance for feedstock in default distance units.</t>
  </si>
  <si>
    <t>Please specify default distance units on the Configuration tab.</t>
  </si>
  <si>
    <t>a) Select processing technology</t>
  </si>
  <si>
    <t>a) Select market scenario*</t>
  </si>
  <si>
    <t>DOE BETO 2023 Billion-Ton Report</t>
  </si>
  <si>
    <t>*See Table ES-1 in the 2023 Billion-Ton Report for scenario definitions:</t>
  </si>
  <si>
    <r>
      <t xml:space="preserve">Note: The template is currently designed for simple supply chains and </t>
    </r>
    <r>
      <rPr>
        <i/>
        <u/>
        <sz val="11"/>
        <color theme="1"/>
        <rFont val="Calibri"/>
        <family val="2"/>
        <scheme val="minor"/>
      </rPr>
      <t>does not</t>
    </r>
    <r>
      <rPr>
        <i/>
        <sz val="11"/>
        <color theme="1"/>
        <rFont val="Calibri"/>
        <family val="2"/>
        <scheme val="minor"/>
      </rPr>
      <t xml:space="preserve"> create optional input files needed for certain more advanced scenarios such as disruption scenarios or scenarios with facility production schedules. The supplementary CSV files for those advanced scenarios should be created outside of this template. Refer to the FTOT documentation and quick start/reference scenarios for more guidance.</t>
    </r>
  </si>
  <si>
    <t>2. Start on the "SAF Filters" tab. This tab will be used to query the template's associated datasets to built the scenario.</t>
  </si>
  <si>
    <r>
      <t xml:space="preserve">b) Use the filters and textboxes to provide </t>
    </r>
    <r>
      <rPr>
        <b/>
        <sz val="11"/>
        <color theme="4"/>
        <rFont val="Calibri"/>
        <family val="2"/>
        <scheme val="minor"/>
      </rPr>
      <t>refinery</t>
    </r>
    <r>
      <rPr>
        <sz val="11"/>
        <color theme="1"/>
        <rFont val="Calibri"/>
        <family val="2"/>
        <scheme val="minor"/>
      </rPr>
      <t xml:space="preserve"> information. Select a processing technology (single select) and plant type (single select) for use by FTOT's refinery candidate generation functionality. Also indicate if the scenario should include existing refineries, and if yes, from which states (multiselect).</t>
    </r>
  </si>
  <si>
    <r>
      <t xml:space="preserve">c) Use the filters and textboxes to provide </t>
    </r>
    <r>
      <rPr>
        <b/>
        <sz val="11"/>
        <color theme="4"/>
        <rFont val="Calibri"/>
        <family val="2"/>
        <scheme val="minor"/>
      </rPr>
      <t xml:space="preserve">blender </t>
    </r>
    <r>
      <rPr>
        <sz val="11"/>
        <color theme="1"/>
        <rFont val="Calibri"/>
        <family val="2"/>
        <scheme val="minor"/>
      </rPr>
      <t>information. Multiselect from the listed states, cities, and terminal names to narrow down the list of blenders. Also enter a SAF blend ratio (0 to 1).</t>
    </r>
  </si>
  <si>
    <r>
      <t xml:space="preserve">d) Use the filters to provide </t>
    </r>
    <r>
      <rPr>
        <b/>
        <sz val="11"/>
        <color theme="4"/>
        <rFont val="Calibri"/>
        <family val="2"/>
        <scheme val="minor"/>
      </rPr>
      <t xml:space="preserve">airport </t>
    </r>
    <r>
      <rPr>
        <sz val="11"/>
        <color theme="1"/>
        <rFont val="Calibri"/>
        <family val="2"/>
        <scheme val="minor"/>
      </rPr>
      <t>information. Multiselect from the listed states, cities, FAA hub sizes, and airport codes to narrow down the list of airports.</t>
    </r>
  </si>
  <si>
    <r>
      <t xml:space="preserve">a)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xml:space="preserve">, use the drop-down menus to select a value. </t>
    </r>
  </si>
  <si>
    <t>Instructions for the FTOT SAF Scenario Setup Template</t>
  </si>
  <si>
    <r>
      <t xml:space="preserve">1)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t>
    </r>
  </si>
  <si>
    <t>For Review Only</t>
  </si>
  <si>
    <r>
      <t xml:space="preserve">DO NOT EDIT. </t>
    </r>
    <r>
      <rPr>
        <sz val="11"/>
        <color theme="1"/>
        <rFont val="Calibri"/>
        <family val="2"/>
        <scheme val="minor"/>
      </rPr>
      <t>This worksheet auto-populates based on selections in the SAF Filters tab. The commodities and processes on this sheet are presented for user reference only.</t>
    </r>
  </si>
  <si>
    <r>
      <t xml:space="preserve">DO NOT EDIT. </t>
    </r>
    <r>
      <rPr>
        <sz val="11"/>
        <color theme="1"/>
        <rFont val="Calibri"/>
        <family val="2"/>
        <scheme val="minor"/>
      </rPr>
      <t>This worksheet auto-populates based on selections in the SAF Filters tab. The facilities and amounts on this sheet are presented for user reference only.</t>
    </r>
  </si>
  <si>
    <r>
      <t xml:space="preserve">The </t>
    </r>
    <r>
      <rPr>
        <b/>
        <sz val="11"/>
        <color theme="1"/>
        <rFont val="Calibri"/>
        <family val="2"/>
        <scheme val="minor"/>
      </rPr>
      <t xml:space="preserve">FTOT Sustainable Aviation Fuel (SAF) Scenario Setup Template </t>
    </r>
    <r>
      <rPr>
        <sz val="11"/>
        <color theme="1"/>
        <rFont val="Calibri"/>
        <family val="2"/>
        <scheme val="minor"/>
      </rPr>
      <t>is a user-friendly helper tool to assist FTOT users in setting up new SAF supply chain scenarios. The specific supply chain modeled includes the movement of user-selected feedstock from county-level raw material producers to refineries, which produce SAF. SAF then flows to blending facilities, which create a fuel blend that flows to airports as the ultimate destination.</t>
    </r>
  </si>
  <si>
    <t>Data Sources and References</t>
  </si>
  <si>
    <t>Feedstock Quantities and Locations</t>
  </si>
  <si>
    <t>U.S. DOE 2023 Billion-Ton Report</t>
  </si>
  <si>
    <t>Conversion Technologies</t>
  </si>
  <si>
    <t>ICAO SAF Rules of Thumb</t>
  </si>
  <si>
    <t>NREL 2024 Sustainable Aviation Fuel State-of-Industry Report</t>
  </si>
  <si>
    <t>EIA Petroleum Produce Terminals</t>
  </si>
  <si>
    <t>Airport Jet Fuel Demand</t>
  </si>
  <si>
    <t>Joint BioEnergy Institute (JBEI) Biositing WebTool</t>
  </si>
  <si>
    <t>JBEI Biositing WebTool</t>
  </si>
  <si>
    <t>Airlines for America</t>
  </si>
  <si>
    <t>Please see FTOT's technical documentation for a full description of data sources.</t>
  </si>
  <si>
    <t>If needed, you can customize this information in the CSV files created after running the Scenario Setup Tool.</t>
  </si>
  <si>
    <t>c) Include existing SAF refineries?</t>
  </si>
  <si>
    <t>Regardless, FTOT will also propose locations for new refineries.</t>
  </si>
  <si>
    <t>f) Enter maximum transport distance</t>
  </si>
  <si>
    <t>Note: Will only be used if "Existing Refineries" in SAF filters is set to "Y"</t>
  </si>
  <si>
    <t>Fully optional --&gt;</t>
  </si>
  <si>
    <t>Access Cost</t>
  </si>
  <si>
    <t>Note that refineries may not exist for the selected commodity</t>
  </si>
  <si>
    <t>and conversion process.</t>
  </si>
  <si>
    <t>d) If Y, select states to query for existing refineries</t>
  </si>
  <si>
    <t>Note: Filters (a) and (b) are impacted by feedstock selections above. Clear filters in both Step 1 and Step 2 to reset.</t>
  </si>
  <si>
    <t>Note that too many blenders may increase runtime.</t>
  </si>
  <si>
    <t>Note that too many airports may increase runtime or decrease solution quality.</t>
  </si>
  <si>
    <t>kg/liter</t>
  </si>
  <si>
    <t>Leave as 0.8 kg/L for SAF scenario template</t>
  </si>
  <si>
    <t>cand_ATJ_Ethanol</t>
  </si>
  <si>
    <t>Ethanol</t>
  </si>
  <si>
    <t>Alcohol-to-Jet</t>
  </si>
  <si>
    <t>Anchorage</t>
  </si>
  <si>
    <t>Juneau</t>
  </si>
  <si>
    <t>Fayetteville/Springdale/</t>
  </si>
  <si>
    <t>Honolulu</t>
  </si>
  <si>
    <t>Hilo</t>
  </si>
  <si>
    <t>Kailua/Kona</t>
  </si>
  <si>
    <t>Lihue</t>
  </si>
  <si>
    <t>Kahului</t>
  </si>
  <si>
    <t>San Juan</t>
  </si>
  <si>
    <t>Alaska</t>
  </si>
  <si>
    <t>Hawaii</t>
  </si>
  <si>
    <t>Puerto Rico</t>
  </si>
  <si>
    <t>ANC</t>
  </si>
  <si>
    <t>JNU</t>
  </si>
  <si>
    <t>HNL</t>
  </si>
  <si>
    <t>ITO</t>
  </si>
  <si>
    <t>KOA</t>
  </si>
  <si>
    <t>LIH</t>
  </si>
  <si>
    <t>OGG</t>
  </si>
  <si>
    <t>SJU</t>
  </si>
  <si>
    <t>Renewable Fuels Association Ethanol Biorefinery Locations (Downloaded from JBEI Biositing WebTool)</t>
  </si>
  <si>
    <t>Ethanol Biorefinery Checking</t>
  </si>
  <si>
    <t>State with Refinery</t>
  </si>
  <si>
    <t>In Filter Selection?</t>
  </si>
  <si>
    <t>Total</t>
  </si>
  <si>
    <t>Each copy of this template should be updated to reflect input data for a single scenario. When complete, the template can be used as input to the "Scenario Setup Conversion" tool in the FTOT Tools suite, which in turn will output a new scenario directory with (1) the facility-commodity CSV files representing the scenario's supply chain, (2) the scenario XML file with all scenario settings, and (3) the batch file needed to execute the FTOT program.</t>
  </si>
  <si>
    <t>Ctrl + click to multiselect</t>
  </si>
  <si>
    <t>Ctrl + click to multiselect. Selections will be ignored if step (c) is "N"</t>
  </si>
  <si>
    <t>Share Usable Feedstock</t>
  </si>
  <si>
    <t>Truck Base Cost</t>
  </si>
  <si>
    <t>Railroad Base Cost</t>
  </si>
  <si>
    <t>Barge Base Cost</t>
  </si>
  <si>
    <t>Artificial Link Base Cost</t>
  </si>
  <si>
    <t>Transloading Cost</t>
  </si>
  <si>
    <t>ton*mi/gallon</t>
  </si>
  <si>
    <t>Should be in units of mass*distance per unit of fuel volume (e.g., ton-mi/gal)</t>
  </si>
  <si>
    <t>Railcar Fuel Efficiency</t>
  </si>
  <si>
    <t>Truck CO2 Emission Factor</t>
  </si>
  <si>
    <t>Railcar CO2 Emission Factor</t>
  </si>
  <si>
    <t>Speed Time CSV</t>
  </si>
  <si>
    <t>Solver</t>
  </si>
  <si>
    <t>Default</t>
  </si>
  <si>
    <t>Solver Time Limit</t>
  </si>
  <si>
    <t>Specify as a number and unit of time (e.g., 1.5 hours), or leave as None to run without a time limit.</t>
  </si>
  <si>
    <t>Vehicle Characteristics</t>
  </si>
  <si>
    <t>Set to "Default" for CBC or "HIGHS" for HiGHS</t>
  </si>
  <si>
    <t>Should be in default currency units per mass unit of CO2 emissions (e.g., usd/ton).</t>
  </si>
  <si>
    <t>Chevron Usa Inc.</t>
  </si>
  <si>
    <t>Gron Fuel Llc</t>
  </si>
  <si>
    <t>Readifuels-Iowa Llc</t>
  </si>
  <si>
    <t>REG Geismar Llc</t>
  </si>
  <si>
    <t>Valvoline 37</t>
  </si>
  <si>
    <t>Valvoline 38</t>
  </si>
  <si>
    <t>Valvoline Llc 39</t>
  </si>
  <si>
    <t>Valvoline Llc 40</t>
  </si>
  <si>
    <t>Apex Oil Company Inc 26</t>
  </si>
  <si>
    <t>Petroleum Fuel And Terminal Company 17</t>
  </si>
  <si>
    <t>Petroleum Fuel And Terminal Company 20</t>
  </si>
  <si>
    <t>Petroleum Fuel And Terminal Company 18</t>
  </si>
  <si>
    <t>Petroleum Fuel And Terminal Company 19</t>
  </si>
  <si>
    <t>Apex Oil Company Inc 25</t>
  </si>
  <si>
    <t>Petroleum Fuel &amp; Terminal Co 1</t>
  </si>
  <si>
    <t>Petroleum Fuel &amp; Terminal Co 3</t>
  </si>
  <si>
    <t>Petroleum Fuel &amp; Terminal Co 13</t>
  </si>
  <si>
    <t>Petroleum Fuel &amp; Terminal Co 5</t>
  </si>
  <si>
    <t>Petroleum Fuel &amp; Terminal Co 9</t>
  </si>
  <si>
    <t>Petroleum Fuel &amp; Terminal Co 6</t>
  </si>
  <si>
    <t>Petroleum Fuel &amp; Terminal Co 2</t>
  </si>
  <si>
    <t>Petroleum Fuel &amp; Terminal Co 12</t>
  </si>
  <si>
    <t>Petroleum Fuel &amp; Terminal Co 14</t>
  </si>
  <si>
    <t>Petroleum Fuel &amp; Terminal Co 8</t>
  </si>
  <si>
    <t>Petroleum Fuel &amp; Terminal Co 16</t>
  </si>
  <si>
    <t>Petroleum Fuel &amp; Terminal Co 4</t>
  </si>
  <si>
    <t>Petroleum Fuel &amp; Terminal Co 10</t>
  </si>
  <si>
    <t>Petroleum Fuel &amp; Terminal Co 7</t>
  </si>
  <si>
    <t>Petroleum Fuel &amp; Terminal Co 15</t>
  </si>
  <si>
    <t>Petroleum Fuel &amp; Terminal Co 11</t>
  </si>
  <si>
    <t>Ergon Asphalt &amp; Emulsions Inc 8</t>
  </si>
  <si>
    <t>Ergon Asphalt &amp; Emulsions Inc 10</t>
  </si>
  <si>
    <t>Ergon Asphalt &amp; Emulsions Inc 1</t>
  </si>
  <si>
    <t>Ergon Asphalt &amp; Emulsions Inc 6</t>
  </si>
  <si>
    <t>Ergon Asphalt &amp; Emulsions Inc 9</t>
  </si>
  <si>
    <t>Ergon Asphalt &amp; Emulsions Inc 12</t>
  </si>
  <si>
    <t>Ergon Asphalt &amp; Emulsions Inc 5</t>
  </si>
  <si>
    <t>Ergon Asphalt And Emulsions 1</t>
  </si>
  <si>
    <t>Ergon Asphalt And Emulsions 3</t>
  </si>
  <si>
    <t>Ergon Asphalt And Emulsions 4</t>
  </si>
  <si>
    <t>Ergon Asphalt And Emulsions 5</t>
  </si>
  <si>
    <t>Ergon Asphalt And Emulsions 6</t>
  </si>
  <si>
    <t>Ergon Asphalt And Emulsions 7</t>
  </si>
  <si>
    <t>Ergon Asphalt And Emulsions 8</t>
  </si>
  <si>
    <t>Ergon Asphalt And Emulsions 10</t>
  </si>
  <si>
    <t>Ergon Asphalt And Emulsions 11</t>
  </si>
  <si>
    <t>Ergon Asphalt And Emulsions 12</t>
  </si>
  <si>
    <t>Ergon Asphalt And Emulsions 13</t>
  </si>
  <si>
    <t>Ergon Asphalt And Emulsions 2</t>
  </si>
  <si>
    <t>Ergon Asphalt And Emulsions 9</t>
  </si>
  <si>
    <t>Ergon Asphalt &amp; Emulsions Inc 4</t>
  </si>
  <si>
    <t>Ergon Asphalt &amp; Emulsions Inc 13</t>
  </si>
  <si>
    <t>Ergon Asphalt &amp; Emulsions Inc 7</t>
  </si>
  <si>
    <t>Ergon Asphalt &amp; Emulsions Inc 3</t>
  </si>
  <si>
    <t>Ergon Asphalt &amp; Emulsions Inc 2</t>
  </si>
  <si>
    <t>Ergon Asphalt &amp; Emulsions Inc 11</t>
  </si>
  <si>
    <t>Ergon Asphalt &amp; Emulsions Inc 14</t>
  </si>
  <si>
    <t>Bkep Materials Llc 4</t>
  </si>
  <si>
    <t>Bkep Materials Llc 6</t>
  </si>
  <si>
    <t>Bkep Materials Llc 7</t>
  </si>
  <si>
    <t>Bkep Materials Llc 8</t>
  </si>
  <si>
    <t>Bkep Materials Llc 10</t>
  </si>
  <si>
    <t>Bkep Materials Llc 13</t>
  </si>
  <si>
    <t>Bkep Materials Llc 14</t>
  </si>
  <si>
    <t>Bkep Materials Llc 5</t>
  </si>
  <si>
    <t>Bkep Materials Llc 16</t>
  </si>
  <si>
    <t>Bkep Materials Llc 15</t>
  </si>
  <si>
    <t>Bkep Materials Llc 1</t>
  </si>
  <si>
    <t>Bkep Materials Llc 2</t>
  </si>
  <si>
    <t>Bkep Materials Llc 3</t>
  </si>
  <si>
    <t>Bkep Materials Llc 11</t>
  </si>
  <si>
    <t>Bkep Materials Llc 12</t>
  </si>
  <si>
    <t>Bkep Materials Llc 9</t>
  </si>
  <si>
    <t>Flint Hills Resources Lp 24</t>
  </si>
  <si>
    <t>Flint Hills Resources Lp 17</t>
  </si>
  <si>
    <t>Flint Hills Resources Lp 16</t>
  </si>
  <si>
    <t>Flint Hills Resources Lp 14</t>
  </si>
  <si>
    <t>Flint Hills Resources Lp 13</t>
  </si>
  <si>
    <t>Flint Hills Resources Lp 7</t>
  </si>
  <si>
    <t>Flint Hills Resources Lp 9</t>
  </si>
  <si>
    <t>Flint Hills Resources Lp 23</t>
  </si>
  <si>
    <t>Flint Hills Resources Lp 20</t>
  </si>
  <si>
    <t>Flint Hill Resources Lp 1</t>
  </si>
  <si>
    <t>Flint Hills Resources Lp 10</t>
  </si>
  <si>
    <t>Flint Hills Resources Lp 12</t>
  </si>
  <si>
    <t>Flint Hills Resources Lp 15</t>
  </si>
  <si>
    <t>Flint Hill Resources Lp 4</t>
  </si>
  <si>
    <t>Flint Hill Resources Lp 3</t>
  </si>
  <si>
    <t>Flint Hill Resources Lp 6</t>
  </si>
  <si>
    <t>Flint Hills Resources Lp 18</t>
  </si>
  <si>
    <t>Flint Hill Resources Lp 2</t>
  </si>
  <si>
    <t>Flint Hill Resources Lp 5</t>
  </si>
  <si>
    <t>Flint Hills Resources Lp 8</t>
  </si>
  <si>
    <t>Flint Hills Resources Lp 21</t>
  </si>
  <si>
    <t>Flint Hills Resources Lp 19</t>
  </si>
  <si>
    <t>Flint Hills Resources Lp 22</t>
  </si>
  <si>
    <t>Flint Hills Resources Lp 11</t>
  </si>
  <si>
    <t>Murphy Oil Usa Inc 50</t>
  </si>
  <si>
    <t>Murphy Oil Usa Inc 56</t>
  </si>
  <si>
    <t>Murphy Oil Usa Inc 51</t>
  </si>
  <si>
    <t>Murphy Oil Usa Inc 52</t>
  </si>
  <si>
    <t>Murphy Oil Usa Inc 54</t>
  </si>
  <si>
    <t>Murphy Oil Usa Inc 55</t>
  </si>
  <si>
    <t>Murphy Oil Usa Inc 53</t>
  </si>
  <si>
    <t>Gulf Oil Lp 1</t>
  </si>
  <si>
    <t>Gulf Oil Lp 2</t>
  </si>
  <si>
    <t>Gulf Oil Lp 3</t>
  </si>
  <si>
    <t>Gulf Oil Lp 4</t>
  </si>
  <si>
    <t>Gulf Oil Lp 5</t>
  </si>
  <si>
    <t>Lucknow - Highspire Terminals 1</t>
  </si>
  <si>
    <t>Lucknow - Highspire Terminals 2</t>
  </si>
  <si>
    <t>Lucknow - Highspire Terminals 10</t>
  </si>
  <si>
    <t>Lucknow - Highspire Terminals 6</t>
  </si>
  <si>
    <t>Lucknow - Highspire Terminals 8</t>
  </si>
  <si>
    <t>Lucknow - Highspire Terminals 5</t>
  </si>
  <si>
    <t>Lucknow - Highspire Terminals 7</t>
  </si>
  <si>
    <t>Lucknow - Highspire Terminals 11</t>
  </si>
  <si>
    <t>Lucknow - Highspire Terminals 3</t>
  </si>
  <si>
    <t>Lucknow - Highspire Terminals 4</t>
  </si>
  <si>
    <t>Lucknow - Highspire Terminals 9</t>
  </si>
  <si>
    <t>Tlp Management Services Llc 4</t>
  </si>
  <si>
    <t>Tlp Management Services Llc 3</t>
  </si>
  <si>
    <t>Saratoga Rp East Llc 2</t>
  </si>
  <si>
    <t>Saratoga Rp East Llc 1</t>
  </si>
  <si>
    <t>Pro Petroleum Inc 6</t>
  </si>
  <si>
    <t>Pro Petroleum Inc 5</t>
  </si>
  <si>
    <t>Pro Petroleum Inc 4</t>
  </si>
  <si>
    <t>Emulsicoat Of Southern Illinois Llc 1</t>
  </si>
  <si>
    <t>Emulsicoat Of Southern Illinois Llc 2</t>
  </si>
  <si>
    <t>B&amp;B Petroleum Inc 2</t>
  </si>
  <si>
    <t>B&amp;B Petroleum Inc 1</t>
  </si>
  <si>
    <t>Us Venture Inc 15</t>
  </si>
  <si>
    <t>Us Venture Inc 19</t>
  </si>
  <si>
    <t>Us Venture Inc 20</t>
  </si>
  <si>
    <t>Us Venture Inc 21</t>
  </si>
  <si>
    <t>Us Venture Inc 4</t>
  </si>
  <si>
    <t>Us Venture Inc 7</t>
  </si>
  <si>
    <t>Us Venture Inc 8</t>
  </si>
  <si>
    <t>Us Venture Inc 16</t>
  </si>
  <si>
    <t>Us Venture Inc 3</t>
  </si>
  <si>
    <t>Us Venture Inc 9</t>
  </si>
  <si>
    <t>Us Venture Inc 17</t>
  </si>
  <si>
    <t>Us Venture Inc 22</t>
  </si>
  <si>
    <t>Us Venture Inc 1</t>
  </si>
  <si>
    <t>Us Venture Inc 2</t>
  </si>
  <si>
    <t>Us Venture Inc 5</t>
  </si>
  <si>
    <t>Us Venture Inc 10</t>
  </si>
  <si>
    <t>Us Venture Inc 13</t>
  </si>
  <si>
    <t>Us Venture Inc 27</t>
  </si>
  <si>
    <t>Us Venture Inc 23</t>
  </si>
  <si>
    <t>Us Venture Inc 14</t>
  </si>
  <si>
    <t>Us Venture Inc 11</t>
  </si>
  <si>
    <t>Us Venture Inc 12</t>
  </si>
  <si>
    <t>Us Venture Inc 6</t>
  </si>
  <si>
    <t>Us Venture Inc 18</t>
  </si>
  <si>
    <t>Us Venture Inc 28</t>
  </si>
  <si>
    <t>Us Venture Inc 29</t>
  </si>
  <si>
    <t>Us Venture Inc 25</t>
  </si>
  <si>
    <t>Us Venture Inc 26</t>
  </si>
  <si>
    <t>Us Venture Inc 24</t>
  </si>
  <si>
    <t>Premcor Refining Group Inc 3</t>
  </si>
  <si>
    <t>Premcor Refining Group Inc 1</t>
  </si>
  <si>
    <t>Premcor Refining Group Inc 2</t>
  </si>
  <si>
    <t>Valero Terminaling &amp; Distr Co 34</t>
  </si>
  <si>
    <t>Valero Terminaling &amp; Distr Co 33</t>
  </si>
  <si>
    <t>Valero Terminaling And Distr Co 36</t>
  </si>
  <si>
    <t>Valero Terminaling And Distr Co 35</t>
  </si>
  <si>
    <t>V-Tex Logistics Llc 2</t>
  </si>
  <si>
    <t>V-Tex Logistics Llc 1</t>
  </si>
  <si>
    <t>Bayside Fuel Oil Depot Corp 1</t>
  </si>
  <si>
    <t>Bayside Fuel Oil Depot Corp 2</t>
  </si>
  <si>
    <t>Boardwalk Louisiana Midstream Llc 1</t>
  </si>
  <si>
    <t>Boardwalk Louisiana Midstream Llc 2</t>
  </si>
  <si>
    <t>Buckeye Terminals Llc 96</t>
  </si>
  <si>
    <t>Buckeye Terminals Llc 95</t>
  </si>
  <si>
    <t>Buckeye Terminals Llc 23</t>
  </si>
  <si>
    <t>Buckeye Terminals Llc 32</t>
  </si>
  <si>
    <t>Buckeye Terminals Llc 94</t>
  </si>
  <si>
    <t>Buckeye Terminals Llc 45</t>
  </si>
  <si>
    <t>Buckeye Terminals Llc 40</t>
  </si>
  <si>
    <t>Buckeye Terminals Llc 98</t>
  </si>
  <si>
    <t>Buckeye Terminals Llc 62</t>
  </si>
  <si>
    <t>Buckeye Terminals Llc 39</t>
  </si>
  <si>
    <t>Buckeye Terminals Llc 72</t>
  </si>
  <si>
    <t>Buckeye Terminals Llc 33</t>
  </si>
  <si>
    <t>Buckeye Terminals Llc 69</t>
  </si>
  <si>
    <t>Buckeye Terminals Llc 55</t>
  </si>
  <si>
    <t>Buckeye Terminals Llc 35</t>
  </si>
  <si>
    <t>Buckeye Terminals Llc 66</t>
  </si>
  <si>
    <t>Buckeye Terminals Llc 46</t>
  </si>
  <si>
    <t>Buckeye Terminals Llc 54</t>
  </si>
  <si>
    <t>Buckeye Terminals Llc 27</t>
  </si>
  <si>
    <t>Buckeye Terminals Llc 67</t>
  </si>
  <si>
    <t>Buckeye Terminals Llc 91</t>
  </si>
  <si>
    <t>Buckeye Terminals Llc 107</t>
  </si>
  <si>
    <t>Buckeye Terminals Llc 108</t>
  </si>
  <si>
    <t>Buckeye Terminals Llc 28</t>
  </si>
  <si>
    <t>Buckeye Terminals Llc 92</t>
  </si>
  <si>
    <t>Buckeye Terminals Llc 63</t>
  </si>
  <si>
    <t>Buckeye Terminals Llc 42</t>
  </si>
  <si>
    <t>Buckeye Terminals Llc 48</t>
  </si>
  <si>
    <t>Buckeye Terminals Llc 77</t>
  </si>
  <si>
    <t>Buckeye Terminals Llc 78</t>
  </si>
  <si>
    <t>Buckeye Terminals Llc 56</t>
  </si>
  <si>
    <t>Buckeye Terminals Llc 103</t>
  </si>
  <si>
    <t>Buckeye Terminals Llc 113</t>
  </si>
  <si>
    <t>Buckeye Terminals Llc 109</t>
  </si>
  <si>
    <t>Buckeye Terminals Llc 44</t>
  </si>
  <si>
    <t>Buckeye Terminals Llc 61</t>
  </si>
  <si>
    <t>Buckeye Terminals Llc 82</t>
  </si>
  <si>
    <t>Buckeye Terminals Llc 100</t>
  </si>
  <si>
    <t>Buckeye Terminals Llc 51</t>
  </si>
  <si>
    <t>Buckeye Terminals Llc 90</t>
  </si>
  <si>
    <t>Buckeye Terminals Llc 52</t>
  </si>
  <si>
    <t>Buckeye Terminals Llc 57</t>
  </si>
  <si>
    <t>Buckeye Terminals Llc 50</t>
  </si>
  <si>
    <t>Buckeye Terminals Llc 37</t>
  </si>
  <si>
    <t>Buckeye Terminals Llc 70</t>
  </si>
  <si>
    <t>Buckeye Terminals Llc 105</t>
  </si>
  <si>
    <t>Buckeye Terminals Llc 36</t>
  </si>
  <si>
    <t>Buckeye Terminals Llc 64</t>
  </si>
  <si>
    <t>Buckeye Terminals Llc 25</t>
  </si>
  <si>
    <t>Buckeye Terminals Llc 81</t>
  </si>
  <si>
    <t>Buckeye Terminals Llc 41</t>
  </si>
  <si>
    <t>Buckeye Terminals Llc 47</t>
  </si>
  <si>
    <t>Buckeye Terminals Llc 34</t>
  </si>
  <si>
    <t>Buckeye Terminals Llc 89</t>
  </si>
  <si>
    <t>Buckeye Terminals Llc 38</t>
  </si>
  <si>
    <t>Buckeye Terminals Llc 97</t>
  </si>
  <si>
    <t>Buckeye Terminals Llc 24</t>
  </si>
  <si>
    <t>Buckeye Terminals Llc 26</t>
  </si>
  <si>
    <t>Buckeye Terminals Llc 29</t>
  </si>
  <si>
    <t>Buckeye Terminals Llc 59</t>
  </si>
  <si>
    <t>Buckeye Terminals Llc 71</t>
  </si>
  <si>
    <t>Buckeye Terminals Llc 79</t>
  </si>
  <si>
    <t>Buckeye Terminals Llc 80</t>
  </si>
  <si>
    <t>Buckeye Terminals Llc 101</t>
  </si>
  <si>
    <t>Buckeye Terminals Llc 104</t>
  </si>
  <si>
    <t>Buckeye Terminals Llc 83</t>
  </si>
  <si>
    <t>Buckeye Terminals Llc 21</t>
  </si>
  <si>
    <t>Buckeye Terminals Llc 85</t>
  </si>
  <si>
    <t>Buckeye Terminals Llc 76</t>
  </si>
  <si>
    <t>Buckeye Terminals Llc 49</t>
  </si>
  <si>
    <t>Buckeye Terminals Llc 31</t>
  </si>
  <si>
    <t>Buckeye Terminals Llc 93</t>
  </si>
  <si>
    <t>Buckeye Terminals Llc 30</t>
  </si>
  <si>
    <t>Buckeye Terminals Llc 111</t>
  </si>
  <si>
    <t>Buckeye Terminals Llc 86</t>
  </si>
  <si>
    <t>Buckeye Terminals Llc 87</t>
  </si>
  <si>
    <t>Buckeye Terminals Llc 60</t>
  </si>
  <si>
    <t>Buckeye Terminals Llc 102</t>
  </si>
  <si>
    <t>Buckeye Terminals Llc 84</t>
  </si>
  <si>
    <t>Buckeye Terminals Llc 20</t>
  </si>
  <si>
    <t>Buckeye Terminals Llc 53</t>
  </si>
  <si>
    <t>Buckeye Terminals Llc 22</t>
  </si>
  <si>
    <t>Buckeye Terminals Llc 88</t>
  </si>
  <si>
    <t>Buckeye Terminals Llc 99</t>
  </si>
  <si>
    <t>Buckeye Terminals Llc 58</t>
  </si>
  <si>
    <t>Buckeye Terminals Llc 106</t>
  </si>
  <si>
    <t>Buckeye Terminals Llc 73</t>
  </si>
  <si>
    <t>Buckeye Terminals Llc 112</t>
  </si>
  <si>
    <t>Buckeye Terminals Llc 68</t>
  </si>
  <si>
    <t>Buckeye Terminals Llc 74</t>
  </si>
  <si>
    <t>Buckeye Terminals Llc 75</t>
  </si>
  <si>
    <t>Buckeye Terminals Llc 43</t>
  </si>
  <si>
    <t>Buckeye Terminals Llc 65</t>
  </si>
  <si>
    <t>Buckeye Terminals Llc 110</t>
  </si>
  <si>
    <t>Buckeye Development &amp; Logistics 2</t>
  </si>
  <si>
    <t>Buckeye Development &amp; Logistics 1</t>
  </si>
  <si>
    <t>Buckeye Se Terminals Lp 16</t>
  </si>
  <si>
    <t>Buckeye Se Terminals Lp 14</t>
  </si>
  <si>
    <t>Buckeye Se Terminals Lp 15</t>
  </si>
  <si>
    <t>Buckeye Se Terminals Lp 12</t>
  </si>
  <si>
    <t>Buckeye Se Terminals Lp 6</t>
  </si>
  <si>
    <t>Buckeye Se Terminals Lp 7</t>
  </si>
  <si>
    <t>Buckeye Se Terminals Lp 19</t>
  </si>
  <si>
    <t>Buckeye Se Terminals Lp 10</t>
  </si>
  <si>
    <t>Buckeye Se Terminals Lp 8</t>
  </si>
  <si>
    <t>Buckeye Se Terminals Lp 13</t>
  </si>
  <si>
    <t>Buckeye Se Terminals Lp 1</t>
  </si>
  <si>
    <t>Buckeye Se Terminals Lp 4</t>
  </si>
  <si>
    <t>Buckeye Se Terminals Lp 5</t>
  </si>
  <si>
    <t>Buckeye Se Terminals Lp 9</t>
  </si>
  <si>
    <t>Buckeye Se Terminals Lp 17</t>
  </si>
  <si>
    <t>Buckeye Se Terminals Lp 2</t>
  </si>
  <si>
    <t>Buckeye Se Terminals Lp 18</t>
  </si>
  <si>
    <t>Buckeye Se Terminals Lp 11</t>
  </si>
  <si>
    <t>Buckeye Se Terminals Lp 3</t>
  </si>
  <si>
    <t>C-Portstone Llc 1</t>
  </si>
  <si>
    <t>C-Portstone Llc 2</t>
  </si>
  <si>
    <t>Chs Inc 3</t>
  </si>
  <si>
    <t>Chs Inc 1</t>
  </si>
  <si>
    <t>Chs Inc 4</t>
  </si>
  <si>
    <t>Chs Inc 2</t>
  </si>
  <si>
    <t>Cenex Pl Llc 1</t>
  </si>
  <si>
    <t>Cenex Pl Llc 2</t>
  </si>
  <si>
    <t>Husky Energy 1</t>
  </si>
  <si>
    <t>Husky Energy 2</t>
  </si>
  <si>
    <t>Husky Energy 3</t>
  </si>
  <si>
    <t>Husky Energy 4</t>
  </si>
  <si>
    <t>Crestwood Services Llc 2</t>
  </si>
  <si>
    <t>Crestwood Services Llc 3</t>
  </si>
  <si>
    <t>Crestwood Services Llc 1</t>
  </si>
  <si>
    <t>Colonial Terminals Operating Co Llc 2</t>
  </si>
  <si>
    <t>Colonial Terminals Operating Co Llc 3</t>
  </si>
  <si>
    <t>Colonial Terminals Operating Co Llc 1</t>
  </si>
  <si>
    <t>Phillips 66 Company 14</t>
  </si>
  <si>
    <t>Phillips 66 Company 23</t>
  </si>
  <si>
    <t>Phillips 66 Company 8</t>
  </si>
  <si>
    <t>Phillips 66 Company 9</t>
  </si>
  <si>
    <t>Phillips 66 Company 20</t>
  </si>
  <si>
    <t>Phillips 66 Company 10</t>
  </si>
  <si>
    <t>Phillips 66 Company 2</t>
  </si>
  <si>
    <t>Phillips 66 Company 21</t>
  </si>
  <si>
    <t>Phillips 66 Company 18</t>
  </si>
  <si>
    <t>Phillips 66 Company 22</t>
  </si>
  <si>
    <t>Phillips 66 Company 7</t>
  </si>
  <si>
    <t>Phillips 66 Company 25</t>
  </si>
  <si>
    <t>Phillips 66 Company 16</t>
  </si>
  <si>
    <t>Phillips 66 Company 3</t>
  </si>
  <si>
    <t>Phillips 66 Company 4</t>
  </si>
  <si>
    <t>Phillips 66 Company 1</t>
  </si>
  <si>
    <t>Phillips 66 Company 6</t>
  </si>
  <si>
    <t>Phillips 66 Company 12</t>
  </si>
  <si>
    <t>Phillips 66 3</t>
  </si>
  <si>
    <t>Phillips 66 5</t>
  </si>
  <si>
    <t>Phillips 66 2</t>
  </si>
  <si>
    <t>Phillips 66 4</t>
  </si>
  <si>
    <t>Phillips 66 1</t>
  </si>
  <si>
    <t>Phillips 66 Company 19</t>
  </si>
  <si>
    <t>Phillips 66 Company 24</t>
  </si>
  <si>
    <t>Phillips 66 Company 17</t>
  </si>
  <si>
    <t>Phillips 66 Company 13</t>
  </si>
  <si>
    <t>Phillips 66 Company 15</t>
  </si>
  <si>
    <t>Phillips 66 Company 11</t>
  </si>
  <si>
    <t>Phillips 66 Company 26</t>
  </si>
  <si>
    <t>Phillips 66 Pipeline Llc 1</t>
  </si>
  <si>
    <t>Phillips 66 Pipeline Llc 4</t>
  </si>
  <si>
    <t>Phillips 66 Pipeline Llc 2</t>
  </si>
  <si>
    <t>Phillips 66 Pipeline Llc 6</t>
  </si>
  <si>
    <t>Phillips 66 Pipeline Llc 7</t>
  </si>
  <si>
    <t>Phillips 66 Pipeline Llc 3</t>
  </si>
  <si>
    <t>Phillips 66 Pipeline Llc 5</t>
  </si>
  <si>
    <t>Phillips 66 Company 5</t>
  </si>
  <si>
    <t>Phillips 66 Carrier Llc 1</t>
  </si>
  <si>
    <t>Phillips 66 Carrier Llc 2</t>
  </si>
  <si>
    <t>Phillips 66 Carrier Llc 5</t>
  </si>
  <si>
    <t>Phillips 66 Carrier Llc 3</t>
  </si>
  <si>
    <t>Phillips 66 Carrier Llc 4</t>
  </si>
  <si>
    <t>Countrymark Refining &amp; Logistics Llc 2</t>
  </si>
  <si>
    <t>Countrymark Refining &amp; Logistics Llc 1</t>
  </si>
  <si>
    <t>Countrymark Refining &amp; Logistics Llc 3</t>
  </si>
  <si>
    <t>Lion Oil Co 2</t>
  </si>
  <si>
    <t>Lion Oil Co 1</t>
  </si>
  <si>
    <t>Delek Marketing &amp; Supply Lp 1</t>
  </si>
  <si>
    <t>Delek Marketing &amp; Supply Lp 4</t>
  </si>
  <si>
    <t>Delek Marketing &amp; Supply Lp 2</t>
  </si>
  <si>
    <t>Delek Marketing &amp; Supply Lp 3</t>
  </si>
  <si>
    <t>Monroe Energy Llc 2</t>
  </si>
  <si>
    <t>Monroe Energy Llc 1</t>
  </si>
  <si>
    <t>Pbf Logistics Products Terminals Llc 13</t>
  </si>
  <si>
    <t>Pbf Logistics Products Terminals Llc 14</t>
  </si>
  <si>
    <t>Pbf Logistics Products Terminals Llc 15</t>
  </si>
  <si>
    <t>Pbf Logistics Products Terminals Llc 16</t>
  </si>
  <si>
    <t>Pbf Logistics Products Terminals Llc 11</t>
  </si>
  <si>
    <t>Pbf Logistics Products Terminals Llc 12</t>
  </si>
  <si>
    <t>Dow Hydrocarbons &amp; Resrcs Llc 9</t>
  </si>
  <si>
    <t>Dow Hydrocarbons &amp; Resrcs Llc 8</t>
  </si>
  <si>
    <t>Dow Hydrocarbons &amp; Resrcs Llc 7</t>
  </si>
  <si>
    <t>Eco-Energy Distribution Services Llc 3</t>
  </si>
  <si>
    <t>Eco-Energy Distribution Services Llc 2</t>
  </si>
  <si>
    <t>Eco-Energy Distribution Services Llc 1</t>
  </si>
  <si>
    <t>Sunoco Logistics 41</t>
  </si>
  <si>
    <t>Sunoco Logistics 26</t>
  </si>
  <si>
    <t>Sunoco Logistics 23</t>
  </si>
  <si>
    <t>Sunoco Logistics 53</t>
  </si>
  <si>
    <t>Sunoco Logistics 17</t>
  </si>
  <si>
    <t>Sunoco Logistics 40</t>
  </si>
  <si>
    <t>Sunoco Logistics 45</t>
  </si>
  <si>
    <t>Sunoco Logistics 28</t>
  </si>
  <si>
    <t>Sunoco Logistics 30</t>
  </si>
  <si>
    <t>Sunoco Logistics 44</t>
  </si>
  <si>
    <t>Sunoco Logistics 34</t>
  </si>
  <si>
    <t>Sunoco Logistics 29</t>
  </si>
  <si>
    <t>Sunoco Logistics 25</t>
  </si>
  <si>
    <t>Sunoco Logistics 16</t>
  </si>
  <si>
    <t>Sunoco Logistics 48</t>
  </si>
  <si>
    <t>Sunoco Logistics 27</t>
  </si>
  <si>
    <t>Sunoco Logistics 46</t>
  </si>
  <si>
    <t>Sunoco Logistics 32</t>
  </si>
  <si>
    <t>Sunoco Logistics 36</t>
  </si>
  <si>
    <t>Sunoco Logistics 18</t>
  </si>
  <si>
    <t>Sunoco Logistics 24</t>
  </si>
  <si>
    <t>Sunoco Logistics 33</t>
  </si>
  <si>
    <t>Sunoco Logistics 50</t>
  </si>
  <si>
    <t>Sunoco Logistics 22</t>
  </si>
  <si>
    <t>Sunoco Logistics 35</t>
  </si>
  <si>
    <t>Sunoco Logistics 21</t>
  </si>
  <si>
    <t>Sunoco Logistics 47</t>
  </si>
  <si>
    <t>Sunoco Logistics 51</t>
  </si>
  <si>
    <t>Sunoco Logistics 31</t>
  </si>
  <si>
    <t>Sunoco Logistics 43</t>
  </si>
  <si>
    <t>Sunoco Logistics 20</t>
  </si>
  <si>
    <t>Sunoco Logistics 37</t>
  </si>
  <si>
    <t>Sunoco Logistics 38</t>
  </si>
  <si>
    <t>Sunoco Logistics 42</t>
  </si>
  <si>
    <t>Sunoco Logistics 19</t>
  </si>
  <si>
    <t>Sunoco Logistics 52</t>
  </si>
  <si>
    <t>Sunoco Logistics 49</t>
  </si>
  <si>
    <t>Sunoco Logistics 39</t>
  </si>
  <si>
    <t>Sunoco Llc 2</t>
  </si>
  <si>
    <t>Sunoco Llc 14</t>
  </si>
  <si>
    <t>Sunoco Llc 10</t>
  </si>
  <si>
    <t>Sunoco Llc 11</t>
  </si>
  <si>
    <t>Sunoco Llc 6</t>
  </si>
  <si>
    <t>Sunoco Llc 3</t>
  </si>
  <si>
    <t>Sunoco Llc 7</t>
  </si>
  <si>
    <t>Sunoco Llc 13</t>
  </si>
  <si>
    <t>Sunoco Llc 12</t>
  </si>
  <si>
    <t>Sunoco Llc 1</t>
  </si>
  <si>
    <t>Sunoco Llc 4</t>
  </si>
  <si>
    <t>Sunoco Llc 8</t>
  </si>
  <si>
    <t>Sunoco Llc 9</t>
  </si>
  <si>
    <t>Sunoco Llc 15</t>
  </si>
  <si>
    <t>Sunoco Llc 5</t>
  </si>
  <si>
    <t>Sunoco Midstream Llc 1</t>
  </si>
  <si>
    <t>Sunoco Midstream Llc 4</t>
  </si>
  <si>
    <t>Sunoco Midstream Llc 5</t>
  </si>
  <si>
    <t>Sunoco Midstream Llc 9</t>
  </si>
  <si>
    <t>Sunoco Midstream Llc 7</t>
  </si>
  <si>
    <t>Sunoco Midstream Llc 10</t>
  </si>
  <si>
    <t>Sunoco Midstream Llc 6</t>
  </si>
  <si>
    <t>Sunoco Midstream Llc 8</t>
  </si>
  <si>
    <t>Sunoco Midstream Llc 12</t>
  </si>
  <si>
    <t>Sunoco Midstream Llc 2</t>
  </si>
  <si>
    <t>Sunoco Midstream Llc 3</t>
  </si>
  <si>
    <t>Sunoco Midstream Llc 11</t>
  </si>
  <si>
    <t>Enterprise Products Operating Llc 11</t>
  </si>
  <si>
    <t>Enterprise Products Operating Llc 6</t>
  </si>
  <si>
    <t>Enterprise Products Operating Llc 5</t>
  </si>
  <si>
    <t>Enterprise Products Operating Llc 8</t>
  </si>
  <si>
    <t>Enterprise Products Operating Llc 9</t>
  </si>
  <si>
    <t>Enterprise Products Operating Llc 12</t>
  </si>
  <si>
    <t>Enterprise Products Operating Llc 7</t>
  </si>
  <si>
    <t>Enterprise Products Operating Llc 10</t>
  </si>
  <si>
    <t>Ent Propane Terminals &amp; Storage Llc 8</t>
  </si>
  <si>
    <t>Ent Propane Terminals &amp; Storage Llc 5</t>
  </si>
  <si>
    <t>Ent Propane Terminals &amp; Storage Llc 6</t>
  </si>
  <si>
    <t>Ent Propane Terminals &amp; Storage Llc 7</t>
  </si>
  <si>
    <t>Ent Propane Terminals &amp; Storage Llc 1</t>
  </si>
  <si>
    <t>Ent Propane Terminals &amp; Storage Llc 2</t>
  </si>
  <si>
    <t>Ent Propane Terminals &amp; Storage Llc 3</t>
  </si>
  <si>
    <t>Ent Propane Terminals &amp; Storage Llc 4</t>
  </si>
  <si>
    <t>Enterprise Terminals &amp; Storage Llc 24</t>
  </si>
  <si>
    <t>Enterprise Terminals &amp; Storage Llc 13</t>
  </si>
  <si>
    <t>Enterprise Terminals &amp; Storage Llc 23</t>
  </si>
  <si>
    <t>Enterprise Terminals &amp; Storage Llc 22</t>
  </si>
  <si>
    <t>Enterprise Terminals &amp; Storage Llc 15</t>
  </si>
  <si>
    <t>Enterprise Terminals &amp; Storage Llc 17</t>
  </si>
  <si>
    <t>Enterprise Terminals &amp; Storage Llc 29</t>
  </si>
  <si>
    <t>Enterprise Terminals &amp; Storage Llc 25</t>
  </si>
  <si>
    <t>Enterprise Terminals &amp; Storage Llc 27</t>
  </si>
  <si>
    <t>Enterprise Terminals &amp; Storage Llc 16</t>
  </si>
  <si>
    <t>Enterprise Terminals &amp; Storage Llc 18</t>
  </si>
  <si>
    <t>Enterprise Terminals &amp; Storage Llc 12</t>
  </si>
  <si>
    <t>Enterprise Terminals &amp; Storage Llc 31</t>
  </si>
  <si>
    <t>Enterprise Terminals &amp; Storage Llc 14</t>
  </si>
  <si>
    <t>Enterprise Terminals &amp; Storage Llc 20</t>
  </si>
  <si>
    <t>Enterprise Terminals &amp; Storage Llc 21</t>
  </si>
  <si>
    <t>Enterprise Terminals &amp; Storage Llc 28</t>
  </si>
  <si>
    <t>Enterprise Terminals &amp; Storage Llc 11</t>
  </si>
  <si>
    <t>Enterprise Terminals &amp; Storage Llc 10</t>
  </si>
  <si>
    <t>Enterprise Terminals &amp; Storage Llc 19</t>
  </si>
  <si>
    <t>Enterprise Terminals &amp; Storage Llc 26</t>
  </si>
  <si>
    <t>Enterprise Terminals &amp; Storage Llc 30</t>
  </si>
  <si>
    <t>Enterprise Gc Llc 2</t>
  </si>
  <si>
    <t>Enterprise Gc Llc 4</t>
  </si>
  <si>
    <t>Enterprise Gc Llc 1</t>
  </si>
  <si>
    <t>Enterprise Gc Llc 3</t>
  </si>
  <si>
    <t>Enterprise Refined Products Co Llc 2</t>
  </si>
  <si>
    <t>Enterprise Refined Products Co Llc 7</t>
  </si>
  <si>
    <t>Enterprise Refined Products Co Llc 1</t>
  </si>
  <si>
    <t>Enterprise Refined Products Co Llc 5</t>
  </si>
  <si>
    <t>Enterprise Refined Products Co Llc 8</t>
  </si>
  <si>
    <t>Enterprise Refined Products Co Llc 6</t>
  </si>
  <si>
    <t>Enterprise Refined Products Co Llc 4</t>
  </si>
  <si>
    <t>Enterprise Refined Products Co Llc 3</t>
  </si>
  <si>
    <t>Enterprise Refined Products Co Llc 9</t>
  </si>
  <si>
    <t>Exxonmobil Pipeline Co 1</t>
  </si>
  <si>
    <t>Exxon Mobil Refg &amp; Sply Comp 1</t>
  </si>
  <si>
    <t>Exxon Mobil Refg &amp; Sply Comp 3</t>
  </si>
  <si>
    <t>Exxon Mobil Refg &amp; Sply Comp 5</t>
  </si>
  <si>
    <t>Exxon Mobil Refg &amp; Sply Comp 6</t>
  </si>
  <si>
    <t>Exxon Mobil Refg &amp; Sply Comp 7</t>
  </si>
  <si>
    <t>Exxon Mobil Refg &amp; Sply Comp 2</t>
  </si>
  <si>
    <t>Exxon Mobil Refg &amp; Sply Comp 4</t>
  </si>
  <si>
    <t>Exxonmobil Corporation 1</t>
  </si>
  <si>
    <t>Exxonmobil Corporation 2</t>
  </si>
  <si>
    <t>Exxonmobil Corporation 3</t>
  </si>
  <si>
    <t>Exxonmobil Pl Co 3</t>
  </si>
  <si>
    <t>Exxonmobil Corporation 4</t>
  </si>
  <si>
    <t>Exxonmobil Pl Co 4</t>
  </si>
  <si>
    <t>Exxonmobil Pipeline Co 2</t>
  </si>
  <si>
    <t>Growmark Inc 7</t>
  </si>
  <si>
    <t>Growmark Inc 3</t>
  </si>
  <si>
    <t>Growmark Inc 2</t>
  </si>
  <si>
    <t>Growmark Inc 8</t>
  </si>
  <si>
    <t>Growmark Inc 6</t>
  </si>
  <si>
    <t>Growmark Inc 1</t>
  </si>
  <si>
    <t>Growmark Inc 4</t>
  </si>
  <si>
    <t>Growmark Inc 5</t>
  </si>
  <si>
    <t>Global Companies Llc 12</t>
  </si>
  <si>
    <t>Global Co Llc 3</t>
  </si>
  <si>
    <t>Global Co Llc 10</t>
  </si>
  <si>
    <t>Global Co Llc 9</t>
  </si>
  <si>
    <t>Global Co Llc 11</t>
  </si>
  <si>
    <t>Global Co Llc 1</t>
  </si>
  <si>
    <t>Global Co Llc 2</t>
  </si>
  <si>
    <t>Global Co Llc 5</t>
  </si>
  <si>
    <t>Global Companies Llc 17</t>
  </si>
  <si>
    <t>Global Companies Llc 16</t>
  </si>
  <si>
    <t>Global Companies Llc 14</t>
  </si>
  <si>
    <t>Global Companies Llc 15</t>
  </si>
  <si>
    <t>Global Co Llc 7</t>
  </si>
  <si>
    <t>Global Co Llc 6</t>
  </si>
  <si>
    <t>Global Co Llc 8</t>
  </si>
  <si>
    <t>Global Companies Llc 13</t>
  </si>
  <si>
    <t>Global Co Llc 4</t>
  </si>
  <si>
    <t>Go-Mart Inc 1</t>
  </si>
  <si>
    <t>Go-Mart Inc 2</t>
  </si>
  <si>
    <t>Gordon Terminal Service Co 4</t>
  </si>
  <si>
    <t>Gordon Terminal Service Co 3</t>
  </si>
  <si>
    <t>Sinclair Oil Corp 4</t>
  </si>
  <si>
    <t>Sinclair Oil Corp 8</t>
  </si>
  <si>
    <t>Sinclair Oil Corp 6</t>
  </si>
  <si>
    <t>Sinclair Oil Corp 7</t>
  </si>
  <si>
    <t>Sinclair Oil Corp 1</t>
  </si>
  <si>
    <t>Sinclair Oil Corp 3</t>
  </si>
  <si>
    <t>Sinclair Oil Corp 5</t>
  </si>
  <si>
    <t>Sinclair Oil Corp 9</t>
  </si>
  <si>
    <t>Sinclair Oil Corp 2</t>
  </si>
  <si>
    <t>Unev Pipeline Llc 2</t>
  </si>
  <si>
    <t>Unev Pipeline Llc 1</t>
  </si>
  <si>
    <t>Sprague Operating Resources Llc 13</t>
  </si>
  <si>
    <t>Sprague Operating Resources Llc 6</t>
  </si>
  <si>
    <t>Sprague Operating Resources Llc 7</t>
  </si>
  <si>
    <t>Sprague Operating Resources Llc 10</t>
  </si>
  <si>
    <t>Sprague Operating Resources Llc 9</t>
  </si>
  <si>
    <t>Sprague Operating Resources Llc 3</t>
  </si>
  <si>
    <t>Sprague Operating Resources Llc 4</t>
  </si>
  <si>
    <t>Sprague Operating Resources Llc 8</t>
  </si>
  <si>
    <t>Sprague Operating Resources Llc 5</t>
  </si>
  <si>
    <t>Sprague Operating Resources Llc 1</t>
  </si>
  <si>
    <t>Sprague Operating Resrcs Llc 14</t>
  </si>
  <si>
    <t>Sprague Operating Resources Llc 11</t>
  </si>
  <si>
    <t>Sprague Operating Resources Llc 12</t>
  </si>
  <si>
    <t>Sprague Operating Resources Llc 2</t>
  </si>
  <si>
    <t>Sprague Operating Resrcs Llc 17</t>
  </si>
  <si>
    <t>Sprague Operating Resrcs Llc 16</t>
  </si>
  <si>
    <t>Sprague Operating Resrcs Llc 15</t>
  </si>
  <si>
    <t>Heritage Asphalt Llc 1</t>
  </si>
  <si>
    <t>Heritage Asphalt Llc 2</t>
  </si>
  <si>
    <t>Heritage Asphalt Llc 4</t>
  </si>
  <si>
    <t>Heritage Asphalt Llc 3</t>
  </si>
  <si>
    <t>Holly Energy Partners Oper Lp 6</t>
  </si>
  <si>
    <t>Holly Energy Partners Oper Lp 2</t>
  </si>
  <si>
    <t>Holly Energy Partners Oper Lp 3</t>
  </si>
  <si>
    <t>Holly Energy Partners Oper Lp 7</t>
  </si>
  <si>
    <t>Holly Energy Partners Oper Lp 1</t>
  </si>
  <si>
    <t>Nk Asphalt Partners 2</t>
  </si>
  <si>
    <t>Nk Asphalt Partners 1</t>
  </si>
  <si>
    <t>Nk Asphalt Partners 3</t>
  </si>
  <si>
    <t>Holly Energy Partners Oper Lp 5</t>
  </si>
  <si>
    <t>Holly Energy Partners Oper Lp 4</t>
  </si>
  <si>
    <t>Hop Energy Llc 9</t>
  </si>
  <si>
    <t>Hop Energy Llc 8</t>
  </si>
  <si>
    <t>Hwrt Oil Co Llc 7</t>
  </si>
  <si>
    <t>Hwrt Oil Co Llc 6</t>
  </si>
  <si>
    <t>Hwrt Oil Co Llc 5</t>
  </si>
  <si>
    <t>Western Emulsions Inc 1</t>
  </si>
  <si>
    <t>Western Emulsions Inc 2</t>
  </si>
  <si>
    <t>Western Emulsions Inc 3</t>
  </si>
  <si>
    <t>Intl Matex Tank Terminals 1</t>
  </si>
  <si>
    <t>Intl Matex Tank Terminals 3</t>
  </si>
  <si>
    <t>Intl Matex Tank Terminals 4</t>
  </si>
  <si>
    <t>Intl Matex Tank Terminals 2</t>
  </si>
  <si>
    <t>Irving Oil Terminals Inc 6</t>
  </si>
  <si>
    <t>Irving Oil Terminals Inc 5</t>
  </si>
  <si>
    <t>Irving Oil Terminals Inc 7</t>
  </si>
  <si>
    <t>Jebro Incorporated 3</t>
  </si>
  <si>
    <t>Jebro Incorporated 2</t>
  </si>
  <si>
    <t>Jebro Incorporated 4</t>
  </si>
  <si>
    <t>Jebro Incorporated 1</t>
  </si>
  <si>
    <t>John W Stone Oil Distributor Llc 2</t>
  </si>
  <si>
    <t>John W Stone Oil Distributor Llc 1</t>
  </si>
  <si>
    <t>Sfpp Lp 4</t>
  </si>
  <si>
    <t>Sfpp Lp 13</t>
  </si>
  <si>
    <t>Sfpp Lp 9</t>
  </si>
  <si>
    <t>Sfpp Lp 8</t>
  </si>
  <si>
    <t>Sfpp Lp 2</t>
  </si>
  <si>
    <t>Sfpp Lp 3</t>
  </si>
  <si>
    <t>Sfpp Lp 5</t>
  </si>
  <si>
    <t>Sfpp Lp 11</t>
  </si>
  <si>
    <t>Sfpp Lp 7</t>
  </si>
  <si>
    <t>Sfpp Lp 12</t>
  </si>
  <si>
    <t>Sfpp Lp 10</t>
  </si>
  <si>
    <t>Sfpp Lp 6</t>
  </si>
  <si>
    <t>Sfpp Lp 1</t>
  </si>
  <si>
    <t>Kinder Morgan Transmix Llc 2</t>
  </si>
  <si>
    <t>Kinder Morgan Transmix Llc 1</t>
  </si>
  <si>
    <t>Kindermorgan 1</t>
  </si>
  <si>
    <t>Kinder Morgan Liq Termls Llc 12</t>
  </si>
  <si>
    <t>Kinder Morgan 1</t>
  </si>
  <si>
    <t>Km Liquids Terminals Lp 5</t>
  </si>
  <si>
    <t>Km Liquids Terminals Lp 6</t>
  </si>
  <si>
    <t>Kinder Morgan Liq Termls Llc 10</t>
  </si>
  <si>
    <t>Kinder Morgan Liq Termls Llc 2</t>
  </si>
  <si>
    <t>Kinder Morgan Liq Termls Llc 3</t>
  </si>
  <si>
    <t>Kinder Morgan Liq Termls Llc 1</t>
  </si>
  <si>
    <t>Kinder Morgan Liq Termls Llc 4</t>
  </si>
  <si>
    <t>Kinder Morgan Liq Termls Llc 5</t>
  </si>
  <si>
    <t>Kinder Morgan Liq Termls Llc 6</t>
  </si>
  <si>
    <t>Kinder Morgan Liq Termls Llc 8</t>
  </si>
  <si>
    <t>Kinder Morgan Liq Termls Llc 9</t>
  </si>
  <si>
    <t>Kinder Morgan Liq Termls Llc 11</t>
  </si>
  <si>
    <t>Kinder Morgan Liq Termls Llc 7</t>
  </si>
  <si>
    <t>Kinder Morgan Liq Termls Llc 13</t>
  </si>
  <si>
    <t>Kinder Morgan Liq Termls Llc 14</t>
  </si>
  <si>
    <t>Kinder Morgan Liq Termls Llc 15</t>
  </si>
  <si>
    <t>Kinder Morgan Calnev P L Llc 6</t>
  </si>
  <si>
    <t>Kinder Morgan Calnev P L Llc 5</t>
  </si>
  <si>
    <t>Kindermorgan 2</t>
  </si>
  <si>
    <t>Kindermorgan Southeast Terminals Llc 3</t>
  </si>
  <si>
    <t>Kinder Morgan Southeast Terminal 14</t>
  </si>
  <si>
    <t>Kinder Morgan Se Trmnls Llc 2</t>
  </si>
  <si>
    <t>Kinder Morgan Southeast Terminal 17</t>
  </si>
  <si>
    <t>Kinder Morgan Southeast Terminal 18</t>
  </si>
  <si>
    <t>Kinder Morgan Southeast Terminal 21</t>
  </si>
  <si>
    <t>Kinder Morgan Southeast Terminal 3</t>
  </si>
  <si>
    <t>Kinder Morgan Southeast Terminal 10</t>
  </si>
  <si>
    <t>Kinder Morgan Se Trmnls Llc 1</t>
  </si>
  <si>
    <t>Kinder Morgan Southeast Terminal 8</t>
  </si>
  <si>
    <t>Kinder Morgan Southeast Terminal 19</t>
  </si>
  <si>
    <t>Kinder Morgan Southeast Terminal 20</t>
  </si>
  <si>
    <t>Kinder Morgan Southeast Terminal 5</t>
  </si>
  <si>
    <t>Kinder Morgan Southeast Terminal 6</t>
  </si>
  <si>
    <t>Kinder Morgan Southeast Terminal 11</t>
  </si>
  <si>
    <t>Kinder Morgan Southeast Terminal 22</t>
  </si>
  <si>
    <t>Kinder Morgan Southeast Terminal 7</t>
  </si>
  <si>
    <t>Kinder Morgan Southeast Terminal 23</t>
  </si>
  <si>
    <t>Kinder Morgan Southeast Terminal 24</t>
  </si>
  <si>
    <t>Kinder Morgan Southeast Terminal 15</t>
  </si>
  <si>
    <t>Kinder Morgan Southeast Terminal 16</t>
  </si>
  <si>
    <t>Kindermorgan Southeast Terminals Llc 4</t>
  </si>
  <si>
    <t>Kinder Morgan Southeast Terminal 12</t>
  </si>
  <si>
    <t>Kinder Morgan Southeast Terminal 4</t>
  </si>
  <si>
    <t>Kinder Morgan Southeast Terminal 9</t>
  </si>
  <si>
    <t>Kinder Morgan Southeast Terminal 13</t>
  </si>
  <si>
    <t>Kinder Morgan 3</t>
  </si>
  <si>
    <t>Kinder Morgan 4</t>
  </si>
  <si>
    <t>Kinder Morgan 2</t>
  </si>
  <si>
    <t>Imtt Epic Llc 2</t>
  </si>
  <si>
    <t>Imtt Epic Llc 3</t>
  </si>
  <si>
    <t>Imtt Epic Llc 4</t>
  </si>
  <si>
    <t>Imtt Epic Llc 5</t>
  </si>
  <si>
    <t>Imtt Epic Llc 1</t>
  </si>
  <si>
    <t>Magellan Pipeline Co Lp 1</t>
  </si>
  <si>
    <t>Magellan Pipeline Co Lp 9</t>
  </si>
  <si>
    <t>Magellan Pipeline Co Lp 15</t>
  </si>
  <si>
    <t>Magellan Pipeline Co Lp 18</t>
  </si>
  <si>
    <t>Magellan Pipeline Co Lp 8</t>
  </si>
  <si>
    <t>Magellan Pipeline Co Lp 19</t>
  </si>
  <si>
    <t>Magellan Pipeline Co Lp 21</t>
  </si>
  <si>
    <t>Magellan Pipeline Co Lp 22</t>
  </si>
  <si>
    <t>Magellan Pipeline Co Lp 23</t>
  </si>
  <si>
    <t>Magellan Pipeline Co Lp 24</t>
  </si>
  <si>
    <t>Magellan Pipeline Co Lp 25</t>
  </si>
  <si>
    <t>Magellan Pipeline Co Lp 27</t>
  </si>
  <si>
    <t>Magellan Pipeline Co Lp 36</t>
  </si>
  <si>
    <t>Magellan Pipeline Co Lp 40</t>
  </si>
  <si>
    <t>Magellan Pipeline Co Lp 42</t>
  </si>
  <si>
    <t>Magellan Pipeline Co Lp 43</t>
  </si>
  <si>
    <t>Magellan Pipeline Co Lp 44</t>
  </si>
  <si>
    <t>Magellan Pipeline Co Lp 47</t>
  </si>
  <si>
    <t>Magellan Pipeline Co Lp 48</t>
  </si>
  <si>
    <t>Magellan Pipeline Co Lp 13</t>
  </si>
  <si>
    <t>Magellan Pipeline Co Lp 45</t>
  </si>
  <si>
    <t>Magellan Pipeline Co Lp 28</t>
  </si>
  <si>
    <t>Magellan Pipeline Co Lp 2</t>
  </si>
  <si>
    <t>Magellan Pipeline Co Lp 33</t>
  </si>
  <si>
    <t>Magellan Pipeline Co Lp 30</t>
  </si>
  <si>
    <t>Magellan Pipeline Co Lp 6</t>
  </si>
  <si>
    <t>Magellan Pipeline Co Lp 37</t>
  </si>
  <si>
    <t>Magellan Pipeline Co Lp 12</t>
  </si>
  <si>
    <t>Magellan Pipeline Co Lp 4</t>
  </si>
  <si>
    <t>Magellan Pipeline Co Lp 34</t>
  </si>
  <si>
    <t>Magellan Pipeline Co Lp 20</t>
  </si>
  <si>
    <t>Magellan Pipeline Co Lp 35</t>
  </si>
  <si>
    <t>Magellan Pipeline Co Lp 46</t>
  </si>
  <si>
    <t>Magellan Pl Co 3</t>
  </si>
  <si>
    <t>Magellan Pl Co 2</t>
  </si>
  <si>
    <t>Magellan Pl Co 5</t>
  </si>
  <si>
    <t>Magellan Pl Co 4</t>
  </si>
  <si>
    <t>Magellan Pl Co 1</t>
  </si>
  <si>
    <t>Magellan Pipeline Co Lp 3</t>
  </si>
  <si>
    <t>Magellan Pipeline Co Lp 7</t>
  </si>
  <si>
    <t>Magellan Pipeline Co Lp 17</t>
  </si>
  <si>
    <t>Magellan Pipeline Co Lp 26</t>
  </si>
  <si>
    <t>Magellan Pipeline Co Lp 39</t>
  </si>
  <si>
    <t>Magellan Pipeline Co Lp 11</t>
  </si>
  <si>
    <t>Magellan Pipeline Co Lp 16</t>
  </si>
  <si>
    <t>Magellan Pipeline Co Lp 14</t>
  </si>
  <si>
    <t>Magellan Pipeline Co Lp 5</t>
  </si>
  <si>
    <t>Magellan Pipeline Co Lp 38</t>
  </si>
  <si>
    <t>Magellan Pipeline Co Lp 10</t>
  </si>
  <si>
    <t>Magellan Pipeline Co Lp 31</t>
  </si>
  <si>
    <t>Magellan Pipeline Co Lp 32</t>
  </si>
  <si>
    <t>Magellan Pipeline Co Lp 41</t>
  </si>
  <si>
    <t>Magellan Pipeline Co Lp 29</t>
  </si>
  <si>
    <t>Marathon Petroleum Co Llc 20</t>
  </si>
  <si>
    <t>Marathon Petroleum Co Llc 19</t>
  </si>
  <si>
    <t>Marathon Petroleum Co Llc 2</t>
  </si>
  <si>
    <t>Marathon Petroleum Co Llc 17</t>
  </si>
  <si>
    <t>Marathon Petroleum Co Llc 5</t>
  </si>
  <si>
    <t>Marathon Petroleum Co Llc 13</t>
  </si>
  <si>
    <t>Marathon Petroleum Co Llc 18</t>
  </si>
  <si>
    <t>Marathon Petroleum Co Llc 21</t>
  </si>
  <si>
    <t>Marathon Petroleum Co Llc 1</t>
  </si>
  <si>
    <t>Marathon Petroleum Co Llc 3</t>
  </si>
  <si>
    <t>Marathon Petroleum Co Llc 4</t>
  </si>
  <si>
    <t>Marathon Petroleum Co Llc 6</t>
  </si>
  <si>
    <t>Marathon Petroleum Co Llc 7</t>
  </si>
  <si>
    <t>Marathon Petroleum Co Llc 8</t>
  </si>
  <si>
    <t>Marathon Petroleum Co Llc 9</t>
  </si>
  <si>
    <t>Marathon Petroleum Co Llc 10</t>
  </si>
  <si>
    <t>Marathon Petroleum Co Llc 11</t>
  </si>
  <si>
    <t>Marathon Petroleum Co Llc 12</t>
  </si>
  <si>
    <t>Marathon Petroleum Co Llc 14</t>
  </si>
  <si>
    <t>Marathon Petroleum Co Llc 15</t>
  </si>
  <si>
    <t>Marathon Petroleum Co Llc 16</t>
  </si>
  <si>
    <t>Marathon Pipeline Llc 3</t>
  </si>
  <si>
    <t>Marathon Pipeline Llc 1</t>
  </si>
  <si>
    <t>Marathon Pipeline Llc 2</t>
  </si>
  <si>
    <t>Mplx Terminals Llc 21</t>
  </si>
  <si>
    <t>Mplx Terminals Llc 31</t>
  </si>
  <si>
    <t>Mplx Terminals Llc 14</t>
  </si>
  <si>
    <t>Mplx Terminals Llc 37</t>
  </si>
  <si>
    <t>Mplx Terminals Llc 7</t>
  </si>
  <si>
    <t>Mplx Terminals Llc 2</t>
  </si>
  <si>
    <t>Mplx Terminals Llc 46</t>
  </si>
  <si>
    <t>Mplx Terminals Llc 44</t>
  </si>
  <si>
    <t>Mplx Terminals Llc 43</t>
  </si>
  <si>
    <t>Mplx Terminals Llc 42</t>
  </si>
  <si>
    <t>Mplx Terminals Llc 39</t>
  </si>
  <si>
    <t>Mplx Terminals Llc 30</t>
  </si>
  <si>
    <t>Mplx Terminals Llc 29</t>
  </si>
  <si>
    <t>Mplx Terminals Llc 26</t>
  </si>
  <si>
    <t>Mplx Terminals Llc 24</t>
  </si>
  <si>
    <t>Mplx Terminals Llc 25</t>
  </si>
  <si>
    <t>Mplx Terminals Llc 22</t>
  </si>
  <si>
    <t>Mplx Terminals Llc 12</t>
  </si>
  <si>
    <t>Mplx Terminals Llc 13</t>
  </si>
  <si>
    <t>Mplx Terminals Llc 11</t>
  </si>
  <si>
    <t>Mplx Terminals Llc 8</t>
  </si>
  <si>
    <t>Mplx Terminals Llc 5</t>
  </si>
  <si>
    <t>Mplx Terminals Llc 32</t>
  </si>
  <si>
    <t>Mplx Terminals Llc 28</t>
  </si>
  <si>
    <t>Mplx Terminals Llc 23</t>
  </si>
  <si>
    <t>Mplx Terminals Llc 15</t>
  </si>
  <si>
    <t>Mplx Terminals Llc 6</t>
  </si>
  <si>
    <t>Mplx Terminals Llc 27</t>
  </si>
  <si>
    <t>Mplx Terminals Llc 3</t>
  </si>
  <si>
    <t>Mplx Terminals Llc 9</t>
  </si>
  <si>
    <t>Mplx Terminals Llc 18</t>
  </si>
  <si>
    <t>Mplx Terminals Llc 17</t>
  </si>
  <si>
    <t>Mplx Terminals Llc 34</t>
  </si>
  <si>
    <t>Mplx Terminals Llc 45</t>
  </si>
  <si>
    <t>Mplx Terminals Llc 49</t>
  </si>
  <si>
    <t>Mplx Terminals Llc 16</t>
  </si>
  <si>
    <t>Mplx Terminals Llc 1</t>
  </si>
  <si>
    <t>Mplx Terminals Llc 4</t>
  </si>
  <si>
    <t>Mplx Terminals Llc 33</t>
  </si>
  <si>
    <t>Mplx Terminals Llc 35</t>
  </si>
  <si>
    <t>Mplx Terminals Llc 40</t>
  </si>
  <si>
    <t>Mplx Terminals Llc 20</t>
  </si>
  <si>
    <t>Mplx Terminals Llc 19</t>
  </si>
  <si>
    <t>Mplx Terminals Llc 47</t>
  </si>
  <si>
    <t>Mplx Terminals Llc 38</t>
  </si>
  <si>
    <t>Mplx Terminals Llc 48</t>
  </si>
  <si>
    <t>Mplx Terminals Llc 41</t>
  </si>
  <si>
    <t>Mplx Terminals Llc 10</t>
  </si>
  <si>
    <t>Mplx Terminals Llc 36</t>
  </si>
  <si>
    <t>Tesoro Refining &amp; Marketing 8</t>
  </si>
  <si>
    <t>Tesoro Refining &amp; Marketing 7</t>
  </si>
  <si>
    <t>Andeavor Logistics Lp 7</t>
  </si>
  <si>
    <t>Andeavor Logistics Lp 21</t>
  </si>
  <si>
    <t>Andeavor Logistics Lp 23</t>
  </si>
  <si>
    <t>Andeavor Logistics Lp 5</t>
  </si>
  <si>
    <t>Andeavor Logistics Lp 20</t>
  </si>
  <si>
    <t>Andeavor Logistics Lp 19</t>
  </si>
  <si>
    <t>Andeavor Logistics Lp 12</t>
  </si>
  <si>
    <t>Andeavor Logistics Lp 13</t>
  </si>
  <si>
    <t>Andeavor Logistics Lp 14</t>
  </si>
  <si>
    <t>Andeavor Logistics Lp 8</t>
  </si>
  <si>
    <t>Andeavor Logistics Lp 16</t>
  </si>
  <si>
    <t>Andeavor Logistics Lp 6</t>
  </si>
  <si>
    <t>Andeavor Logistics Lp 18</t>
  </si>
  <si>
    <t>Andeavor Logistics Lp 24</t>
  </si>
  <si>
    <t>Andeavor Logistics Lp 9</t>
  </si>
  <si>
    <t>Andeavor Logistics Lp 1</t>
  </si>
  <si>
    <t>Andeavor Logistics Lp 11</t>
  </si>
  <si>
    <t>Andeavor Logistics Lp 22</t>
  </si>
  <si>
    <t>Andeavor Logistics Lp 4</t>
  </si>
  <si>
    <t>Andeavor Logistics Lp 17</t>
  </si>
  <si>
    <t>Andeavor Logistics Lp 10</t>
  </si>
  <si>
    <t>Martin Operating Partnership Lp 1</t>
  </si>
  <si>
    <t>Martin Operating Partnership Lp 2</t>
  </si>
  <si>
    <t>Martin Energy Services Llc 11</t>
  </si>
  <si>
    <t>Martin Energy Services Llc 15</t>
  </si>
  <si>
    <t>Martin Energy Services Llc 12</t>
  </si>
  <si>
    <t>Martin Energy Services Llc 14</t>
  </si>
  <si>
    <t>Martin Energy Services Llc 6</t>
  </si>
  <si>
    <t>Martin Energy Services Llc 5</t>
  </si>
  <si>
    <t>Martin Energy Services Llc 4</t>
  </si>
  <si>
    <t>Martin Energy Services Llc 7</t>
  </si>
  <si>
    <t>Martin Energy Services Llc 8</t>
  </si>
  <si>
    <t>Martin Energy Services Llc 13</t>
  </si>
  <si>
    <t>Martin Energy Services Llc 9</t>
  </si>
  <si>
    <t>Martin Energy Services Llc 10</t>
  </si>
  <si>
    <t>Mck Terminals Llc 3</t>
  </si>
  <si>
    <t>Mck Terminals Llc 4</t>
  </si>
  <si>
    <t>Mck Terminals Llc 2</t>
  </si>
  <si>
    <t>Mck Terminals Llc 1</t>
  </si>
  <si>
    <t>Barcliff Llc 3</t>
  </si>
  <si>
    <t>Barcliff Llc 4</t>
  </si>
  <si>
    <t>Musket Corp 58</t>
  </si>
  <si>
    <t>Musket Corp 59</t>
  </si>
  <si>
    <t>Musket Corp 57</t>
  </si>
  <si>
    <t>New Haven Terminal Inc 1</t>
  </si>
  <si>
    <t>New Haven Terminal Inc 2</t>
  </si>
  <si>
    <t>Ngl Supply Wholesale Llc 2</t>
  </si>
  <si>
    <t>Ngl Supply Wholesale Llc 6</t>
  </si>
  <si>
    <t>Ngl Supply Wholesale Llc 3</t>
  </si>
  <si>
    <t>Ngl Supply Wholesale Llc 5</t>
  </si>
  <si>
    <t>Ngl Supply Wholesale Llc 1</t>
  </si>
  <si>
    <t>Ngl Supply Wholesale Llc 4</t>
  </si>
  <si>
    <t>Nustar Energy Lp 41</t>
  </si>
  <si>
    <t>Nustar Energy Lp 6</t>
  </si>
  <si>
    <t>Nustar Energy Lp 3</t>
  </si>
  <si>
    <t>Nustar Energy Lp 16</t>
  </si>
  <si>
    <t>Nustar Energy Lp 13</t>
  </si>
  <si>
    <t>Nustar Energy Lp 42</t>
  </si>
  <si>
    <t>Nustar Energy Lp 33</t>
  </si>
  <si>
    <t>Nustar Energy Lp 27</t>
  </si>
  <si>
    <t>Nustar Energy Lp 29</t>
  </si>
  <si>
    <t>Nustar Energy Lp 34</t>
  </si>
  <si>
    <t>Nustar Energy Lp 35</t>
  </si>
  <si>
    <t>Nustar Energy Lp 39</t>
  </si>
  <si>
    <t>Nustar Energy Lp 7</t>
  </si>
  <si>
    <t>Nustar Energy Lp 17</t>
  </si>
  <si>
    <t>Nustar Energy Lp 21</t>
  </si>
  <si>
    <t>Nustar Energy Lp 23</t>
  </si>
  <si>
    <t>Nustar Energy Lp 25</t>
  </si>
  <si>
    <t>Nustar Energy Lp 26</t>
  </si>
  <si>
    <t>Nustar Energy Lp 28</t>
  </si>
  <si>
    <t>Nustar Energy Lp 47</t>
  </si>
  <si>
    <t>Nustar Energy Lp 1</t>
  </si>
  <si>
    <t>Nustar Energy Lp 36</t>
  </si>
  <si>
    <t>Nustar Energy Lp 40</t>
  </si>
  <si>
    <t>Nustar Energy Lp 20</t>
  </si>
  <si>
    <t>Nustar Energy Lp 8</t>
  </si>
  <si>
    <t>Nustar Energy Lp 2</t>
  </si>
  <si>
    <t>Nustar Energy Lp 4</t>
  </si>
  <si>
    <t>Nustar Energy Lp 5</t>
  </si>
  <si>
    <t>Nustar Energy Lp 9</t>
  </si>
  <si>
    <t>Nustar Energy Lp 14</t>
  </si>
  <si>
    <t>Nustar Energy Lp 15</t>
  </si>
  <si>
    <t>Nustar Energy Lp 18</t>
  </si>
  <si>
    <t>Nustar Energy Lp 19</t>
  </si>
  <si>
    <t>Nustar Energy Lp 22</t>
  </si>
  <si>
    <t>Nustar Energy Lp 24</t>
  </si>
  <si>
    <t>Nustar Energy Lp 30</t>
  </si>
  <si>
    <t>Nustar Energy Lp 32</t>
  </si>
  <si>
    <t>Nustar Energy Lp 31</t>
  </si>
  <si>
    <t>Nustar Energy Lp 37</t>
  </si>
  <si>
    <t>Nustar Energy Lp 38</t>
  </si>
  <si>
    <t>Nustar Energy Lp 12</t>
  </si>
  <si>
    <t>Nustar Energy Lp 43</t>
  </si>
  <si>
    <t>Nustar Energy Lp 44</t>
  </si>
  <si>
    <t>Nustar Energy Lp 45</t>
  </si>
  <si>
    <t>Nustar Energy Lp 46</t>
  </si>
  <si>
    <t>Nustar Energy Lp 10</t>
  </si>
  <si>
    <t>Nustar Energy Lp 11</t>
  </si>
  <si>
    <t>Omega Partners Iii Llc 3</t>
  </si>
  <si>
    <t>Omega Partners Iii Llc 1</t>
  </si>
  <si>
    <t>Omega Partners Iii Llc 2</t>
  </si>
  <si>
    <t>Oneok Hydrocarbon Lp 4</t>
  </si>
  <si>
    <t>Oneok Hydrocarbon Lp 1</t>
  </si>
  <si>
    <t>Oneok Hydrocarbon Lp 2</t>
  </si>
  <si>
    <t>Oneok Hydrocarbon Lp 3</t>
  </si>
  <si>
    <t>Oneok North System Llc 9</t>
  </si>
  <si>
    <t>Oneok North System Llc 10</t>
  </si>
  <si>
    <t>Oneok North System Llc 6</t>
  </si>
  <si>
    <t>Oneok North System Llc 5</t>
  </si>
  <si>
    <t>Oneok North System Llc 8</t>
  </si>
  <si>
    <t>Oneok North System Llc 12</t>
  </si>
  <si>
    <t>Oneok North System Llc 7</t>
  </si>
  <si>
    <t>Oneok North System Llc 11</t>
  </si>
  <si>
    <t>Oneok North System Llc 13</t>
  </si>
  <si>
    <t>Par Montana Llc 8</t>
  </si>
  <si>
    <t>Par Montana Llc 9</t>
  </si>
  <si>
    <t>Par Montana Llc 10</t>
  </si>
  <si>
    <t>Par Montana Llc 6</t>
  </si>
  <si>
    <t>Par Montana Llc 7</t>
  </si>
  <si>
    <t>Pkm Cochin Llc 1</t>
  </si>
  <si>
    <t>Pkm Cochin Llc 3</t>
  </si>
  <si>
    <t>Pkm Cochin Llc 2</t>
  </si>
  <si>
    <t>Citgo Petro Corp 23</t>
  </si>
  <si>
    <t>Citgo Petro Corp 19</t>
  </si>
  <si>
    <t>Citgo Petro Corp 20</t>
  </si>
  <si>
    <t>Citgo Petro Corp 6</t>
  </si>
  <si>
    <t>Citgo Petro Corp 16</t>
  </si>
  <si>
    <t>Citgo Petro Corp 8</t>
  </si>
  <si>
    <t>Citgo Petro Corp 14</t>
  </si>
  <si>
    <t>Citgo Petro Corp 22</t>
  </si>
  <si>
    <t>Citgo Petro Corp 7</t>
  </si>
  <si>
    <t>Citgo Petro Corp 13</t>
  </si>
  <si>
    <t>Citgo Petro Corp 10</t>
  </si>
  <si>
    <t>Citgo Petro Corp 15</t>
  </si>
  <si>
    <t>Citgo Petro Corp 17</t>
  </si>
  <si>
    <t>Citgo Petro Corp 21</t>
  </si>
  <si>
    <t>Citgo Petro Corp 18</t>
  </si>
  <si>
    <t>Citgo Petroleum Corp 36</t>
  </si>
  <si>
    <t>Citgo Petroleum Corp 37</t>
  </si>
  <si>
    <t>Citgo Petroleum Corp 31</t>
  </si>
  <si>
    <t>Citgo Petroleum Corp 40</t>
  </si>
  <si>
    <t>Citgo Petroleum Corp 38</t>
  </si>
  <si>
    <t>Citgo Petroleum Corp 26</t>
  </si>
  <si>
    <t>Citgo Petroleum Corp 29</t>
  </si>
  <si>
    <t>Citgo Petroleum Corp 41</t>
  </si>
  <si>
    <t>Citgo Petroleum Corp 39</t>
  </si>
  <si>
    <t>Citgo Petroleum Corp 25</t>
  </si>
  <si>
    <t>Citgo Petro Corp 12</t>
  </si>
  <si>
    <t>Citgo Petroleum Corp 33</t>
  </si>
  <si>
    <t>Citgo Petroleum Corp 35</t>
  </si>
  <si>
    <t>Citgo Petroleum Corp 30</t>
  </si>
  <si>
    <t>Citgo Petroleum Corp 27</t>
  </si>
  <si>
    <t>Citgo Petro Corp 24</t>
  </si>
  <si>
    <t>Citgo Petroleum Corp 34</t>
  </si>
  <si>
    <t>Citgo Petro Corp 11</t>
  </si>
  <si>
    <t>Citgo Petroleum Corp 28</t>
  </si>
  <si>
    <t>Citgo Petroleum Corp 32</t>
  </si>
  <si>
    <t>Citgo Petro Corp 9</t>
  </si>
  <si>
    <t>Citgo Holding Terminals Llc 4</t>
  </si>
  <si>
    <t>Citgo Holding Terminals Llc 1</t>
  </si>
  <si>
    <t>Citgo Holding Terminals Llc 5</t>
  </si>
  <si>
    <t>Citgo Holding Terminals Llc 2</t>
  </si>
  <si>
    <t>Citgo Holding Terminals Llc 3</t>
  </si>
  <si>
    <t>Plains Lpg Services 5</t>
  </si>
  <si>
    <t>Plains Lpg Services Lp 7</t>
  </si>
  <si>
    <t>Plains Lpg Services 4</t>
  </si>
  <si>
    <t>Plains Lpg Services Lp 6</t>
  </si>
  <si>
    <t>Plains Lpg Services Lp 8</t>
  </si>
  <si>
    <t>Equilon Enterprises Llc 3</t>
  </si>
  <si>
    <t>Equilon Enterprises Llc 4</t>
  </si>
  <si>
    <t>Equilon Enterprises Llc 6</t>
  </si>
  <si>
    <t>Equilon Enterprises Llc 1</t>
  </si>
  <si>
    <t>Shell Oil Products Us 15</t>
  </si>
  <si>
    <t>Shell Oil Products Us 7</t>
  </si>
  <si>
    <t>Shell Oil Products Us 13</t>
  </si>
  <si>
    <t>Shell Oil Products Us 3</t>
  </si>
  <si>
    <t>Shell Oil Products Us 11</t>
  </si>
  <si>
    <t>Equilon Enterprises Llc 2</t>
  </si>
  <si>
    <t>Equilon Enterprises Llc 5</t>
  </si>
  <si>
    <t>Shell Oil Products Us 6</t>
  </si>
  <si>
    <t>Shell Oil Products Us 9</t>
  </si>
  <si>
    <t>Shell Oil Products Us 5</t>
  </si>
  <si>
    <t>Shell Oil Products Us 14</t>
  </si>
  <si>
    <t>Shell Oil Products Us 8</t>
  </si>
  <si>
    <t>Shell Oil Products Us 10</t>
  </si>
  <si>
    <t>Shell Oil Products Us 12</t>
  </si>
  <si>
    <t>Shell Oil Products Us 4</t>
  </si>
  <si>
    <t>Shell Oil Products Us 1</t>
  </si>
  <si>
    <t>Shell Oil Products Us 2</t>
  </si>
  <si>
    <t>Motiva Enterprises Llc 16</t>
  </si>
  <si>
    <t>Motiva Enterprises Llc 8</t>
  </si>
  <si>
    <t>Motiva Enterprises Llc 7</t>
  </si>
  <si>
    <t>Motiva Enterprises Llc 15</t>
  </si>
  <si>
    <t>Motiva Enterprises Llc 18</t>
  </si>
  <si>
    <t>Motiva Enterprises Llc 3</t>
  </si>
  <si>
    <t>Motiva Enterprises Llc 10</t>
  </si>
  <si>
    <t>Motiva Enterprises Llc 2</t>
  </si>
  <si>
    <t>Motiva Enterprises Llc 1</t>
  </si>
  <si>
    <t>Motiva Enterprises Llc 9</t>
  </si>
  <si>
    <t>Motiva Enterprises Llc 5</t>
  </si>
  <si>
    <t>Motiva Enterprises Llc 22</t>
  </si>
  <si>
    <t>Motiva Enterprises Llc 12</t>
  </si>
  <si>
    <t>Motiva Enterprises Llc 19</t>
  </si>
  <si>
    <t>Motiva Enterprises Llc 21</t>
  </si>
  <si>
    <t>Motiva Enterprises Llc 11</t>
  </si>
  <si>
    <t>Motiva Enterprises Llc 17</t>
  </si>
  <si>
    <t>Motiva Enterprises Llc 20</t>
  </si>
  <si>
    <t>Motiva Enterprises Llc 23</t>
  </si>
  <si>
    <t>Motiva Enterprises Llc 6</t>
  </si>
  <si>
    <t>Motiva Enterprises Llc 13</t>
  </si>
  <si>
    <t>Motiva Enterprises Llc 4</t>
  </si>
  <si>
    <t>Motiva Enterprises Llc 14</t>
  </si>
  <si>
    <t>South Florida Materials Corp 10</t>
  </si>
  <si>
    <t>South Florida Materials Corp 14</t>
  </si>
  <si>
    <t>South Florida Materials Corp 12</t>
  </si>
  <si>
    <t>South Florida Materials Corp 13</t>
  </si>
  <si>
    <t>South Florida Materials Corp 11</t>
  </si>
  <si>
    <t>Springfield Terminal Inc 18</t>
  </si>
  <si>
    <t>Springfield Terminal Inc 19</t>
  </si>
  <si>
    <t>Meenan Oil Lp 1</t>
  </si>
  <si>
    <t>Meenan Oil Lp 2</t>
  </si>
  <si>
    <t>Targa Midstream Services Llc 2</t>
  </si>
  <si>
    <t>Targa Midstream Services Llc 6</t>
  </si>
  <si>
    <t>Targa Midstream Services Llc 4</t>
  </si>
  <si>
    <t>Targa Midstream Services Llc 5</t>
  </si>
  <si>
    <t>Targa Midstream Services Llc 3</t>
  </si>
  <si>
    <t>Targa Midstream Services Llc 1</t>
  </si>
  <si>
    <t>Southeast Emulsions Inc 2</t>
  </si>
  <si>
    <t>Southeast Emulsions Inc 1</t>
  </si>
  <si>
    <t>Valero Marketing &amp; Supply Co 30</t>
  </si>
  <si>
    <t>Valero Marketing &amp; Supply Co 31</t>
  </si>
  <si>
    <t>Valero Marketing &amp; Supply Co 32</t>
  </si>
  <si>
    <t>Tidewater Terminal Co 1</t>
  </si>
  <si>
    <t>Tidewater Terminal Co 2</t>
  </si>
  <si>
    <t>Tidewater Terminal Co 3</t>
  </si>
  <si>
    <t>Titan Marine Fuel Llc 1</t>
  </si>
  <si>
    <t>Titan Marine Fuel Llc 2</t>
  </si>
  <si>
    <t>Transmontaigne Operating Company 32</t>
  </si>
  <si>
    <t>Transmontaigne Operating Company 5</t>
  </si>
  <si>
    <t>Transmontaigne Operating Company 27</t>
  </si>
  <si>
    <t>Transmontaigne Operating Company 39</t>
  </si>
  <si>
    <t>Transmontaigne Operating Company 40</t>
  </si>
  <si>
    <t>Transmontaigne Operating Company 3</t>
  </si>
  <si>
    <t>Transmontaigne Operating Company 4</t>
  </si>
  <si>
    <t>Transmontaigne Operating Company 6</t>
  </si>
  <si>
    <t>Transmontaigne Operating Company 7</t>
  </si>
  <si>
    <t>Transmontaigne Operating Company 17</t>
  </si>
  <si>
    <t>Transmontaigne Operating Company 25</t>
  </si>
  <si>
    <t>Transmontaigne Operating Company 29</t>
  </si>
  <si>
    <t>Transmontaigne Operating Company 44</t>
  </si>
  <si>
    <t>Transmontaigne Operating Company 35</t>
  </si>
  <si>
    <t>Transmontaigne Operating Company 26</t>
  </si>
  <si>
    <t>Transmontaigne Operating Company 28</t>
  </si>
  <si>
    <t>Transmontaigne Operating Company 38</t>
  </si>
  <si>
    <t>Transmontaigne Operating Company 24</t>
  </si>
  <si>
    <t>Transmontaigne Operating Company 31</t>
  </si>
  <si>
    <t>Transmontaigne Operating Company 15</t>
  </si>
  <si>
    <t>Transmontaigne Operating Company 23</t>
  </si>
  <si>
    <t>Transmontaigne Operating Company 46</t>
  </si>
  <si>
    <t>Transmontaigne Operating Company 18</t>
  </si>
  <si>
    <t>Transmontaigne Operating Company 37</t>
  </si>
  <si>
    <t>Transmontaigne Operating Company 47</t>
  </si>
  <si>
    <t>Transmontaigne Operating Company 45</t>
  </si>
  <si>
    <t>Transmontaigne Operating Company 9</t>
  </si>
  <si>
    <t>Transmontaigne Operating Company 10</t>
  </si>
  <si>
    <t>Transmontaigne Operating Company 11</t>
  </si>
  <si>
    <t>Transmontaigne Operating Company 12</t>
  </si>
  <si>
    <t>Transmontaigne Operating Company 36</t>
  </si>
  <si>
    <t>Transmontaigne Operating Company 33</t>
  </si>
  <si>
    <t>Transmontaigne Operating Company 34</t>
  </si>
  <si>
    <t>Transmontaigne Operating Company 42</t>
  </si>
  <si>
    <t>Transmontaigne Operating Company 8</t>
  </si>
  <si>
    <t>Transmontaigne Operating Company 19</t>
  </si>
  <si>
    <t>Transmontaigne Operating Company 14</t>
  </si>
  <si>
    <t>Transmontaigne Operating Company 20</t>
  </si>
  <si>
    <t>Transmontaigne Operating Company 43</t>
  </si>
  <si>
    <t>Transmontaigne Operating Company 16</t>
  </si>
  <si>
    <t>Transmontaigne Operating Company 21</t>
  </si>
  <si>
    <t>Transmontaigne Operating Company 22</t>
  </si>
  <si>
    <t>Transmontaigne Operating Company 48</t>
  </si>
  <si>
    <t>Transmontaigne Operating Company 13</t>
  </si>
  <si>
    <t>Transmontaigne Operating Company 41</t>
  </si>
  <si>
    <t>Transmontaigne Operating Co 1</t>
  </si>
  <si>
    <t>Transmontaigne Operating Company 30</t>
  </si>
  <si>
    <t>Transmontaigne Operating Co 2</t>
  </si>
  <si>
    <t>Owens Corning 1</t>
  </si>
  <si>
    <t>Owens Corning 2</t>
  </si>
  <si>
    <t>Owens Corning 3</t>
  </si>
  <si>
    <t>Owens Corning 4</t>
  </si>
  <si>
    <t>Owens Corning 5</t>
  </si>
  <si>
    <t>Owens Corning 6</t>
  </si>
  <si>
    <t>Owens Corning 11</t>
  </si>
  <si>
    <t>Owens Corning 7</t>
  </si>
  <si>
    <t>Owens Corning 8</t>
  </si>
  <si>
    <t>Owens Corning 9</t>
  </si>
  <si>
    <t>Owens Corning 10</t>
  </si>
  <si>
    <t>Owens Corning 12</t>
  </si>
  <si>
    <t>United Refining Co 1</t>
  </si>
  <si>
    <t>United Refining Co 4</t>
  </si>
  <si>
    <t>United Refining Co 5</t>
  </si>
  <si>
    <t>United Refining Co 3</t>
  </si>
  <si>
    <t>United Refining Co 2</t>
  </si>
  <si>
    <t>Vopak Terminals North Amer Inc 1</t>
  </si>
  <si>
    <t>Vopak Terminals North Amer Inc 2</t>
  </si>
  <si>
    <t>Bwc Terminals Llc 7</t>
  </si>
  <si>
    <t>Bwc Terminals Llc 4</t>
  </si>
  <si>
    <t>Bwc Terminals Llc 5</t>
  </si>
  <si>
    <t>Bwc Terminals Llc 8</t>
  </si>
  <si>
    <t>Bwc Terminals Llc 9</t>
  </si>
  <si>
    <t>Bwc Terminals Llc 3</t>
  </si>
  <si>
    <t>Bwc Terminals Llc 1</t>
  </si>
  <si>
    <t>Bwc Terminals Llc 2</t>
  </si>
  <si>
    <t>Bwc Terminals Llc 6</t>
  </si>
  <si>
    <t>cand_FT_EnergyHerb</t>
  </si>
  <si>
    <t>cand_FT_EnergyWoody</t>
  </si>
  <si>
    <t>cand_Py_EnergyHerb</t>
  </si>
  <si>
    <t>cand_Py_EnergyWoody</t>
  </si>
  <si>
    <t>Biomass sorghum</t>
  </si>
  <si>
    <t>Energy cane</t>
  </si>
  <si>
    <t>Switchgrass</t>
  </si>
  <si>
    <t>Miscanthus</t>
  </si>
  <si>
    <t>Eucalyptus</t>
  </si>
  <si>
    <t>Pine</t>
  </si>
  <si>
    <t>Poplar</t>
  </si>
  <si>
    <t>Willow</t>
  </si>
  <si>
    <t>Woody energy crops</t>
  </si>
  <si>
    <t>Herbaceous energy crops</t>
  </si>
  <si>
    <r>
      <rPr>
        <b/>
        <sz val="11"/>
        <color theme="4"/>
        <rFont val="Calibri"/>
        <family val="2"/>
        <scheme val="minor"/>
      </rPr>
      <t xml:space="preserve">DO NOT EDIT THESE TABS. </t>
    </r>
    <r>
      <rPr>
        <sz val="11"/>
        <rFont val="Calibri"/>
        <family val="2"/>
        <scheme val="minor"/>
      </rPr>
      <t>The commodities, processes, and facilities on these tab will autopopulate based on your selections in the SAF Filters tab, and are presented for your awareness. If needed, you can customize this information in the CSV files created after running the Scenario Setup Tool (see next step).</t>
    </r>
  </si>
  <si>
    <t>3. Move to the "Configuration" tab. This tab will be used to create the scenario XML file.</t>
  </si>
  <si>
    <t>4. Review the "Commodities and Processes" and "Facilities and Amounts" tab.</t>
  </si>
  <si>
    <t>5. Save the template file. Run the "Scenario Setup Conversion" tool in FTOT Tools.</t>
  </si>
  <si>
    <t>6. Run the FTOT scenario using the batch file created.</t>
  </si>
  <si>
    <r>
      <t>a) Use the filters and textboxes to provide</t>
    </r>
    <r>
      <rPr>
        <b/>
        <sz val="11"/>
        <color theme="4"/>
        <rFont val="Calibri"/>
        <family val="2"/>
        <scheme val="minor"/>
      </rPr>
      <t xml:space="preserve"> feedstock </t>
    </r>
    <r>
      <rPr>
        <sz val="11"/>
        <color theme="1"/>
        <rFont val="Calibri"/>
        <family val="2"/>
        <scheme val="minor"/>
      </rPr>
      <t>information. Select a feedstock market scenario (single select), the feedstock-producing states in your scenario (multiselect), a commodity type (single select), and specific resources within that commodity type to include (multiselect). In addition, enter a decimal value (0 to 1) for the share of available feedstock that is available for use in the SAF supply chain, and enter a maximum transport distance for the feedstock.</t>
    </r>
  </si>
  <si>
    <t>usd/ton/mi</t>
  </si>
  <si>
    <t>Should be the location of the downloaded FTOT common_data folder.</t>
  </si>
  <si>
    <t>Should be in default currency units per unit of commodity mass and distance (e.g., usd/ton/mi).</t>
  </si>
  <si>
    <t>Should be in default currency units per unit of mass and distance (e.g., usd/ton/mi).</t>
  </si>
  <si>
    <t>Should be in default currency units per unit of mass (e.g., usd/ton).</t>
  </si>
  <si>
    <t>Commodities CSV</t>
  </si>
  <si>
    <t>C:\FTOT\scenarios\common_data\networks\FTOT_Public_US_Contiguous_Network_v2026.gdb</t>
  </si>
  <si>
    <t>BOI</t>
  </si>
  <si>
    <t>JAC</t>
  </si>
  <si>
    <t>JAN</t>
  </si>
  <si>
    <t>LIT</t>
  </si>
  <si>
    <t>Manchester</t>
  </si>
  <si>
    <t>MHT</t>
  </si>
  <si>
    <t>Chicago/Rockford</t>
  </si>
  <si>
    <t>RFD</t>
  </si>
  <si>
    <t>RIC</t>
  </si>
  <si>
    <t>Note: Fuel demands are rounded annual values for 2025. Fuel demands for two airports (JNU and MDT) are based on 2024 values due to unavailability of updated data for 2025.</t>
  </si>
  <si>
    <t>HEFA scenario from FOG in PNW</t>
  </si>
  <si>
    <t>HEFA supply chain in Pacific Northwest with existing refineries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</si>
</sst>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52" x14ac:knownFonts="1">
    <font>
      <sz val="11"/>
      <color theme="1"/>
      <name val="Calibri"/>
      <family val="2"/>
      <scheme val="minor"/>
    </font>
    <font>
      <b/>
      <sz val="11"/>
      <color theme="1"/>
      <name val="Calibri"/>
      <family val="2"/>
      <scheme val="minor"/>
    </font>
    <font>
      <b/>
      <sz val="16"/>
      <color theme="4"/>
      <name val="Calibri"/>
      <family val="2"/>
      <scheme val="minor"/>
    </font>
    <font>
      <i/>
      <u/>
      <sz val="11"/>
      <color theme="1"/>
      <name val="Calibri"/>
      <family val="2"/>
      <scheme val="minor"/>
    </font>
    <font>
      <sz val="8"/>
      <name val="Calibri"/>
      <family val="2"/>
      <scheme val="minor"/>
    </font>
    <font>
      <sz val="11"/>
      <color rgb="FFFF0000"/>
      <name val="Calibri"/>
      <family val="2"/>
      <scheme val="minor"/>
    </font>
    <font>
      <i/>
      <sz val="11"/>
      <color theme="1"/>
      <name val="Calibri"/>
      <family val="2"/>
      <scheme val="minor"/>
    </font>
    <font>
      <b/>
      <u/>
      <sz val="12"/>
      <color theme="1"/>
      <name val="Calibri"/>
      <family val="2"/>
      <scheme val="minor"/>
    </font>
    <font>
      <b/>
      <u/>
      <sz val="11"/>
      <color theme="1"/>
      <name val="Calibri"/>
      <family val="2"/>
      <scheme val="minor"/>
    </font>
    <font>
      <i/>
      <sz val="10"/>
      <color theme="1"/>
      <name val="Calibri"/>
      <family val="2"/>
      <scheme val="minor"/>
    </font>
    <font>
      <sz val="11"/>
      <name val="Calibri"/>
      <family val="2"/>
      <scheme val="minor"/>
    </font>
    <font>
      <b/>
      <sz val="12"/>
      <name val="Calibri"/>
      <family val="2"/>
      <scheme val="minor"/>
    </font>
    <font>
      <sz val="10"/>
      <name val="Calibri"/>
      <family val="2"/>
      <scheme val="minor"/>
    </font>
    <font>
      <b/>
      <sz val="11"/>
      <color theme="4"/>
      <name val="Calibri"/>
      <family val="2"/>
      <scheme val="minor"/>
    </font>
    <font>
      <sz val="11"/>
      <color theme="4"/>
      <name val="Calibri"/>
      <family val="2"/>
      <scheme val="minor"/>
    </font>
    <font>
      <sz val="11"/>
      <color theme="2" tint="-0.499984740745262"/>
      <name val="Calibri"/>
      <family val="2"/>
      <scheme val="minor"/>
    </font>
    <font>
      <b/>
      <sz val="11"/>
      <color theme="2" tint="-0.499984740745262"/>
      <name val="Calibri"/>
      <family val="2"/>
      <scheme val="minor"/>
    </font>
    <font>
      <b/>
      <sz val="12"/>
      <color theme="1"/>
      <name val="Calibri"/>
      <family val="2"/>
      <scheme val="minor"/>
    </font>
    <font>
      <b/>
      <sz val="24"/>
      <color theme="1"/>
      <name val="Calibri"/>
      <family val="2"/>
      <scheme val="minor"/>
    </font>
    <font>
      <u/>
      <sz val="11"/>
      <color theme="10"/>
      <name val="Calibri"/>
      <family val="2"/>
      <scheme val="minor"/>
    </font>
    <font>
      <i/>
      <u/>
      <sz val="11"/>
      <color theme="10"/>
      <name val="Calibri"/>
      <family val="2"/>
      <scheme val="minor"/>
    </font>
    <font>
      <b/>
      <u/>
      <sz val="20"/>
      <name val="Calibri"/>
      <family val="2"/>
      <scheme val="minor"/>
    </font>
    <font>
      <b/>
      <i/>
      <sz val="11"/>
      <color theme="1"/>
      <name val="Calibri"/>
      <family val="2"/>
      <scheme val="minor"/>
    </font>
    <font>
      <i/>
      <u/>
      <sz val="10"/>
      <color theme="1"/>
      <name val="Calibri"/>
      <family val="2"/>
      <scheme val="minor"/>
    </font>
    <font>
      <sz val="10"/>
      <color theme="1"/>
      <name val="Calibri"/>
      <family val="2"/>
      <scheme val="minor"/>
    </font>
    <font>
      <i/>
      <sz val="9"/>
      <color theme="1"/>
      <name val="Calibri"/>
      <family val="2"/>
      <scheme val="minor"/>
    </font>
    <font>
      <sz val="8"/>
      <color rgb="FFFF0000"/>
      <name val="Calibri"/>
      <family val="2"/>
      <scheme val="minor"/>
    </font>
    <font>
      <b/>
      <sz val="16"/>
      <name val="Calibri"/>
      <family val="2"/>
      <scheme val="minor"/>
    </font>
    <font>
      <b/>
      <sz val="10"/>
      <name val="Calibri"/>
      <family val="2"/>
      <scheme val="minor"/>
    </font>
    <font>
      <b/>
      <sz val="10"/>
      <color theme="1" tint="0.499984740745262"/>
      <name val="Calibri"/>
      <family val="2"/>
      <scheme val="minor"/>
    </font>
    <font>
      <b/>
      <i/>
      <sz val="10"/>
      <color rgb="FF7030A0"/>
      <name val="Calibri"/>
      <family val="2"/>
      <scheme val="minor"/>
    </font>
    <font>
      <b/>
      <sz val="9"/>
      <name val="Calibri"/>
      <family val="2"/>
      <scheme val="minor"/>
    </font>
    <font>
      <i/>
      <sz val="9"/>
      <color theme="0" tint="-0.499984740745262"/>
      <name val="Calibri"/>
      <family val="2"/>
      <scheme val="minor"/>
    </font>
    <font>
      <b/>
      <sz val="10"/>
      <color rgb="FFC00000"/>
      <name val="Calibri"/>
      <family val="2"/>
      <scheme val="minor"/>
    </font>
    <font>
      <b/>
      <sz val="12"/>
      <color theme="4"/>
      <name val="Calibri"/>
      <family val="2"/>
      <scheme val="minor"/>
    </font>
    <font>
      <b/>
      <sz val="11"/>
      <color rgb="FFFF0000"/>
      <name val="Calibri"/>
      <family val="2"/>
      <scheme val="minor"/>
    </font>
    <font>
      <sz val="9"/>
      <color indexed="81"/>
      <name val="Tahoma"/>
      <family val="2"/>
    </font>
    <font>
      <b/>
      <sz val="9"/>
      <color indexed="81"/>
      <name val="Tahoma"/>
      <family val="2"/>
    </font>
    <font>
      <b/>
      <sz val="11"/>
      <color theme="0"/>
      <name val="Calibri"/>
      <family val="2"/>
      <scheme val="minor"/>
    </font>
    <font>
      <b/>
      <u/>
      <sz val="24"/>
      <color theme="1"/>
      <name val="Calibri"/>
      <family val="2"/>
      <scheme val="minor"/>
    </font>
    <font>
      <b/>
      <i/>
      <sz val="10"/>
      <color theme="1"/>
      <name val="Calibri"/>
      <family val="2"/>
      <scheme val="minor"/>
    </font>
    <font>
      <sz val="11"/>
      <color theme="1"/>
      <name val="Calibri"/>
      <family val="2"/>
      <scheme val="minor"/>
    </font>
    <font>
      <sz val="11"/>
      <color theme="0"/>
      <name val="Calibri"/>
      <family val="2"/>
      <scheme val="minor"/>
    </font>
    <font>
      <b/>
      <sz val="16"/>
      <color theme="1"/>
      <name val="Calibri"/>
      <family val="2"/>
      <scheme val="minor"/>
    </font>
    <font>
      <b/>
      <sz val="14"/>
      <name val="Calibri"/>
      <family val="2"/>
      <scheme val="minor"/>
    </font>
    <font>
      <b/>
      <sz val="11"/>
      <name val="Calibri"/>
      <family val="2"/>
      <scheme val="minor"/>
    </font>
    <font>
      <b/>
      <sz val="18"/>
      <color theme="0"/>
      <name val="Calibri"/>
      <family val="2"/>
      <scheme val="minor"/>
    </font>
    <font>
      <i/>
      <sz val="11"/>
      <color rgb="FF7030A0"/>
      <name val="Calibri"/>
      <family val="2"/>
      <scheme val="minor"/>
    </font>
    <font>
      <b/>
      <sz val="12"/>
      <color rgb="FF0070C0"/>
      <name val="Calibri"/>
      <family val="2"/>
      <scheme val="minor"/>
    </font>
    <font>
      <b/>
      <sz val="11"/>
      <color rgb="FFC00000"/>
      <name val="Calibri"/>
      <family val="2"/>
      <scheme val="minor"/>
    </font>
    <font>
      <sz val="11"/>
      <color rgb="FF000000"/>
      <name val="Segoe UI"/>
      <family val="2"/>
    </font>
    <font>
      <i/>
      <u/>
      <sz val="10"/>
      <color theme="10"/>
      <name val="Calibri"/>
      <family val="2"/>
      <scheme val="minor"/>
    </font>
  </fonts>
  <fills count="1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rgb="FF7030A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4"/>
        <bgColor indexed="64"/>
      </patternFill>
    </fill>
    <fill>
      <patternFill patternType="solid">
        <fgColor theme="8" tint="0.59999389629810485"/>
        <bgColor indexed="64"/>
      </patternFill>
    </fill>
    <fill>
      <patternFill patternType="solid">
        <fgColor theme="7"/>
        <bgColor indexed="64"/>
      </patternFill>
    </fill>
    <fill>
      <patternFill patternType="solid">
        <fgColor theme="9" tint="0.59999389629810485"/>
        <bgColor indexed="64"/>
      </patternFill>
    </fill>
    <fill>
      <patternFill patternType="solid">
        <fgColor theme="9"/>
        <bgColor indexed="64"/>
      </patternFill>
    </fill>
    <fill>
      <patternFill patternType="solid">
        <fgColor theme="0" tint="-4.9989318521683403E-2"/>
        <bgColor indexed="64"/>
      </patternFill>
    </fill>
    <fill>
      <patternFill patternType="lightDown">
        <fgColor theme="2"/>
        <bgColor auto="1"/>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9" fillId="0" borderId="0" applyNumberFormat="0" applyFill="0" applyBorder="0" applyAlignment="0" applyProtection="0"/>
    <xf numFmtId="43" fontId="41" fillId="0" borderId="0" applyFont="0" applyFill="0" applyBorder="0" applyAlignment="0" applyProtection="0"/>
  </cellStyleXfs>
  <cellXfs count="160">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wrapText="1"/>
    </xf>
    <xf numFmtId="0" fontId="2" fillId="3" borderId="0" xfId="0" applyFont="1" applyFill="1"/>
    <xf numFmtId="0" fontId="1" fillId="3" borderId="0" xfId="0" applyFont="1" applyFill="1"/>
    <xf numFmtId="0" fontId="0" fillId="3" borderId="0" xfId="0" applyFill="1"/>
    <xf numFmtId="0" fontId="2" fillId="3" borderId="0" xfId="0" applyFont="1" applyFill="1" applyAlignment="1">
      <alignment wrapText="1"/>
    </xf>
    <xf numFmtId="0" fontId="1" fillId="3" borderId="0" xfId="0" applyFont="1" applyFill="1" applyAlignment="1">
      <alignment wrapText="1"/>
    </xf>
    <xf numFmtId="0" fontId="0" fillId="3" borderId="0" xfId="0" applyFill="1" applyAlignment="1">
      <alignment wrapText="1"/>
    </xf>
    <xf numFmtId="0" fontId="17" fillId="3" borderId="0" xfId="0" applyFont="1" applyFill="1" applyAlignment="1">
      <alignment wrapText="1"/>
    </xf>
    <xf numFmtId="0" fontId="6" fillId="3" borderId="0" xfId="0" applyFont="1" applyFill="1" applyAlignment="1">
      <alignment wrapText="1"/>
    </xf>
    <xf numFmtId="0" fontId="0" fillId="3" borderId="0" xfId="0" applyFill="1" applyAlignment="1">
      <alignment horizontal="left" vertical="center" wrapText="1"/>
    </xf>
    <xf numFmtId="0" fontId="6" fillId="3" borderId="0" xfId="0" applyFont="1" applyFill="1" applyAlignment="1">
      <alignment horizontal="left" vertical="center" wrapText="1"/>
    </xf>
    <xf numFmtId="0" fontId="20" fillId="3" borderId="0" xfId="1" applyFont="1" applyFill="1" applyAlignment="1">
      <alignment wrapText="1"/>
    </xf>
    <xf numFmtId="0" fontId="18" fillId="3" borderId="0" xfId="0" applyFont="1"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21" fillId="3" borderId="0" xfId="0" applyFont="1" applyFill="1" applyAlignment="1">
      <alignment wrapText="1"/>
    </xf>
    <xf numFmtId="0" fontId="7" fillId="3" borderId="0" xfId="0" applyFont="1" applyFill="1" applyAlignment="1">
      <alignment horizontal="left" vertical="center"/>
    </xf>
    <xf numFmtId="0" fontId="0" fillId="3" borderId="0" xfId="0" applyFill="1" applyAlignment="1">
      <alignment vertical="center"/>
    </xf>
    <xf numFmtId="0" fontId="0" fillId="3" borderId="0" xfId="0" applyFill="1" applyAlignment="1">
      <alignment horizontal="right" vertical="center"/>
    </xf>
    <xf numFmtId="0" fontId="7" fillId="3"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3" fillId="3" borderId="0" xfId="0" applyFont="1" applyFill="1" applyAlignment="1">
      <alignment vertical="center"/>
    </xf>
    <xf numFmtId="0" fontId="22" fillId="3" borderId="0" xfId="0" applyFont="1" applyFill="1" applyAlignment="1">
      <alignment horizontal="left" vertical="center"/>
    </xf>
    <xf numFmtId="0" fontId="23" fillId="3" borderId="0" xfId="0" applyFont="1" applyFill="1" applyAlignment="1">
      <alignment vertical="center"/>
    </xf>
    <xf numFmtId="0" fontId="9" fillId="3" borderId="0" xfId="0" applyFont="1" applyFill="1" applyAlignment="1">
      <alignment vertical="center"/>
    </xf>
    <xf numFmtId="0" fontId="0" fillId="0" borderId="0" xfId="0" applyAlignment="1">
      <alignment vertical="center"/>
    </xf>
    <xf numFmtId="0" fontId="0" fillId="3" borderId="0" xfId="0" applyFill="1" applyAlignment="1">
      <alignment horizontal="right" vertical="center" wrapText="1"/>
    </xf>
    <xf numFmtId="0" fontId="0" fillId="3" borderId="0" xfId="0" applyFill="1" applyAlignment="1">
      <alignment vertical="center" wrapText="1"/>
    </xf>
    <xf numFmtId="0" fontId="17" fillId="3" borderId="0" xfId="0" applyFont="1" applyFill="1" applyAlignment="1">
      <alignment horizontal="left" wrapText="1"/>
    </xf>
    <xf numFmtId="0" fontId="22" fillId="3" borderId="0" xfId="0" applyFont="1" applyFill="1" applyAlignment="1">
      <alignment vertical="center" wrapText="1"/>
    </xf>
    <xf numFmtId="0" fontId="1" fillId="3" borderId="0" xfId="0" applyFont="1" applyFill="1" applyAlignment="1">
      <alignment vertical="center" wrapText="1"/>
    </xf>
    <xf numFmtId="0" fontId="24" fillId="3" borderId="0" xfId="0" applyFont="1" applyFill="1"/>
    <xf numFmtId="0" fontId="24" fillId="3" borderId="0" xfId="0" applyFont="1" applyFill="1" applyAlignment="1">
      <alignment vertical="center"/>
    </xf>
    <xf numFmtId="0" fontId="24" fillId="0" borderId="0" xfId="0" applyFont="1"/>
    <xf numFmtId="0" fontId="9" fillId="3" borderId="0" xfId="0" quotePrefix="1" applyFont="1" applyFill="1" applyAlignment="1">
      <alignment vertical="center"/>
    </xf>
    <xf numFmtId="0" fontId="5" fillId="3" borderId="0" xfId="0" applyFont="1" applyFill="1"/>
    <xf numFmtId="0" fontId="25" fillId="3" borderId="0" xfId="0" applyFont="1" applyFill="1" applyAlignment="1">
      <alignment vertical="center"/>
    </xf>
    <xf numFmtId="0" fontId="22" fillId="3" borderId="0" xfId="0" applyFont="1" applyFill="1" applyAlignment="1">
      <alignment horizontal="left" vertical="center" wrapText="1"/>
    </xf>
    <xf numFmtId="0" fontId="26" fillId="0" borderId="0" xfId="0" applyFont="1"/>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xf>
    <xf numFmtId="0" fontId="12" fillId="3" borderId="0" xfId="0" applyFont="1" applyFill="1"/>
    <xf numFmtId="0" fontId="1" fillId="4" borderId="0" xfId="0" applyFont="1" applyFill="1"/>
    <xf numFmtId="0" fontId="27" fillId="3" borderId="0" xfId="0" applyFont="1" applyFill="1"/>
    <xf numFmtId="0" fontId="1" fillId="5" borderId="0" xfId="0" applyFont="1" applyFill="1"/>
    <xf numFmtId="0" fontId="28" fillId="3" borderId="0" xfId="0" applyFont="1" applyFill="1"/>
    <xf numFmtId="0" fontId="4" fillId="3" borderId="0" xfId="0" applyFont="1" applyFill="1" applyAlignment="1">
      <alignment wrapText="1"/>
    </xf>
    <xf numFmtId="0" fontId="1" fillId="6" borderId="0" xfId="0" applyFont="1" applyFill="1"/>
    <xf numFmtId="0" fontId="29" fillId="3" borderId="0" xfId="0" applyFont="1" applyFill="1"/>
    <xf numFmtId="0" fontId="30" fillId="3" borderId="0" xfId="0" applyFont="1" applyFill="1"/>
    <xf numFmtId="0" fontId="17" fillId="3" borderId="0" xfId="0" applyFont="1" applyFill="1" applyAlignment="1">
      <alignment vertical="center" wrapText="1"/>
    </xf>
    <xf numFmtId="0" fontId="11" fillId="3" borderId="0" xfId="0" applyFont="1" applyFill="1" applyAlignment="1">
      <alignment vertical="center" wrapText="1"/>
    </xf>
    <xf numFmtId="0" fontId="34" fillId="3" borderId="0" xfId="0" applyFont="1" applyFill="1"/>
    <xf numFmtId="0" fontId="13" fillId="3" borderId="0" xfId="0" applyFont="1" applyFill="1"/>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2" fillId="3" borderId="0" xfId="0" applyFont="1" applyFill="1" applyAlignment="1" applyProtection="1">
      <alignment vertical="center"/>
      <protection locked="0"/>
    </xf>
    <xf numFmtId="0" fontId="2" fillId="3" borderId="0" xfId="0" applyFont="1" applyFill="1" applyProtection="1">
      <protection locked="0"/>
    </xf>
    <xf numFmtId="0" fontId="0" fillId="3" borderId="0" xfId="0" applyFill="1" applyProtection="1">
      <protection locked="0"/>
    </xf>
    <xf numFmtId="0" fontId="0" fillId="0" borderId="0" xfId="0" applyProtection="1">
      <protection locked="0"/>
    </xf>
    <xf numFmtId="0" fontId="35" fillId="3" borderId="0" xfId="0" applyFont="1" applyFill="1" applyProtection="1">
      <protection locked="0"/>
    </xf>
    <xf numFmtId="0" fontId="33" fillId="3" borderId="0" xfId="0" applyFont="1" applyFill="1" applyAlignment="1" applyProtection="1">
      <alignment horizontal="left" wrapText="1"/>
      <protection locked="0"/>
    </xf>
    <xf numFmtId="0" fontId="2" fillId="3" borderId="0" xfId="0" applyFont="1" applyFill="1" applyAlignment="1" applyProtection="1">
      <alignment horizontal="left"/>
      <protection locked="0"/>
    </xf>
    <xf numFmtId="0" fontId="31" fillId="3" borderId="0" xfId="0" applyFont="1" applyFill="1" applyAlignment="1" applyProtection="1">
      <alignment horizontal="left"/>
      <protection locked="0"/>
    </xf>
    <xf numFmtId="0" fontId="1" fillId="3" borderId="0" xfId="0" applyFont="1" applyFill="1" applyProtection="1">
      <protection locked="0"/>
    </xf>
    <xf numFmtId="0" fontId="0" fillId="2" borderId="1" xfId="0" applyFill="1" applyBorder="1" applyProtection="1">
      <protection locked="0"/>
    </xf>
    <xf numFmtId="0" fontId="1" fillId="0" borderId="0" xfId="0" applyFont="1" applyProtection="1">
      <protection locked="0"/>
    </xf>
    <xf numFmtId="0" fontId="32" fillId="3" borderId="0" xfId="0" applyFont="1" applyFill="1" applyProtection="1">
      <protection locked="0"/>
    </xf>
    <xf numFmtId="0" fontId="26" fillId="3" borderId="0" xfId="0" applyFont="1" applyFill="1" applyProtection="1">
      <protection locked="0"/>
    </xf>
    <xf numFmtId="0" fontId="0" fillId="2" borderId="0" xfId="0" applyFill="1" applyProtection="1">
      <protection locked="0"/>
    </xf>
    <xf numFmtId="0" fontId="38" fillId="4" borderId="0" xfId="0" applyFont="1" applyFill="1"/>
    <xf numFmtId="0" fontId="40" fillId="3" borderId="0" xfId="0" applyFont="1" applyFill="1" applyAlignment="1">
      <alignment vertical="center"/>
    </xf>
    <xf numFmtId="0" fontId="0" fillId="0" borderId="0" xfId="0" applyAlignment="1">
      <alignment horizontal="centerContinuous" wrapText="1"/>
    </xf>
    <xf numFmtId="0" fontId="0" fillId="0" borderId="0" xfId="0" applyAlignment="1">
      <alignment horizontal="left"/>
    </xf>
    <xf numFmtId="43" fontId="0" fillId="0" borderId="0" xfId="2" applyFont="1" applyBorder="1"/>
    <xf numFmtId="0" fontId="0" fillId="0" borderId="0" xfId="0" applyAlignment="1">
      <alignment horizontal="center"/>
    </xf>
    <xf numFmtId="9" fontId="0" fillId="9" borderId="5" xfId="0" applyNumberFormat="1" applyFill="1" applyBorder="1" applyAlignment="1">
      <alignment horizontal="center"/>
    </xf>
    <xf numFmtId="0" fontId="44" fillId="11" borderId="6" xfId="0" applyFont="1" applyFill="1" applyBorder="1" applyAlignment="1">
      <alignment vertical="center"/>
    </xf>
    <xf numFmtId="0" fontId="44" fillId="11" borderId="7" xfId="0" applyFont="1" applyFill="1" applyBorder="1" applyAlignment="1">
      <alignment vertical="center"/>
    </xf>
    <xf numFmtId="0" fontId="44" fillId="11" borderId="8" xfId="0" applyFont="1" applyFill="1" applyBorder="1" applyAlignment="1">
      <alignment vertical="center"/>
    </xf>
    <xf numFmtId="0" fontId="10" fillId="11" borderId="7" xfId="0" applyFont="1" applyFill="1" applyBorder="1" applyAlignment="1">
      <alignment vertical="center"/>
    </xf>
    <xf numFmtId="0" fontId="10" fillId="11" borderId="8" xfId="0" applyFont="1" applyFill="1" applyBorder="1" applyAlignment="1">
      <alignment vertical="center"/>
    </xf>
    <xf numFmtId="0" fontId="0" fillId="11" borderId="7" xfId="0" applyFill="1" applyBorder="1" applyAlignment="1">
      <alignment vertical="center"/>
    </xf>
    <xf numFmtId="0" fontId="0" fillId="11" borderId="8" xfId="0" applyFill="1" applyBorder="1" applyAlignment="1">
      <alignment vertical="center"/>
    </xf>
    <xf numFmtId="0" fontId="42" fillId="4" borderId="0" xfId="0" applyFont="1" applyFill="1" applyAlignment="1">
      <alignment vertical="center"/>
    </xf>
    <xf numFmtId="0" fontId="46" fillId="4" borderId="0" xfId="0" applyFont="1" applyFill="1" applyAlignment="1">
      <alignment vertical="center"/>
    </xf>
    <xf numFmtId="0" fontId="6" fillId="3" borderId="0" xfId="0" applyFont="1" applyFill="1"/>
    <xf numFmtId="0" fontId="8" fillId="3" borderId="0" xfId="0" applyFont="1" applyFill="1"/>
    <xf numFmtId="0" fontId="43" fillId="3" borderId="0" xfId="0" applyFont="1" applyFill="1"/>
    <xf numFmtId="0" fontId="38" fillId="12" borderId="0" xfId="0" applyFont="1" applyFill="1"/>
    <xf numFmtId="0" fontId="38" fillId="4" borderId="0" xfId="0" applyFont="1" applyFill="1" applyAlignment="1">
      <alignment horizontal="center" vertical="center" wrapText="1"/>
    </xf>
    <xf numFmtId="0" fontId="38" fillId="10" borderId="0" xfId="0" applyFont="1" applyFill="1" applyAlignment="1">
      <alignment horizontal="center" vertical="center" wrapText="1"/>
    </xf>
    <xf numFmtId="0" fontId="38" fillId="8" borderId="0" xfId="0" applyFont="1" applyFill="1" applyAlignment="1">
      <alignment horizontal="center" vertical="center" wrapText="1"/>
    </xf>
    <xf numFmtId="0" fontId="38" fillId="12" borderId="0" xfId="0" applyFont="1" applyFill="1" applyAlignment="1">
      <alignment horizontal="center" vertical="center" wrapText="1"/>
    </xf>
    <xf numFmtId="43" fontId="38" fillId="12" borderId="0" xfId="2" applyFont="1" applyFill="1" applyBorder="1" applyAlignment="1">
      <alignment horizontal="center" vertical="center" wrapText="1"/>
    </xf>
    <xf numFmtId="0" fontId="0" fillId="0" borderId="0" xfId="0" applyAlignment="1">
      <alignment horizontal="center" vertical="center" wrapText="1"/>
    </xf>
    <xf numFmtId="9" fontId="0" fillId="3" borderId="0" xfId="0" applyNumberFormat="1" applyFill="1" applyAlignment="1">
      <alignment horizontal="center"/>
    </xf>
    <xf numFmtId="0" fontId="47" fillId="3" borderId="0" xfId="0" applyFont="1" applyFill="1" applyProtection="1">
      <protection locked="0"/>
    </xf>
    <xf numFmtId="0" fontId="30" fillId="3" borderId="0" xfId="0" applyFont="1" applyFill="1" applyProtection="1">
      <protection locked="0"/>
    </xf>
    <xf numFmtId="0" fontId="45" fillId="0" borderId="0" xfId="0" applyFont="1"/>
    <xf numFmtId="0" fontId="10" fillId="0" borderId="0" xfId="0" applyFont="1"/>
    <xf numFmtId="0" fontId="48" fillId="0" borderId="0" xfId="0" applyFont="1" applyAlignment="1">
      <alignment horizontal="left" vertical="center"/>
    </xf>
    <xf numFmtId="0" fontId="0" fillId="4" borderId="0" xfId="0" applyFill="1" applyAlignment="1">
      <alignment horizontal="center" vertical="center" wrapText="1"/>
    </xf>
    <xf numFmtId="0" fontId="0" fillId="12" borderId="0" xfId="0" applyFill="1" applyAlignment="1">
      <alignment horizontal="center" vertical="center" wrapText="1"/>
    </xf>
    <xf numFmtId="0" fontId="2" fillId="0" borderId="0" xfId="0" applyFont="1" applyAlignment="1">
      <alignment horizontal="left" vertical="center"/>
    </xf>
    <xf numFmtId="0" fontId="48" fillId="0" borderId="0" xfId="0" applyFont="1" applyAlignment="1">
      <alignment horizontal="right"/>
    </xf>
    <xf numFmtId="0" fontId="0" fillId="13" borderId="1" xfId="0" applyFill="1" applyBorder="1"/>
    <xf numFmtId="0" fontId="0" fillId="13" borderId="10" xfId="0" applyFill="1" applyBorder="1"/>
    <xf numFmtId="0" fontId="0" fillId="13" borderId="11" xfId="0" applyFill="1" applyBorder="1"/>
    <xf numFmtId="0" fontId="0" fillId="13" borderId="12" xfId="0" applyFill="1" applyBorder="1"/>
    <xf numFmtId="0" fontId="0" fillId="13" borderId="9" xfId="0" applyFill="1" applyBorder="1"/>
    <xf numFmtId="0" fontId="0" fillId="13" borderId="13" xfId="0" applyFill="1" applyBorder="1"/>
    <xf numFmtId="0" fontId="0" fillId="13" borderId="6" xfId="0" applyFill="1" applyBorder="1"/>
    <xf numFmtId="0" fontId="0" fillId="13" borderId="7" xfId="0" applyFill="1" applyBorder="1"/>
    <xf numFmtId="0" fontId="0" fillId="13" borderId="8" xfId="0" applyFill="1" applyBorder="1"/>
    <xf numFmtId="0" fontId="0" fillId="10" borderId="0" xfId="0" applyFill="1" applyAlignment="1">
      <alignment horizontal="center" vertical="center" wrapText="1"/>
    </xf>
    <xf numFmtId="0" fontId="6" fillId="3" borderId="0" xfId="0" applyFont="1" applyFill="1" applyAlignment="1">
      <alignment vertical="top"/>
    </xf>
    <xf numFmtId="0" fontId="1" fillId="4" borderId="0" xfId="0" applyFont="1" applyFill="1" applyAlignment="1">
      <alignment horizontal="center" vertical="center"/>
    </xf>
    <xf numFmtId="0" fontId="1" fillId="10" borderId="0" xfId="0" applyFont="1" applyFill="1" applyAlignment="1">
      <alignment horizontal="center" vertical="center"/>
    </xf>
    <xf numFmtId="0" fontId="0" fillId="0" borderId="0" xfId="0" applyAlignment="1">
      <alignment horizontal="center" vertical="center"/>
    </xf>
    <xf numFmtId="0" fontId="49" fillId="3" borderId="0" xfId="0" applyFont="1" applyFill="1"/>
    <xf numFmtId="0" fontId="38" fillId="10" borderId="0" xfId="0" applyFont="1" applyFill="1"/>
    <xf numFmtId="0" fontId="50" fillId="0" borderId="0" xfId="0" applyFont="1"/>
    <xf numFmtId="0" fontId="5" fillId="0" borderId="0" xfId="0" applyFont="1"/>
    <xf numFmtId="2" fontId="0" fillId="9" borderId="5" xfId="0" applyNumberFormat="1" applyFill="1" applyBorder="1" applyAlignment="1">
      <alignment horizontal="center"/>
    </xf>
    <xf numFmtId="0" fontId="0" fillId="11" borderId="7" xfId="0" applyFill="1" applyBorder="1"/>
    <xf numFmtId="0" fontId="0" fillId="11" borderId="8" xfId="0" applyFill="1" applyBorder="1"/>
    <xf numFmtId="1" fontId="10" fillId="9" borderId="5" xfId="0" applyNumberFormat="1" applyFont="1" applyFill="1" applyBorder="1" applyAlignment="1">
      <alignment horizontal="center"/>
    </xf>
    <xf numFmtId="0" fontId="0" fillId="3" borderId="0" xfId="0" applyFill="1" applyAlignment="1" applyProtection="1">
      <alignment vertical="top"/>
      <protection locked="0"/>
    </xf>
    <xf numFmtId="0" fontId="0" fillId="0" borderId="0" xfId="0" applyAlignment="1" applyProtection="1">
      <alignment vertical="top"/>
      <protection locked="0"/>
    </xf>
    <xf numFmtId="0" fontId="10" fillId="3" borderId="0" xfId="0" applyFont="1" applyFill="1"/>
    <xf numFmtId="0" fontId="19" fillId="0" borderId="0" xfId="1"/>
    <xf numFmtId="0" fontId="45" fillId="11" borderId="7" xfId="0" applyFont="1" applyFill="1" applyBorder="1" applyAlignment="1">
      <alignment vertical="center"/>
    </xf>
    <xf numFmtId="0" fontId="45" fillId="11" borderId="8" xfId="0" applyFont="1" applyFill="1" applyBorder="1" applyAlignment="1">
      <alignment vertical="center"/>
    </xf>
    <xf numFmtId="0" fontId="0" fillId="3" borderId="0" xfId="0" applyFill="1" applyAlignment="1">
      <alignment vertical="top"/>
    </xf>
    <xf numFmtId="0" fontId="6" fillId="0" borderId="0" xfId="0" applyFont="1"/>
    <xf numFmtId="0" fontId="0" fillId="13" borderId="0" xfId="0" applyFill="1"/>
    <xf numFmtId="0" fontId="0" fillId="13" borderId="15" xfId="0" applyFill="1" applyBorder="1"/>
    <xf numFmtId="0" fontId="0" fillId="13" borderId="16" xfId="0" applyFill="1" applyBorder="1"/>
    <xf numFmtId="1" fontId="0" fillId="13" borderId="14" xfId="0" applyNumberFormat="1" applyFill="1" applyBorder="1"/>
    <xf numFmtId="0" fontId="1" fillId="14"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43" fontId="0" fillId="0" borderId="0" xfId="0" applyNumberFormat="1"/>
    <xf numFmtId="0" fontId="19" fillId="3" borderId="0" xfId="1" applyFill="1"/>
    <xf numFmtId="2" fontId="0" fillId="13" borderId="1" xfId="0" applyNumberFormat="1" applyFill="1" applyBorder="1"/>
    <xf numFmtId="0" fontId="10" fillId="3" borderId="0" xfId="0" applyFont="1" applyFill="1" applyAlignment="1">
      <alignment vertical="center" wrapText="1"/>
    </xf>
    <xf numFmtId="0" fontId="0" fillId="3" borderId="0" xfId="0" applyFill="1" applyAlignment="1">
      <alignment horizontal="left" vertical="top" wrapText="1"/>
    </xf>
    <xf numFmtId="0" fontId="51" fillId="3" borderId="0" xfId="1" applyFont="1" applyFill="1" applyAlignment="1">
      <alignment horizontal="left" vertical="top"/>
    </xf>
    <xf numFmtId="0" fontId="9" fillId="3" borderId="0" xfId="0" applyFont="1" applyFill="1" applyAlignment="1">
      <alignment horizontal="left" wrapText="1"/>
    </xf>
    <xf numFmtId="0" fontId="0" fillId="3" borderId="0" xfId="0" applyFill="1" applyAlignment="1">
      <alignment horizontal="left" vertical="center" wrapText="1"/>
    </xf>
    <xf numFmtId="0" fontId="1" fillId="3" borderId="0" xfId="0" applyFont="1" applyFill="1" applyAlignment="1" applyProtection="1">
      <alignment horizontal="left" vertical="top"/>
      <protection locked="0"/>
    </xf>
    <xf numFmtId="0" fontId="0" fillId="3" borderId="0" xfId="0" applyFill="1" applyAlignment="1" applyProtection="1">
      <alignment horizontal="left" vertical="top" wrapText="1"/>
      <protection locked="0"/>
    </xf>
    <xf numFmtId="0" fontId="2" fillId="3" borderId="0" xfId="0" applyFont="1" applyFill="1" applyAlignment="1">
      <alignment horizontal="left"/>
    </xf>
  </cellXfs>
  <cellStyles count="3">
    <cellStyle name="Comma" xfId="2" builtinId="3"/>
    <cellStyle name="Hyperlink" xfId="1" builtinId="8"/>
    <cellStyle name="Normal" xfId="0" builtinId="0"/>
  </cellStyles>
  <dxfs count="95">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left style="thin">
          <color theme="1"/>
        </left>
      </border>
    </dxf>
    <dxf>
      <fill>
        <patternFill patternType="none">
          <fgColor indexed="64"/>
          <bgColor auto="1"/>
        </patternFill>
      </fill>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indent="0" justifyLastLine="0" shrinkToFit="0" readingOrder="0"/>
    </dxf>
    <dxf>
      <numFmt numFmtId="0" formatCode="General"/>
    </dxf>
    <dxf>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35" formatCode="_(* #,##0.00_);_(* \(#,##0.00\);_(* &quot;-&quot;??_);_(@_)"/>
    </dxf>
    <dxf>
      <numFmt numFmtId="35" formatCode="_(* #,##0.00_);_(* \(#,##0.00\);_(* &quot;-&quot;??_);_(@_)"/>
    </dxf>
    <dxf>
      <numFmt numFmtId="0" formatCode="General"/>
    </dxf>
    <dxf>
      <numFmt numFmtId="0" formatCode="General"/>
      <alignment horizont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center" textRotation="0" wrapText="1" indent="0" justifyLastLine="0" shrinkToFit="0" readingOrder="0"/>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fgColor indexed="64"/>
          <bgColor theme="0"/>
        </patternFill>
      </fill>
      <protection locked="0" hidden="0"/>
    </dxf>
    <dxf>
      <fill>
        <patternFill patternType="solid">
          <fgColor indexed="64"/>
          <bgColor theme="0"/>
        </patternFill>
      </fill>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protection locked="0" hidden="0"/>
    </dxf>
    <dxf>
      <fill>
        <patternFill>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ont>
        <b/>
        <color theme="0"/>
      </font>
      <fill>
        <patternFill patternType="solid">
          <fgColor theme="4"/>
          <bgColor theme="4"/>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1" defaultTableStyle="TableStyleMedium2" defaultPivotStyle="PivotStyleLight16">
    <tableStyle name="TableStyleMedium2 2" pivot="0" count="2" xr9:uid="{21A3D536-E559-47F8-A034-00B4D0BC2379}">
      <tableStyleElement type="wholeTable" dxfId="94"/>
      <tableStyleElement type="headerRow" dxfId="9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07/relationships/slicerCache" Target="slicerCaches/slicerCache14.xml"/><Relationship Id="rId3" Type="http://schemas.openxmlformats.org/officeDocument/2006/relationships/worksheet" Target="worksheets/sheet3.xml"/><Relationship Id="rId21" Type="http://schemas.microsoft.com/office/2007/relationships/slicerCache" Target="slicerCaches/slicerCache9.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5.xml"/><Relationship Id="rId25" Type="http://schemas.microsoft.com/office/2007/relationships/slicerCache" Target="slicerCaches/slicerCache13.xml"/><Relationship Id="rId33"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2.xml"/><Relationship Id="rId32"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styles" Target="styles.xml"/><Relationship Id="rId36" Type="http://schemas.openxmlformats.org/officeDocument/2006/relationships/customXml" Target="../customXml/item4.xml"/><Relationship Id="rId10" Type="http://schemas.openxmlformats.org/officeDocument/2006/relationships/worksheet" Target="worksheets/sheet10.xml"/><Relationship Id="rId19" Type="http://schemas.microsoft.com/office/2007/relationships/slicerCache" Target="slicerCaches/slicerCache7.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523644</xdr:colOff>
      <xdr:row>21</xdr:row>
      <xdr:rowOff>10620</xdr:rowOff>
    </xdr:from>
    <xdr:ext cx="3012441" cy="609013"/>
    <xdr:sp macro="" textlink="">
      <xdr:nvSpPr>
        <xdr:cNvPr id="2" name="TextBox 1">
          <a:extLst>
            <a:ext uri="{FF2B5EF4-FFF2-40B4-BE49-F238E27FC236}">
              <a16:creationId xmlns:a16="http://schemas.microsoft.com/office/drawing/2014/main" id="{8F716E1C-CF92-470F-AF26-165F8B154C44}"/>
            </a:ext>
          </a:extLst>
        </xdr:cNvPr>
        <xdr:cNvSpPr txBox="1"/>
      </xdr:nvSpPr>
      <xdr:spPr>
        <a:xfrm>
          <a:off x="8871008" y="10652643"/>
          <a:ext cx="3012441" cy="609013"/>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Note: </a:t>
          </a:r>
          <a:r>
            <a:rPr lang="en-US" sz="1100"/>
            <a:t>If copying data over from a different file, make sure you </a:t>
          </a:r>
          <a:r>
            <a:rPr lang="en-US" sz="1100" b="1"/>
            <a:t>ONLY </a:t>
          </a:r>
          <a:r>
            <a:rPr lang="en-US" sz="1100"/>
            <a:t>paste values to avoid overwriting data validation functionality.</a:t>
          </a:r>
        </a:p>
      </xdr:txBody>
    </xdr:sp>
    <xdr:clientData/>
  </xdr:oneCellAnchor>
  <xdr:twoCellAnchor>
    <xdr:from>
      <xdr:col>0</xdr:col>
      <xdr:colOff>276225</xdr:colOff>
      <xdr:row>3</xdr:row>
      <xdr:rowOff>276225</xdr:rowOff>
    </xdr:from>
    <xdr:to>
      <xdr:col>0</xdr:col>
      <xdr:colOff>7467600</xdr:colOff>
      <xdr:row>3</xdr:row>
      <xdr:rowOff>866775</xdr:rowOff>
    </xdr:to>
    <xdr:grpSp>
      <xdr:nvGrpSpPr>
        <xdr:cNvPr id="3" name="Group 2">
          <a:extLst>
            <a:ext uri="{FF2B5EF4-FFF2-40B4-BE49-F238E27FC236}">
              <a16:creationId xmlns:a16="http://schemas.microsoft.com/office/drawing/2014/main" id="{4D178597-8FF5-4419-BC6F-663612DEDAAC}"/>
            </a:ext>
          </a:extLst>
        </xdr:cNvPr>
        <xdr:cNvGrpSpPr/>
      </xdr:nvGrpSpPr>
      <xdr:grpSpPr>
        <a:xfrm>
          <a:off x="276225" y="2943225"/>
          <a:ext cx="7191375" cy="590550"/>
          <a:chOff x="323850" y="2863850"/>
          <a:chExt cx="7188200" cy="584200"/>
        </a:xfrm>
      </xdr:grpSpPr>
      <xdr:sp macro="" textlink="">
        <xdr:nvSpPr>
          <xdr:cNvPr id="4" name="Rectangle 3">
            <a:extLst>
              <a:ext uri="{FF2B5EF4-FFF2-40B4-BE49-F238E27FC236}">
                <a16:creationId xmlns:a16="http://schemas.microsoft.com/office/drawing/2014/main" id="{CCA77B17-901B-7948-A665-15153ABC18A7}"/>
              </a:ext>
            </a:extLst>
          </xdr:cNvPr>
          <xdr:cNvSpPr/>
        </xdr:nvSpPr>
        <xdr:spPr>
          <a:xfrm>
            <a:off x="323850" y="297815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Raw Material Producer</a:t>
            </a:r>
          </a:p>
        </xdr:txBody>
      </xdr:sp>
      <xdr:sp macro="" textlink="">
        <xdr:nvSpPr>
          <xdr:cNvPr id="5" name="Rectangle 4">
            <a:extLst>
              <a:ext uri="{FF2B5EF4-FFF2-40B4-BE49-F238E27FC236}">
                <a16:creationId xmlns:a16="http://schemas.microsoft.com/office/drawing/2014/main" id="{A2256DD3-89B7-80B3-221E-C3B5A8D7E589}"/>
              </a:ext>
            </a:extLst>
          </xdr:cNvPr>
          <xdr:cNvSpPr/>
        </xdr:nvSpPr>
        <xdr:spPr>
          <a:xfrm>
            <a:off x="2362200" y="298450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Refinery</a:t>
            </a:r>
          </a:p>
        </xdr:txBody>
      </xdr:sp>
      <xdr:sp macro="" textlink="">
        <xdr:nvSpPr>
          <xdr:cNvPr id="6" name="Rectangle 5">
            <a:extLst>
              <a:ext uri="{FF2B5EF4-FFF2-40B4-BE49-F238E27FC236}">
                <a16:creationId xmlns:a16="http://schemas.microsoft.com/office/drawing/2014/main" id="{8198369F-4ACF-39B4-25AE-870C92E2401B}"/>
              </a:ext>
            </a:extLst>
          </xdr:cNvPr>
          <xdr:cNvSpPr/>
        </xdr:nvSpPr>
        <xdr:spPr>
          <a:xfrm>
            <a:off x="4349750" y="298450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Blending Facility</a:t>
            </a:r>
          </a:p>
        </xdr:txBody>
      </xdr:sp>
      <xdr:sp macro="" textlink="">
        <xdr:nvSpPr>
          <xdr:cNvPr id="7" name="Rectangle 6">
            <a:extLst>
              <a:ext uri="{FF2B5EF4-FFF2-40B4-BE49-F238E27FC236}">
                <a16:creationId xmlns:a16="http://schemas.microsoft.com/office/drawing/2014/main" id="{434212D3-E75E-C6C7-3F4B-93027BB51523}"/>
              </a:ext>
            </a:extLst>
          </xdr:cNvPr>
          <xdr:cNvSpPr/>
        </xdr:nvSpPr>
        <xdr:spPr>
          <a:xfrm>
            <a:off x="6362700" y="299085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Airport</a:t>
            </a:r>
          </a:p>
        </xdr:txBody>
      </xdr:sp>
      <xdr:sp macro="" textlink="">
        <xdr:nvSpPr>
          <xdr:cNvPr id="8" name="Arrow: Right 7">
            <a:extLst>
              <a:ext uri="{FF2B5EF4-FFF2-40B4-BE49-F238E27FC236}">
                <a16:creationId xmlns:a16="http://schemas.microsoft.com/office/drawing/2014/main" id="{7590CF99-71D2-7F4B-556E-366E2BD46F0E}"/>
              </a:ext>
            </a:extLst>
          </xdr:cNvPr>
          <xdr:cNvSpPr/>
        </xdr:nvSpPr>
        <xdr:spPr>
          <a:xfrm>
            <a:off x="1663700" y="3092450"/>
            <a:ext cx="552450" cy="26238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9" name="Arrow: Right 8">
            <a:extLst>
              <a:ext uri="{FF2B5EF4-FFF2-40B4-BE49-F238E27FC236}">
                <a16:creationId xmlns:a16="http://schemas.microsoft.com/office/drawing/2014/main" id="{FC607AB1-C276-7447-B463-A94B14B8CD03}"/>
              </a:ext>
            </a:extLst>
          </xdr:cNvPr>
          <xdr:cNvSpPr/>
        </xdr:nvSpPr>
        <xdr:spPr>
          <a:xfrm>
            <a:off x="3657600" y="3079750"/>
            <a:ext cx="552450" cy="26238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Arrow: Right 9">
            <a:extLst>
              <a:ext uri="{FF2B5EF4-FFF2-40B4-BE49-F238E27FC236}">
                <a16:creationId xmlns:a16="http://schemas.microsoft.com/office/drawing/2014/main" id="{DDD434FD-14D6-1DA8-379C-B2CE2BDA55CC}"/>
              </a:ext>
            </a:extLst>
          </xdr:cNvPr>
          <xdr:cNvSpPr/>
        </xdr:nvSpPr>
        <xdr:spPr>
          <a:xfrm>
            <a:off x="5664200" y="3092450"/>
            <a:ext cx="552450" cy="26238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DA99A711-A660-F674-449A-9C135BFED537}"/>
              </a:ext>
            </a:extLst>
          </xdr:cNvPr>
          <xdr:cNvSpPr txBox="1"/>
        </xdr:nvSpPr>
        <xdr:spPr>
          <a:xfrm>
            <a:off x="1543050" y="2863850"/>
            <a:ext cx="7750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Feedstock</a:t>
            </a:r>
          </a:p>
        </xdr:txBody>
      </xdr:sp>
      <xdr:sp macro="" textlink="">
        <xdr:nvSpPr>
          <xdr:cNvPr id="12" name="TextBox 11">
            <a:extLst>
              <a:ext uri="{FF2B5EF4-FFF2-40B4-BE49-F238E27FC236}">
                <a16:creationId xmlns:a16="http://schemas.microsoft.com/office/drawing/2014/main" id="{E2A14E1B-214E-62F9-57FA-0B852974C29A}"/>
              </a:ext>
            </a:extLst>
          </xdr:cNvPr>
          <xdr:cNvSpPr txBox="1"/>
        </xdr:nvSpPr>
        <xdr:spPr>
          <a:xfrm>
            <a:off x="3683000" y="2870200"/>
            <a:ext cx="4015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SAF</a:t>
            </a:r>
          </a:p>
        </xdr:txBody>
      </xdr:sp>
      <xdr:sp macro="" textlink="">
        <xdr:nvSpPr>
          <xdr:cNvPr id="13" name="TextBox 12">
            <a:extLst>
              <a:ext uri="{FF2B5EF4-FFF2-40B4-BE49-F238E27FC236}">
                <a16:creationId xmlns:a16="http://schemas.microsoft.com/office/drawing/2014/main" id="{891A9E24-40A5-7BC8-FFE7-8D2D9F296B64}"/>
              </a:ext>
            </a:extLst>
          </xdr:cNvPr>
          <xdr:cNvSpPr txBox="1"/>
        </xdr:nvSpPr>
        <xdr:spPr>
          <a:xfrm>
            <a:off x="5543550" y="2863850"/>
            <a:ext cx="7988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Fuel Blend</a:t>
            </a:r>
          </a:p>
        </xdr:txBody>
      </xdr:sp>
    </xdr:grpSp>
    <xdr:clientData/>
  </xdr:twoCellAnchor>
  <xdr:oneCellAnchor>
    <xdr:from>
      <xdr:col>1</xdr:col>
      <xdr:colOff>503381</xdr:colOff>
      <xdr:row>11</xdr:row>
      <xdr:rowOff>2078</xdr:rowOff>
    </xdr:from>
    <xdr:ext cx="3004185" cy="2186941"/>
    <xdr:sp macro="" textlink="">
      <xdr:nvSpPr>
        <xdr:cNvPr id="14" name="TextBox 13">
          <a:extLst>
            <a:ext uri="{FF2B5EF4-FFF2-40B4-BE49-F238E27FC236}">
              <a16:creationId xmlns:a16="http://schemas.microsoft.com/office/drawing/2014/main" id="{81BB1AF4-E047-4216-8579-0FB1D26AC9C7}"/>
            </a:ext>
          </a:extLst>
        </xdr:cNvPr>
        <xdr:cNvSpPr txBox="1"/>
      </xdr:nvSpPr>
      <xdr:spPr>
        <a:xfrm>
          <a:off x="8850745" y="6712873"/>
          <a:ext cx="3004185" cy="2186941"/>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Note: </a:t>
          </a:r>
          <a:r>
            <a:rPr lang="en-US" sz="1100" b="0"/>
            <a:t>The scale of your scenario (e.g., number of states/blenders/airports selected, magnitude of maximum transport distance) can greatly impact runtime and solution quality. </a:t>
          </a:r>
          <a:r>
            <a:rPr lang="en-US" sz="1100"/>
            <a:t>If running into performance issues or "no flow" solutions, consider the following:</a:t>
          </a:r>
        </a:p>
        <a:p>
          <a:r>
            <a:rPr lang="en-US" sz="1100"/>
            <a:t>- S</a:t>
          </a:r>
          <a:r>
            <a:rPr lang="en-US" sz="1100" baseline="0"/>
            <a:t>plitting sets of feedstock states up into separate scenarios can improve performance.</a:t>
          </a:r>
          <a:endParaRPr lang="en-US" sz="1100"/>
        </a:p>
        <a:p>
          <a:r>
            <a:rPr lang="en-US" sz="1100"/>
            <a:t>- Note that maximum transport distances greater than 200</a:t>
          </a:r>
          <a:r>
            <a:rPr lang="en-US" sz="1100" baseline="0"/>
            <a:t> miles can cause memory errors.</a:t>
          </a:r>
        </a:p>
        <a:p>
          <a:r>
            <a:rPr lang="en-US" sz="1100" baseline="0"/>
            <a:t>- Confirm total feedstock amounts are sufficient to minimally operate a refinery.</a:t>
          </a:r>
        </a:p>
        <a:p>
          <a:endParaRPr lang="en-US" sz="1100" baseline="0"/>
        </a:p>
      </xdr:txBody>
    </xdr:sp>
    <xdr:clientData/>
  </xdr:oneCellAnchor>
  <xdr:oneCellAnchor>
    <xdr:from>
      <xdr:col>1</xdr:col>
      <xdr:colOff>496743</xdr:colOff>
      <xdr:row>16</xdr:row>
      <xdr:rowOff>34637</xdr:rowOff>
    </xdr:from>
    <xdr:ext cx="3012441" cy="1297919"/>
    <xdr:sp macro="" textlink="">
      <xdr:nvSpPr>
        <xdr:cNvPr id="15" name="TextBox 14">
          <a:extLst>
            <a:ext uri="{FF2B5EF4-FFF2-40B4-BE49-F238E27FC236}">
              <a16:creationId xmlns:a16="http://schemas.microsoft.com/office/drawing/2014/main" id="{5E1C9CA6-35EA-4445-87A6-415E5D5034B7}"/>
            </a:ext>
          </a:extLst>
        </xdr:cNvPr>
        <xdr:cNvSpPr txBox="1"/>
      </xdr:nvSpPr>
      <xdr:spPr>
        <a:xfrm>
          <a:off x="8844107" y="9118023"/>
          <a:ext cx="3012441" cy="1297919"/>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Note: </a:t>
          </a:r>
          <a:r>
            <a:rPr lang="en-US" sz="1100"/>
            <a:t>For scenarios with more than one commodity with the same processing technology (e.g., use of both ag residues AND logging residues for Fischer-Tropsch), set</a:t>
          </a:r>
          <a:r>
            <a:rPr lang="en-US" sz="1100" baseline="0"/>
            <a:t> up and convert a template for each commodity, and then combine the rmp.csv files into a single file for one of the scenarios.</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8165</xdr:colOff>
      <xdr:row>5</xdr:row>
      <xdr:rowOff>122919</xdr:rowOff>
    </xdr:from>
    <xdr:to>
      <xdr:col>3</xdr:col>
      <xdr:colOff>696686</xdr:colOff>
      <xdr:row>14</xdr:row>
      <xdr:rowOff>49409</xdr:rowOff>
    </xdr:to>
    <mc:AlternateContent xmlns:mc="http://schemas.openxmlformats.org/markup-compatibility/2006" xmlns:sle15="http://schemas.microsoft.com/office/drawing/2012/slicer">
      <mc:Choice Requires="sle15">
        <xdr:graphicFrame macro="">
          <xdr:nvGraphicFramePr>
            <xdr:cNvPr id="4" name="Scenario 1">
              <a:extLst>
                <a:ext uri="{FF2B5EF4-FFF2-40B4-BE49-F238E27FC236}">
                  <a16:creationId xmlns:a16="http://schemas.microsoft.com/office/drawing/2014/main" id="{B36DFA4B-341D-4362-8709-5EFB5A4E0CC5}"/>
                </a:ext>
              </a:extLst>
            </xdr:cNvPr>
            <xdr:cNvGraphicFramePr/>
          </xdr:nvGraphicFramePr>
          <xdr:xfrm>
            <a:off x="0" y="0"/>
            <a:ext cx="0" cy="0"/>
          </xdr:xfrm>
          <a:graphic>
            <a:graphicData uri="http://schemas.microsoft.com/office/drawing/2010/slicer">
              <sle:slicer xmlns:sle="http://schemas.microsoft.com/office/drawing/2010/slicer" name="Scenario 1"/>
            </a:graphicData>
          </a:graphic>
        </xdr:graphicFrame>
      </mc:Choice>
      <mc:Fallback xmlns="">
        <xdr:sp macro="" textlink="">
          <xdr:nvSpPr>
            <xdr:cNvPr id="0" name=""/>
            <xdr:cNvSpPr>
              <a:spLocks noTextEdit="1"/>
            </xdr:cNvSpPr>
          </xdr:nvSpPr>
          <xdr:spPr>
            <a:xfrm>
              <a:off x="617765" y="1567544"/>
              <a:ext cx="1831521" cy="177573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381801</xdr:colOff>
      <xdr:row>5</xdr:row>
      <xdr:rowOff>141969</xdr:rowOff>
    </xdr:from>
    <xdr:to>
      <xdr:col>7</xdr:col>
      <xdr:colOff>525263</xdr:colOff>
      <xdr:row>22</xdr:row>
      <xdr:rowOff>105118</xdr:rowOff>
    </xdr:to>
    <mc:AlternateContent xmlns:mc="http://schemas.openxmlformats.org/markup-compatibility/2006" xmlns:sle15="http://schemas.microsoft.com/office/drawing/2012/slicer">
      <mc:Choice Requires="sle15">
        <xdr:graphicFrame macro="">
          <xdr:nvGraphicFramePr>
            <xdr:cNvPr id="5" name="State 1">
              <a:extLst>
                <a:ext uri="{FF2B5EF4-FFF2-40B4-BE49-F238E27FC236}">
                  <a16:creationId xmlns:a16="http://schemas.microsoft.com/office/drawing/2014/main" id="{600E1624-314D-4E62-BBA9-83E315CFB81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506561" y="1564369"/>
              <a:ext cx="1834243" cy="34905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369234</xdr:colOff>
      <xdr:row>5</xdr:row>
      <xdr:rowOff>154669</xdr:rowOff>
    </xdr:from>
    <xdr:to>
      <xdr:col>12</xdr:col>
      <xdr:colOff>1155</xdr:colOff>
      <xdr:row>22</xdr:row>
      <xdr:rowOff>106814</xdr:rowOff>
    </xdr:to>
    <mc:AlternateContent xmlns:mc="http://schemas.openxmlformats.org/markup-compatibility/2006" xmlns:sle15="http://schemas.microsoft.com/office/drawing/2012/slicer">
      <mc:Choice Requires="sle15">
        <xdr:graphicFrame macro="">
          <xdr:nvGraphicFramePr>
            <xdr:cNvPr id="10" name="Commodity 1">
              <a:extLst>
                <a:ext uri="{FF2B5EF4-FFF2-40B4-BE49-F238E27FC236}">
                  <a16:creationId xmlns:a16="http://schemas.microsoft.com/office/drawing/2014/main" id="{4218467A-723C-49C7-BCD0-5E0DEDD6E260}"/>
                </a:ext>
              </a:extLst>
            </xdr:cNvPr>
            <xdr:cNvGraphicFramePr/>
          </xdr:nvGraphicFramePr>
          <xdr:xfrm>
            <a:off x="0" y="0"/>
            <a:ext cx="0" cy="0"/>
          </xdr:xfrm>
          <a:graphic>
            <a:graphicData uri="http://schemas.microsoft.com/office/drawing/2010/slicer">
              <sle:slicer xmlns:sle="http://schemas.microsoft.com/office/drawing/2010/slicer" name="Commodity 1"/>
            </a:graphicData>
          </a:graphic>
        </xdr:graphicFrame>
      </mc:Choice>
      <mc:Fallback xmlns="">
        <xdr:sp macro="" textlink="">
          <xdr:nvSpPr>
            <xdr:cNvPr id="0" name=""/>
            <xdr:cNvSpPr>
              <a:spLocks noTextEdit="1"/>
            </xdr:cNvSpPr>
          </xdr:nvSpPr>
          <xdr:spPr>
            <a:xfrm>
              <a:off x="5892800" y="1573894"/>
              <a:ext cx="2212975" cy="348274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340206</xdr:colOff>
      <xdr:row>5</xdr:row>
      <xdr:rowOff>134260</xdr:rowOff>
    </xdr:from>
    <xdr:to>
      <xdr:col>17</xdr:col>
      <xdr:colOff>83484</xdr:colOff>
      <xdr:row>22</xdr:row>
      <xdr:rowOff>21209</xdr:rowOff>
    </xdr:to>
    <mc:AlternateContent xmlns:mc="http://schemas.openxmlformats.org/markup-compatibility/2006" xmlns:sle15="http://schemas.microsoft.com/office/drawing/2012/slicer">
      <mc:Choice Requires="sle15">
        <xdr:graphicFrame macro="">
          <xdr:nvGraphicFramePr>
            <xdr:cNvPr id="11" name="Resource 1">
              <a:extLst>
                <a:ext uri="{FF2B5EF4-FFF2-40B4-BE49-F238E27FC236}">
                  <a16:creationId xmlns:a16="http://schemas.microsoft.com/office/drawing/2014/main" id="{E09AF06A-21FC-47B8-9210-A7994031B34A}"/>
                </a:ext>
              </a:extLst>
            </xdr:cNvPr>
            <xdr:cNvGraphicFramePr/>
          </xdr:nvGraphicFramePr>
          <xdr:xfrm>
            <a:off x="0" y="0"/>
            <a:ext cx="0" cy="0"/>
          </xdr:xfrm>
          <a:graphic>
            <a:graphicData uri="http://schemas.microsoft.com/office/drawing/2010/slicer">
              <sle:slicer xmlns:sle="http://schemas.microsoft.com/office/drawing/2010/slicer" name="Resource 1"/>
            </a:graphicData>
          </a:graphic>
        </xdr:graphicFrame>
      </mc:Choice>
      <mc:Fallback xmlns="">
        <xdr:sp macro="" textlink="">
          <xdr:nvSpPr>
            <xdr:cNvPr id="0" name=""/>
            <xdr:cNvSpPr>
              <a:spLocks noTextEdit="1"/>
            </xdr:cNvSpPr>
          </xdr:nvSpPr>
          <xdr:spPr>
            <a:xfrm>
              <a:off x="8448222" y="1553485"/>
              <a:ext cx="2635703" cy="34207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3120</xdr:colOff>
      <xdr:row>31</xdr:row>
      <xdr:rowOff>131878</xdr:rowOff>
    </xdr:from>
    <xdr:to>
      <xdr:col>3</xdr:col>
      <xdr:colOff>678542</xdr:colOff>
      <xdr:row>38</xdr:row>
      <xdr:rowOff>191196</xdr:rowOff>
    </xdr:to>
    <mc:AlternateContent xmlns:mc="http://schemas.openxmlformats.org/markup-compatibility/2006" xmlns:sle15="http://schemas.microsoft.com/office/drawing/2012/slicer">
      <mc:Choice Requires="sle15">
        <xdr:graphicFrame macro="">
          <xdr:nvGraphicFramePr>
            <xdr:cNvPr id="12" name="Conversion Process 1">
              <a:extLst>
                <a:ext uri="{FF2B5EF4-FFF2-40B4-BE49-F238E27FC236}">
                  <a16:creationId xmlns:a16="http://schemas.microsoft.com/office/drawing/2014/main" id="{49B7017E-65E8-4147-833E-531A132103C0}"/>
                </a:ext>
              </a:extLst>
            </xdr:cNvPr>
            <xdr:cNvGraphicFramePr/>
          </xdr:nvGraphicFramePr>
          <xdr:xfrm>
            <a:off x="0" y="0"/>
            <a:ext cx="0" cy="0"/>
          </xdr:xfrm>
          <a:graphic>
            <a:graphicData uri="http://schemas.microsoft.com/office/drawing/2010/slicer">
              <sle:slicer xmlns:sle="http://schemas.microsoft.com/office/drawing/2010/slicer" name="Conversion Process 1"/>
            </a:graphicData>
          </a:graphic>
        </xdr:graphicFrame>
      </mc:Choice>
      <mc:Fallback xmlns="">
        <xdr:sp macro="" textlink="">
          <xdr:nvSpPr>
            <xdr:cNvPr id="0" name=""/>
            <xdr:cNvSpPr>
              <a:spLocks noTextEdit="1"/>
            </xdr:cNvSpPr>
          </xdr:nvSpPr>
          <xdr:spPr>
            <a:xfrm>
              <a:off x="608238" y="7047028"/>
              <a:ext cx="1848304" cy="152299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389617</xdr:colOff>
      <xdr:row>31</xdr:row>
      <xdr:rowOff>114003</xdr:rowOff>
    </xdr:from>
    <xdr:to>
      <xdr:col>7</xdr:col>
      <xdr:colOff>542951</xdr:colOff>
      <xdr:row>36</xdr:row>
      <xdr:rowOff>131856</xdr:rowOff>
    </xdr:to>
    <mc:AlternateContent xmlns:mc="http://schemas.openxmlformats.org/markup-compatibility/2006" xmlns:sle15="http://schemas.microsoft.com/office/drawing/2012/slicer">
      <mc:Choice Requires="sle15">
        <xdr:graphicFrame macro="">
          <xdr:nvGraphicFramePr>
            <xdr:cNvPr id="13" name="Nth/Pioneer 1">
              <a:extLst>
                <a:ext uri="{FF2B5EF4-FFF2-40B4-BE49-F238E27FC236}">
                  <a16:creationId xmlns:a16="http://schemas.microsoft.com/office/drawing/2014/main" id="{7B804BD0-55A7-4103-8E05-FAF6C4180FFB}"/>
                </a:ext>
              </a:extLst>
            </xdr:cNvPr>
            <xdr:cNvGraphicFramePr/>
          </xdr:nvGraphicFramePr>
          <xdr:xfrm>
            <a:off x="0" y="0"/>
            <a:ext cx="0" cy="0"/>
          </xdr:xfrm>
          <a:graphic>
            <a:graphicData uri="http://schemas.microsoft.com/office/drawing/2010/slicer">
              <sle:slicer xmlns:sle="http://schemas.microsoft.com/office/drawing/2010/slicer" name="Nth/Pioneer 1"/>
            </a:graphicData>
          </a:graphic>
        </xdr:graphicFrame>
      </mc:Choice>
      <mc:Fallback xmlns="">
        <xdr:sp macro="" textlink="">
          <xdr:nvSpPr>
            <xdr:cNvPr id="0" name=""/>
            <xdr:cNvSpPr>
              <a:spLocks noTextEdit="1"/>
            </xdr:cNvSpPr>
          </xdr:nvSpPr>
          <xdr:spPr>
            <a:xfrm>
              <a:off x="3526517" y="7029153"/>
              <a:ext cx="1825625" cy="9432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18</xdr:col>
      <xdr:colOff>873528</xdr:colOff>
      <xdr:row>20</xdr:row>
      <xdr:rowOff>114883</xdr:rowOff>
    </xdr:from>
    <xdr:to>
      <xdr:col>19</xdr:col>
      <xdr:colOff>405660</xdr:colOff>
      <xdr:row>23</xdr:row>
      <xdr:rowOff>175090</xdr:rowOff>
    </xdr:to>
    <xdr:sp macro="" textlink="">
      <xdr:nvSpPr>
        <xdr:cNvPr id="3" name="Arrow: Down 2">
          <a:extLst>
            <a:ext uri="{FF2B5EF4-FFF2-40B4-BE49-F238E27FC236}">
              <a16:creationId xmlns:a16="http://schemas.microsoft.com/office/drawing/2014/main" id="{18B541A7-4A94-419A-BB2A-54FC2D44E90D}"/>
            </a:ext>
          </a:extLst>
        </xdr:cNvPr>
        <xdr:cNvSpPr/>
      </xdr:nvSpPr>
      <xdr:spPr>
        <a:xfrm>
          <a:off x="12225240" y="4394609"/>
          <a:ext cx="532475" cy="608221"/>
        </a:xfrm>
        <a:prstGeom prst="downArrow">
          <a:avLst/>
        </a:prstGeom>
        <a:solidFill>
          <a:schemeClr val="tx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xdr:col>
      <xdr:colOff>2721</xdr:colOff>
      <xdr:row>71</xdr:row>
      <xdr:rowOff>10316</xdr:rowOff>
    </xdr:from>
    <xdr:to>
      <xdr:col>3</xdr:col>
      <xdr:colOff>688521</xdr:colOff>
      <xdr:row>86</xdr:row>
      <xdr:rowOff>115224</xdr:rowOff>
    </xdr:to>
    <mc:AlternateContent xmlns:mc="http://schemas.openxmlformats.org/markup-compatibility/2006" xmlns:sle15="http://schemas.microsoft.com/office/drawing/2012/slicer">
      <mc:Choice Requires="sle15">
        <xdr:graphicFrame macro="">
          <xdr:nvGraphicFramePr>
            <xdr:cNvPr id="8" name="State">
              <a:extLst>
                <a:ext uri="{FF2B5EF4-FFF2-40B4-BE49-F238E27FC236}">
                  <a16:creationId xmlns:a16="http://schemas.microsoft.com/office/drawing/2014/main" id="{B6C44DE1-BB6A-4007-B491-5526A3A8F89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07839" y="15261522"/>
              <a:ext cx="1851211" cy="29736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914853</xdr:colOff>
      <xdr:row>71</xdr:row>
      <xdr:rowOff>11222</xdr:rowOff>
    </xdr:from>
    <xdr:to>
      <xdr:col>6</xdr:col>
      <xdr:colOff>335215</xdr:colOff>
      <xdr:row>86</xdr:row>
      <xdr:rowOff>115224</xdr:rowOff>
    </xdr:to>
    <mc:AlternateContent xmlns:mc="http://schemas.openxmlformats.org/markup-compatibility/2006" xmlns:sle15="http://schemas.microsoft.com/office/drawing/2012/slicer">
      <mc:Choice Requires="sle15">
        <xdr:graphicFrame macro="">
          <xdr:nvGraphicFramePr>
            <xdr:cNvPr id="9" name="City">
              <a:extLst>
                <a:ext uri="{FF2B5EF4-FFF2-40B4-BE49-F238E27FC236}">
                  <a16:creationId xmlns:a16="http://schemas.microsoft.com/office/drawing/2014/main" id="{63AD69D6-AA29-4504-B237-4D8ADFFE387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685382" y="15262428"/>
              <a:ext cx="1834483" cy="297270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780168</xdr:colOff>
      <xdr:row>71</xdr:row>
      <xdr:rowOff>37530</xdr:rowOff>
    </xdr:from>
    <xdr:to>
      <xdr:col>13</xdr:col>
      <xdr:colOff>75772</xdr:colOff>
      <xdr:row>86</xdr:row>
      <xdr:rowOff>131099</xdr:rowOff>
    </xdr:to>
    <mc:AlternateContent xmlns:mc="http://schemas.openxmlformats.org/markup-compatibility/2006" xmlns:sle15="http://schemas.microsoft.com/office/drawing/2012/slicer">
      <mc:Choice Requires="sle15">
        <xdr:graphicFrame macro="">
          <xdr:nvGraphicFramePr>
            <xdr:cNvPr id="14" name="Airport Code">
              <a:extLst>
                <a:ext uri="{FF2B5EF4-FFF2-40B4-BE49-F238E27FC236}">
                  <a16:creationId xmlns:a16="http://schemas.microsoft.com/office/drawing/2014/main" id="{3015A4C7-175C-4CC4-B073-55FA444C9915}"/>
                </a:ext>
              </a:extLst>
            </xdr:cNvPr>
            <xdr:cNvGraphicFramePr/>
          </xdr:nvGraphicFramePr>
          <xdr:xfrm>
            <a:off x="0" y="0"/>
            <a:ext cx="0" cy="0"/>
          </xdr:xfrm>
          <a:graphic>
            <a:graphicData uri="http://schemas.microsoft.com/office/drawing/2010/slicer">
              <sle:slicer xmlns:sle="http://schemas.microsoft.com/office/drawing/2010/slicer" name="Airport Code"/>
            </a:graphicData>
          </a:graphic>
        </xdr:graphicFrame>
      </mc:Choice>
      <mc:Fallback xmlns="">
        <xdr:sp macro="" textlink="">
          <xdr:nvSpPr>
            <xdr:cNvPr id="0" name=""/>
            <xdr:cNvSpPr>
              <a:spLocks noTextEdit="1"/>
            </xdr:cNvSpPr>
          </xdr:nvSpPr>
          <xdr:spPr>
            <a:xfrm>
              <a:off x="6752903" y="15288736"/>
              <a:ext cx="1872957" cy="2962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506666</xdr:colOff>
      <xdr:row>71</xdr:row>
      <xdr:rowOff>37530</xdr:rowOff>
    </xdr:from>
    <xdr:to>
      <xdr:col>9</xdr:col>
      <xdr:colOff>646366</xdr:colOff>
      <xdr:row>80</xdr:row>
      <xdr:rowOff>39521</xdr:rowOff>
    </xdr:to>
    <mc:AlternateContent xmlns:mc="http://schemas.openxmlformats.org/markup-compatibility/2006" xmlns:sle15="http://schemas.microsoft.com/office/drawing/2012/slicer">
      <mc:Choice Requires="sle15">
        <xdr:graphicFrame macro="">
          <xdr:nvGraphicFramePr>
            <xdr:cNvPr id="15" name="FAA Hub Size">
              <a:extLst>
                <a:ext uri="{FF2B5EF4-FFF2-40B4-BE49-F238E27FC236}">
                  <a16:creationId xmlns:a16="http://schemas.microsoft.com/office/drawing/2014/main" id="{5E6FD8EF-2D34-4F51-9B64-41C0BA06ECD1}"/>
                </a:ext>
              </a:extLst>
            </xdr:cNvPr>
            <xdr:cNvGraphicFramePr/>
          </xdr:nvGraphicFramePr>
          <xdr:xfrm>
            <a:off x="0" y="0"/>
            <a:ext cx="0" cy="0"/>
          </xdr:xfrm>
          <a:graphic>
            <a:graphicData uri="http://schemas.microsoft.com/office/drawing/2010/slicer">
              <sle:slicer xmlns:sle="http://schemas.microsoft.com/office/drawing/2010/slicer" name="FAA Hub Size"/>
            </a:graphicData>
          </a:graphic>
        </xdr:graphicFrame>
      </mc:Choice>
      <mc:Fallback xmlns="">
        <xdr:sp macro="" textlink="">
          <xdr:nvSpPr>
            <xdr:cNvPr id="0" name=""/>
            <xdr:cNvSpPr>
              <a:spLocks noTextEdit="1"/>
            </xdr:cNvSpPr>
          </xdr:nvSpPr>
          <xdr:spPr>
            <a:xfrm>
              <a:off x="4691316" y="15288736"/>
              <a:ext cx="1927785" cy="161563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19050</xdr:colOff>
      <xdr:row>48</xdr:row>
      <xdr:rowOff>123260</xdr:rowOff>
    </xdr:from>
    <xdr:to>
      <xdr:col>3</xdr:col>
      <xdr:colOff>704850</xdr:colOff>
      <xdr:row>64</xdr:row>
      <xdr:rowOff>45581</xdr:rowOff>
    </xdr:to>
    <mc:AlternateContent xmlns:mc="http://schemas.openxmlformats.org/markup-compatibility/2006" xmlns:sle15="http://schemas.microsoft.com/office/drawing/2012/slicer">
      <mc:Choice Requires="sle15">
        <xdr:graphicFrame macro="">
          <xdr:nvGraphicFramePr>
            <xdr:cNvPr id="19" name="State 2">
              <a:extLst>
                <a:ext uri="{FF2B5EF4-FFF2-40B4-BE49-F238E27FC236}">
                  <a16:creationId xmlns:a16="http://schemas.microsoft.com/office/drawing/2014/main" id="{E66304DD-031C-4D59-9ED5-6AED1969CFF1}"/>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624168" y="10693582"/>
              <a:ext cx="1851211" cy="290308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911225</xdr:colOff>
      <xdr:row>48</xdr:row>
      <xdr:rowOff>123260</xdr:rowOff>
    </xdr:from>
    <xdr:to>
      <xdr:col>6</xdr:col>
      <xdr:colOff>334309</xdr:colOff>
      <xdr:row>64</xdr:row>
      <xdr:rowOff>85160</xdr:rowOff>
    </xdr:to>
    <mc:AlternateContent xmlns:mc="http://schemas.openxmlformats.org/markup-compatibility/2006" xmlns:sle15="http://schemas.microsoft.com/office/drawing/2012/slicer">
      <mc:Choice Requires="sle15">
        <xdr:graphicFrame macro="">
          <xdr:nvGraphicFramePr>
            <xdr:cNvPr id="20" name="City 1">
              <a:extLst>
                <a:ext uri="{FF2B5EF4-FFF2-40B4-BE49-F238E27FC236}">
                  <a16:creationId xmlns:a16="http://schemas.microsoft.com/office/drawing/2014/main" id="{385D547D-3BF8-4827-A891-7A2C9FB8F08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681754" y="10693582"/>
              <a:ext cx="1846730" cy="29426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524809</xdr:colOff>
      <xdr:row>48</xdr:row>
      <xdr:rowOff>104210</xdr:rowOff>
    </xdr:from>
    <xdr:to>
      <xdr:col>10</xdr:col>
      <xdr:colOff>54909</xdr:colOff>
      <xdr:row>64</xdr:row>
      <xdr:rowOff>104210</xdr:rowOff>
    </xdr:to>
    <mc:AlternateContent xmlns:mc="http://schemas.openxmlformats.org/markup-compatibility/2006" xmlns:sle15="http://schemas.microsoft.com/office/drawing/2012/slicer">
      <mc:Choice Requires="sle15">
        <xdr:graphicFrame macro="">
          <xdr:nvGraphicFramePr>
            <xdr:cNvPr id="21" name="Terminal Name">
              <a:extLst>
                <a:ext uri="{FF2B5EF4-FFF2-40B4-BE49-F238E27FC236}">
                  <a16:creationId xmlns:a16="http://schemas.microsoft.com/office/drawing/2014/main" id="{664BC70C-07EB-4D76-A858-6951293EFC5D}"/>
                </a:ext>
              </a:extLst>
            </xdr:cNvPr>
            <xdr:cNvGraphicFramePr/>
          </xdr:nvGraphicFramePr>
          <xdr:xfrm>
            <a:off x="0" y="0"/>
            <a:ext cx="0" cy="0"/>
          </xdr:xfrm>
          <a:graphic>
            <a:graphicData uri="http://schemas.microsoft.com/office/drawing/2010/slicer">
              <sle:slicer xmlns:sle="http://schemas.microsoft.com/office/drawing/2010/slicer" name="Terminal Name"/>
            </a:graphicData>
          </a:graphic>
        </xdr:graphicFrame>
      </mc:Choice>
      <mc:Fallback xmlns="">
        <xdr:sp macro="" textlink="">
          <xdr:nvSpPr>
            <xdr:cNvPr id="0" name=""/>
            <xdr:cNvSpPr>
              <a:spLocks noTextEdit="1"/>
            </xdr:cNvSpPr>
          </xdr:nvSpPr>
          <xdr:spPr>
            <a:xfrm>
              <a:off x="4709459" y="10674532"/>
              <a:ext cx="2371538" cy="29807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551330</xdr:colOff>
      <xdr:row>56</xdr:row>
      <xdr:rowOff>77320</xdr:rowOff>
    </xdr:from>
    <xdr:to>
      <xdr:col>19</xdr:col>
      <xdr:colOff>1039137</xdr:colOff>
      <xdr:row>59</xdr:row>
      <xdr:rowOff>130975</xdr:rowOff>
    </xdr:to>
    <xdr:sp macro="" textlink="">
      <xdr:nvSpPr>
        <xdr:cNvPr id="22" name="Arrow: Down 21">
          <a:extLst>
            <a:ext uri="{FF2B5EF4-FFF2-40B4-BE49-F238E27FC236}">
              <a16:creationId xmlns:a16="http://schemas.microsoft.com/office/drawing/2014/main" id="{9C640E1D-20A6-479C-9338-6BA93B59BA03}"/>
            </a:ext>
          </a:extLst>
        </xdr:cNvPr>
        <xdr:cNvSpPr/>
      </xdr:nvSpPr>
      <xdr:spPr>
        <a:xfrm>
          <a:off x="13202771" y="12190879"/>
          <a:ext cx="487807" cy="591537"/>
        </a:xfrm>
        <a:prstGeom prst="downArrow">
          <a:avLst/>
        </a:prstGeom>
        <a:solidFill>
          <a:schemeClr val="tx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15</xdr:col>
      <xdr:colOff>564776</xdr:colOff>
      <xdr:row>31</xdr:row>
      <xdr:rowOff>126999</xdr:rowOff>
    </xdr:from>
    <xdr:to>
      <xdr:col>18</xdr:col>
      <xdr:colOff>391459</xdr:colOff>
      <xdr:row>40</xdr:row>
      <xdr:rowOff>25586</xdr:rowOff>
    </xdr:to>
    <mc:AlternateContent xmlns:mc="http://schemas.openxmlformats.org/markup-compatibility/2006" xmlns:sle15="http://schemas.microsoft.com/office/drawing/2012/slicer">
      <mc:Choice Requires="sle15">
        <xdr:graphicFrame macro="">
          <xdr:nvGraphicFramePr>
            <xdr:cNvPr id="47" name="State 3">
              <a:extLst>
                <a:ext uri="{FF2B5EF4-FFF2-40B4-BE49-F238E27FC236}">
                  <a16:creationId xmlns:a16="http://schemas.microsoft.com/office/drawing/2014/main" id="{AC479D95-6BF8-464A-BC4B-974B0DC19656}"/>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0366749" y="7176059"/>
              <a:ext cx="1835150" cy="18547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685800</xdr:colOff>
      <xdr:row>37</xdr:row>
      <xdr:rowOff>161925</xdr:rowOff>
    </xdr:from>
    <xdr:to>
      <xdr:col>19</xdr:col>
      <xdr:colOff>1208532</xdr:colOff>
      <xdr:row>40</xdr:row>
      <xdr:rowOff>50682</xdr:rowOff>
    </xdr:to>
    <xdr:sp macro="" textlink="">
      <xdr:nvSpPr>
        <xdr:cNvPr id="48" name="Arrow: Down 47">
          <a:extLst>
            <a:ext uri="{FF2B5EF4-FFF2-40B4-BE49-F238E27FC236}">
              <a16:creationId xmlns:a16="http://schemas.microsoft.com/office/drawing/2014/main" id="{0097B043-323E-4561-901A-B66367D2BBE0}"/>
            </a:ext>
          </a:extLst>
        </xdr:cNvPr>
        <xdr:cNvSpPr/>
      </xdr:nvSpPr>
      <xdr:spPr>
        <a:xfrm>
          <a:off x="13382625" y="8496300"/>
          <a:ext cx="522732" cy="603132"/>
        </a:xfrm>
        <a:prstGeom prst="downArrow">
          <a:avLst/>
        </a:prstGeom>
        <a:solidFill>
          <a:schemeClr val="tx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kern="1200"/>
        </a:p>
      </xdr:txBody>
    </xdr:sp>
    <xdr:clientData/>
  </xdr:twoCellAnchor>
  <xdr:twoCellAnchor>
    <xdr:from>
      <xdr:col>21</xdr:col>
      <xdr:colOff>342904</xdr:colOff>
      <xdr:row>1</xdr:row>
      <xdr:rowOff>1731</xdr:rowOff>
    </xdr:from>
    <xdr:to>
      <xdr:col>23</xdr:col>
      <xdr:colOff>1038221</xdr:colOff>
      <xdr:row>10</xdr:row>
      <xdr:rowOff>112059</xdr:rowOff>
    </xdr:to>
    <xdr:grpSp>
      <xdr:nvGrpSpPr>
        <xdr:cNvPr id="50" name="Group 49">
          <a:extLst>
            <a:ext uri="{FF2B5EF4-FFF2-40B4-BE49-F238E27FC236}">
              <a16:creationId xmlns:a16="http://schemas.microsoft.com/office/drawing/2014/main" id="{1490148E-2062-A962-3634-763098C761B8}"/>
            </a:ext>
          </a:extLst>
        </xdr:cNvPr>
        <xdr:cNvGrpSpPr/>
      </xdr:nvGrpSpPr>
      <xdr:grpSpPr>
        <a:xfrm>
          <a:off x="15958131" y="186458"/>
          <a:ext cx="1919135" cy="2292419"/>
          <a:chOff x="15855047" y="181025"/>
          <a:chExt cx="1910888" cy="2283573"/>
        </a:xfrm>
      </xdr:grpSpPr>
      <xdr:grpSp>
        <xdr:nvGrpSpPr>
          <xdr:cNvPr id="27" name="Group 26">
            <a:extLst>
              <a:ext uri="{FF2B5EF4-FFF2-40B4-BE49-F238E27FC236}">
                <a16:creationId xmlns:a16="http://schemas.microsoft.com/office/drawing/2014/main" id="{45F34B0D-69EC-46E4-8E79-0B4CF96C552C}"/>
              </a:ext>
            </a:extLst>
          </xdr:cNvPr>
          <xdr:cNvGrpSpPr/>
        </xdr:nvGrpSpPr>
        <xdr:grpSpPr>
          <a:xfrm>
            <a:off x="15855047" y="181025"/>
            <a:ext cx="1910888" cy="2283573"/>
            <a:chOff x="15706726" y="2666998"/>
            <a:chExt cx="1914525" cy="2285397"/>
          </a:xfrm>
        </xdr:grpSpPr>
        <xdr:grpSp>
          <xdr:nvGrpSpPr>
            <xdr:cNvPr id="37" name="Group 36">
              <a:extLst>
                <a:ext uri="{FF2B5EF4-FFF2-40B4-BE49-F238E27FC236}">
                  <a16:creationId xmlns:a16="http://schemas.microsoft.com/office/drawing/2014/main" id="{1D105992-EBBB-D452-83EB-0C99473B6B0F}"/>
                </a:ext>
              </a:extLst>
            </xdr:cNvPr>
            <xdr:cNvGrpSpPr/>
          </xdr:nvGrpSpPr>
          <xdr:grpSpPr>
            <a:xfrm>
              <a:off x="15706726" y="2666998"/>
              <a:ext cx="1885949" cy="2285397"/>
              <a:chOff x="15481301" y="1400173"/>
              <a:chExt cx="1885949" cy="2326950"/>
            </a:xfrm>
          </xdr:grpSpPr>
          <xdr:grpSp>
            <xdr:nvGrpSpPr>
              <xdr:cNvPr id="39" name="Group 38">
                <a:extLst>
                  <a:ext uri="{FF2B5EF4-FFF2-40B4-BE49-F238E27FC236}">
                    <a16:creationId xmlns:a16="http://schemas.microsoft.com/office/drawing/2014/main" id="{65EF793D-372B-3B41-684A-719310E01135}"/>
                  </a:ext>
                </a:extLst>
              </xdr:cNvPr>
              <xdr:cNvGrpSpPr/>
            </xdr:nvGrpSpPr>
            <xdr:grpSpPr>
              <a:xfrm>
                <a:off x="15735299" y="1790700"/>
                <a:ext cx="1371600" cy="636270"/>
                <a:chOff x="16592549" y="371475"/>
                <a:chExt cx="1371600" cy="636270"/>
              </a:xfrm>
            </xdr:grpSpPr>
            <xdr:sp macro="" textlink="">
              <xdr:nvSpPr>
                <xdr:cNvPr id="42" name="Rectangle 41">
                  <a:extLst>
                    <a:ext uri="{FF2B5EF4-FFF2-40B4-BE49-F238E27FC236}">
                      <a16:creationId xmlns:a16="http://schemas.microsoft.com/office/drawing/2014/main" id="{AB9A7CFB-73B6-4DF7-6FC1-D7F184B987B6}"/>
                    </a:ext>
                  </a:extLst>
                </xdr:cNvPr>
                <xdr:cNvSpPr/>
              </xdr:nvSpPr>
              <xdr:spPr>
                <a:xfrm>
                  <a:off x="16592549" y="371475"/>
                  <a:ext cx="1371600" cy="27432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Item Selected</a:t>
                  </a:r>
                </a:p>
              </xdr:txBody>
            </xdr:sp>
            <xdr:sp macro="" textlink="">
              <xdr:nvSpPr>
                <xdr:cNvPr id="43" name="Rectangle 42">
                  <a:extLst>
                    <a:ext uri="{FF2B5EF4-FFF2-40B4-BE49-F238E27FC236}">
                      <a16:creationId xmlns:a16="http://schemas.microsoft.com/office/drawing/2014/main" id="{A90F57B4-20BC-B2B9-6410-01DC52578D93}"/>
                    </a:ext>
                  </a:extLst>
                </xdr:cNvPr>
                <xdr:cNvSpPr/>
              </xdr:nvSpPr>
              <xdr:spPr>
                <a:xfrm>
                  <a:off x="16592549" y="733425"/>
                  <a:ext cx="1371600" cy="2743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Item Unselected</a:t>
                  </a:r>
                </a:p>
              </xdr:txBody>
            </xdr:sp>
          </xdr:grpSp>
          <xdr:sp macro="" textlink="">
            <xdr:nvSpPr>
              <xdr:cNvPr id="40" name="Rectangle 39">
                <a:extLst>
                  <a:ext uri="{FF2B5EF4-FFF2-40B4-BE49-F238E27FC236}">
                    <a16:creationId xmlns:a16="http://schemas.microsoft.com/office/drawing/2014/main" id="{9013ED6B-DEEB-A080-8551-F4D662236498}"/>
                  </a:ext>
                </a:extLst>
              </xdr:cNvPr>
              <xdr:cNvSpPr/>
            </xdr:nvSpPr>
            <xdr:spPr>
              <a:xfrm>
                <a:off x="15481301" y="1476375"/>
                <a:ext cx="1847850" cy="2743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none" kern="1200">
                    <a:solidFill>
                      <a:sysClr val="windowText" lastClr="000000"/>
                    </a:solidFill>
                  </a:rPr>
                  <a:t>FILTER LEGEND</a:t>
                </a:r>
              </a:p>
            </xdr:txBody>
          </xdr:sp>
          <xdr:sp macro="" textlink="">
            <xdr:nvSpPr>
              <xdr:cNvPr id="41" name="Rectangle 40">
                <a:extLst>
                  <a:ext uri="{FF2B5EF4-FFF2-40B4-BE49-F238E27FC236}">
                    <a16:creationId xmlns:a16="http://schemas.microsoft.com/office/drawing/2014/main" id="{CA85D1B3-5C0E-59E0-FA65-9FBAD68137D6}"/>
                  </a:ext>
                </a:extLst>
              </xdr:cNvPr>
              <xdr:cNvSpPr/>
            </xdr:nvSpPr>
            <xdr:spPr>
              <a:xfrm>
                <a:off x="15500350" y="1400173"/>
                <a:ext cx="1866900" cy="2326950"/>
              </a:xfrm>
              <a:prstGeom prst="rect">
                <a:avLst/>
              </a:prstGeom>
              <a:noFill/>
              <a:ln w="19050">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sp macro="" textlink="">
          <xdr:nvSpPr>
            <xdr:cNvPr id="38" name="TextBox 37">
              <a:extLst>
                <a:ext uri="{FF2B5EF4-FFF2-40B4-BE49-F238E27FC236}">
                  <a16:creationId xmlns:a16="http://schemas.microsoft.com/office/drawing/2014/main" id="{EB5E4703-2290-82F7-0F83-7665E4CF1F3B}"/>
                </a:ext>
              </a:extLst>
            </xdr:cNvPr>
            <xdr:cNvSpPr txBox="1"/>
          </xdr:nvSpPr>
          <xdr:spPr>
            <a:xfrm>
              <a:off x="15716251" y="3773628"/>
              <a:ext cx="1905000" cy="627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50" i="1"/>
                <a:t>Note: If an item is unexpectedly unavailable, clear filters from other steps.</a:t>
              </a:r>
            </a:p>
          </xdr:txBody>
        </xdr:sp>
      </xdr:grpSp>
      <xdr:sp macro="" textlink="">
        <xdr:nvSpPr>
          <xdr:cNvPr id="7" name="Rectangle 6">
            <a:extLst>
              <a:ext uri="{FF2B5EF4-FFF2-40B4-BE49-F238E27FC236}">
                <a16:creationId xmlns:a16="http://schemas.microsoft.com/office/drawing/2014/main" id="{D72727F0-FF78-4309-97D3-14265E59BE64}"/>
              </a:ext>
            </a:extLst>
          </xdr:cNvPr>
          <xdr:cNvSpPr/>
        </xdr:nvSpPr>
        <xdr:spPr>
          <a:xfrm>
            <a:off x="16296248" y="1888505"/>
            <a:ext cx="1402108" cy="5261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ysClr val="windowText" lastClr="000000"/>
                </a:solidFill>
              </a:rPr>
              <a:t>Filters Applied</a:t>
            </a:r>
          </a:p>
          <a:p>
            <a:pPr algn="l"/>
            <a:r>
              <a:rPr lang="en-US" sz="1100" kern="1200">
                <a:solidFill>
                  <a:sysClr val="windowText" lastClr="000000"/>
                </a:solidFill>
              </a:rPr>
              <a:t>(Click to Clear Filters)</a:t>
            </a:r>
          </a:p>
        </xdr:txBody>
      </xdr:sp>
      <xdr:pic>
        <xdr:nvPicPr>
          <xdr:cNvPr id="49" name="Picture 48">
            <a:extLst>
              <a:ext uri="{FF2B5EF4-FFF2-40B4-BE49-F238E27FC236}">
                <a16:creationId xmlns:a16="http://schemas.microsoft.com/office/drawing/2014/main" id="{9DA9BD0D-05C3-1FA0-5BB1-EA14650F7E14}"/>
              </a:ext>
            </a:extLst>
          </xdr:cNvPr>
          <xdr:cNvPicPr>
            <a:picLocks noChangeAspect="1"/>
          </xdr:cNvPicPr>
        </xdr:nvPicPr>
        <xdr:blipFill rotWithShape="1">
          <a:blip xmlns:r="http://schemas.openxmlformats.org/officeDocument/2006/relationships" r:embed="rId1"/>
          <a:srcRect l="4938" t="11523" r="9468" b="11937"/>
          <a:stretch/>
        </xdr:blipFill>
        <xdr:spPr>
          <a:xfrm>
            <a:off x="16011070" y="2015505"/>
            <a:ext cx="337443" cy="301752"/>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6</xdr:row>
      <xdr:rowOff>0</xdr:rowOff>
    </xdr:from>
    <xdr:ext cx="2159000" cy="781240"/>
    <xdr:sp macro="" textlink="">
      <xdr:nvSpPr>
        <xdr:cNvPr id="2" name="TextBox 1">
          <a:extLst>
            <a:ext uri="{FF2B5EF4-FFF2-40B4-BE49-F238E27FC236}">
              <a16:creationId xmlns:a16="http://schemas.microsoft.com/office/drawing/2014/main" id="{5E866D4F-61F9-4EED-946F-6A44E7093DC6}"/>
            </a:ext>
          </a:extLst>
        </xdr:cNvPr>
        <xdr:cNvSpPr txBox="1"/>
      </xdr:nvSpPr>
      <xdr:spPr>
        <a:xfrm>
          <a:off x="7943850" y="1682750"/>
          <a:ext cx="2159000" cy="781240"/>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Note: </a:t>
          </a:r>
          <a:r>
            <a:rPr lang="en-US" sz="1100"/>
            <a:t>If copying data over from a different file, make sure you </a:t>
          </a:r>
          <a:r>
            <a:rPr lang="en-US" sz="1100" b="1"/>
            <a:t>ONLY </a:t>
          </a:r>
          <a:r>
            <a:rPr lang="en-US" sz="1100"/>
            <a:t>paste values to avoid overwriting data validation functionality.</a:t>
          </a:r>
        </a:p>
      </xdr:txBody>
    </xdr:sp>
    <xdr:clientData/>
  </xdr:oneCellAnchor>
</xdr:wsDr>
</file>

<file path=xl/persons/person.xml><?xml version="1.0" encoding="utf-8"?>
<personList xmlns="http://schemas.microsoft.com/office/spreadsheetml/2018/threadedcomments" xmlns:x="http://schemas.openxmlformats.org/spreadsheetml/2006/main">
  <person displayName="Ledvina, Kirby (Volpe)" id="{A5E22322-EBCC-441B-889E-9DA3C1077A24}" userId="S::Kirby.Ledvina@ad.dot.gov::91f904e2-e837-457a-82fb-c1502473dbfd"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enario1" xr10:uid="{6F766E7D-612E-40EF-A1C0-A34087EC82BB}" sourceName="Scenario">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F28A5174-251F-4923-91B4-773FAB15789B}" sourceName="State">
  <extLst>
    <x:ext xmlns:x15="http://schemas.microsoft.com/office/spreadsheetml/2010/11/main" uri="{2F2917AC-EB37-4324-AD4E-5DD8C200BD13}">
      <x15:tableSlicerCache tableId="14" column="1"/>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urce1" xr10:uid="{5E9722F1-92C6-4D40-BB6A-943F4C173B0C}" sourceName="Resource">
  <extLst>
    <x:ext xmlns:x15="http://schemas.microsoft.com/office/spreadsheetml/2010/11/main" uri="{2F2917AC-EB37-4324-AD4E-5DD8C200BD13}">
      <x15:tableSlicerCache tableId="20" column="2"/>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sion_Process1" xr10:uid="{B1DEB2ED-50EE-44FA-A61A-6C0BD1B6258D}" sourceName="Conversion Process">
  <extLst>
    <x:ext xmlns:x15="http://schemas.microsoft.com/office/spreadsheetml/2010/11/main" uri="{2F2917AC-EB37-4324-AD4E-5DD8C200BD13}">
      <x15:tableSlicerCache tableId="20" column="3"/>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th_Pioneer1" xr10:uid="{BD3C0475-AC22-4A84-BFAA-4145043E1FB6}" sourceName="Nth/Pioneer">
  <extLst>
    <x:ext xmlns:x15="http://schemas.microsoft.com/office/spreadsheetml/2010/11/main" uri="{2F2917AC-EB37-4324-AD4E-5DD8C200BD13}">
      <x15:tableSlicerCache tableId="20" column="4"/>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1" xr10:uid="{8E24150C-7347-4FBF-868F-EA772AFDA770}" sourceName="Commodity">
  <extLst>
    <x:ext xmlns:x15="http://schemas.microsoft.com/office/spreadsheetml/2010/11/main" uri="{2F2917AC-EB37-4324-AD4E-5DD8C200BD13}">
      <x15:tableSlicerCache tableId="20" column="1"/>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AD993017-C9EA-40DD-A3F6-8B5694748CB1}" sourceName="State">
  <extLst>
    <x:ext xmlns:x15="http://schemas.microsoft.com/office/spreadsheetml/2010/11/main" uri="{2F2917AC-EB37-4324-AD4E-5DD8C200BD13}">
      <x15:tableSlicerCache tableId="15"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76FAB595-FF4D-46B0-AE17-AACF5BA09E33}" sourceName="City">
  <extLst>
    <x:ext xmlns:x15="http://schemas.microsoft.com/office/spreadsheetml/2010/11/main" uri="{2F2917AC-EB37-4324-AD4E-5DD8C200BD13}">
      <x15:tableSlicerCache tableId="15" column="5"/>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l_Name" xr10:uid="{3FD14AB9-F73E-4422-9CBD-1C62A124FCC2}" sourceName="Terminal Name">
  <extLst>
    <x:ext xmlns:x15="http://schemas.microsoft.com/office/spreadsheetml/2010/11/main" uri="{2F2917AC-EB37-4324-AD4E-5DD8C200BD13}">
      <x15:tableSlicerCache tableId="15" column="6"/>
    </x:ex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3" xr10:uid="{6FC37D51-1A51-4A3E-ADC0-788D2811E08C}" sourceName="State">
  <extLst>
    <x:ext xmlns:x15="http://schemas.microsoft.com/office/spreadsheetml/2010/11/main" uri="{2F2917AC-EB37-4324-AD4E-5DD8C200BD13}">
      <x15:tableSlicerCache tableId="19" column="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2602574-5224-4B08-851B-331143BEF079}" sourceName="City">
  <extLst>
    <x:ext xmlns:x15="http://schemas.microsoft.com/office/spreadsheetml/2010/11/main" uri="{2F2917AC-EB37-4324-AD4E-5DD8C200BD13}">
      <x15:tableSlicerCache tableId="11" column="7"/>
    </x:ex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2631C9B-9D26-42F6-B39A-9693C792F7B6}" sourceName="State">
  <extLst>
    <x:ext xmlns:x15="http://schemas.microsoft.com/office/spreadsheetml/2010/11/main" uri="{2F2917AC-EB37-4324-AD4E-5DD8C200BD13}">
      <x15:tableSlicerCache tableId="11" column="6"/>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A_Hub_Size" xr10:uid="{FF549FA8-14CC-42E6-941E-D4E92BC620C8}" sourceName="FAA Hub Size">
  <extLst>
    <x:ext xmlns:x15="http://schemas.microsoft.com/office/spreadsheetml/2010/11/main" uri="{2F2917AC-EB37-4324-AD4E-5DD8C200BD13}">
      <x15:tableSlicerCache tableId="11" column="9"/>
    </x:ex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port_Code" xr10:uid="{FF034EA2-8FAE-4E16-83C5-93047F272BE9}" sourceName="Airport Code">
  <extLst>
    <x:ext xmlns:x15="http://schemas.microsoft.com/office/spreadsheetml/2010/11/main" uri="{2F2917AC-EB37-4324-AD4E-5DD8C200BD13}">
      <x15:tableSlicerCache tableId="11" column="8" customListSort="0"/>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enario 1" xr10:uid="{9E2E9D40-EDA0-49C8-9B20-4670ADD03D55}" cache="Slicer_Scenario1" caption="Billion Ton Scenario" style="SlicerStyleLight5" rowHeight="241300"/>
  <slicer name="State 1" xr10:uid="{52DB0EF1-5A9D-4FDF-9882-F9DA5BE54ADA}" cache="Slicer_State1" caption="State" style="SlicerStyleLight5" rowHeight="241300"/>
  <slicer name="Resource 1" xr10:uid="{C688DD95-71B7-44B3-8309-073E12E13A88}" cache="Slicer_Resource1" caption="Resource" style="SlicerStyleLight5" rowHeight="241300"/>
  <slicer name="Conversion Process 1" xr10:uid="{7652B672-15C6-4160-A78F-042D99C892DA}" cache="Slicer_Conversion_Process1" caption="Conversion Process" style="SlicerStyleLight5" rowHeight="241300"/>
  <slicer name="Nth/Pioneer 1" xr10:uid="{CE4EF5E3-97AD-4B7A-9207-5F0BFFA5F21C}" cache="Slicer_Nth_Pioneer1" caption="Nth/Pioneer" style="SlicerStyleLight5" rowHeight="241300"/>
  <slicer name="Commodity 1" xr10:uid="{57EFEBB9-65D2-496F-8A4E-6628FFBCCC47}" cache="Slicer_Commodity1" caption="Commodity" style="SlicerStyleLight5" rowHeight="241300"/>
  <slicer name="State 2" xr10:uid="{6AD1DEA5-6485-46A7-A4AA-42F7F3CBF901}" cache="Slicer_State2" caption="State" style="SlicerStyleLight5" rowHeight="241300"/>
  <slicer name="City 1" xr10:uid="{41358946-B17F-49F4-AB44-E67C1E15E43A}" cache="Slicer_City1" caption="City" style="SlicerStyleLight5" rowHeight="241300"/>
  <slicer name="Terminal Name" xr10:uid="{A00DA78B-28EE-44AD-BF39-B571F7370793}" cache="Slicer_Terminal_Name" caption="Terminal Name" style="SlicerStyleLight5" rowHeight="241300"/>
  <slicer name="State 3" xr10:uid="{F9879D5B-CDD8-43EE-A66F-B7C4E3B9C75F}" cache="Slicer_State3" caption="State" startItem="2" style="SlicerStyleLight5" rowHeight="241300"/>
  <slicer name="City" xr10:uid="{394A0FB3-0B89-4579-A93C-C1F5E38C800A}" cache="Slicer_City" caption="City" style="SlicerStyleLight5" rowHeight="241300"/>
  <slicer name="State" xr10:uid="{02A39CEF-892C-4A58-9BC9-34347146B01B}" cache="Slicer_State" caption="State" style="SlicerStyleLight5" rowHeight="241300"/>
  <slicer name="FAA Hub Size" xr10:uid="{7C959F6E-7EA5-409A-BE15-9D25C853A529}" cache="Slicer_FAA_Hub_Size" caption="FAA Hub Size" style="SlicerStyleLight5" rowHeight="241300"/>
  <slicer name="Airport Code" xr10:uid="{5FE1B2EA-41C0-46CF-9CF6-F3047FD2D5EC}" cache="Slicer_Airport_Code" caption="Airport Code"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636F13-A496-4ED5-8CB0-4C2C3A027769}" name="commodities" displayName="commodities" ref="A7:C10" totalsRowShown="0" headerRowDxfId="92" dataDxfId="91">
  <autoFilter ref="A7:C10" xr:uid="{9F636F13-A496-4ED5-8CB0-4C2C3A027769}"/>
  <tableColumns count="3">
    <tableColumn id="1" xr3:uid="{05225E87-5805-455E-B7C2-2BC8FC029D41}" name="Name" dataDxfId="90">
      <calculatedColumnFormula>Notes!AC4</calculatedColumnFormula>
    </tableColumn>
    <tableColumn id="2" xr3:uid="{127DB1FE-436E-45BD-8726-D8E4732A878F}" name="Phase" dataDxfId="89">
      <calculatedColumnFormula>Notes!AD4</calculatedColumnFormula>
    </tableColumn>
    <tableColumn id="3" xr3:uid="{177CC4DE-2E14-4D8C-B66A-93777BA059F3}" name="Max Transport Distance" dataDxfId="88">
      <calculatedColumnFormula>Notes!AE4</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F2C6C8-FBC4-4CAF-98B2-FEE10B021DD8}" name="Table7" displayName="Table7" ref="E8:L9" totalsRowShown="0" headerRowDxfId="87" dataDxfId="86">
  <autoFilter ref="E8:L9" xr:uid="{C8F2C6C8-FBC4-4CAF-98B2-FEE10B021DD8}"/>
  <tableColumns count="8">
    <tableColumn id="1" xr3:uid="{8EC1602B-8E5B-4940-8CB3-3669BBAB5D75}" name="Inputs" dataDxfId="85">
      <calculatedColumnFormula>Notes!AG6</calculatedColumnFormula>
    </tableColumn>
    <tableColumn id="2" xr3:uid="{7D0C59CF-5034-4606-AF03-D7EB600FF437}" name="Input Amount" dataDxfId="84">
      <calculatedColumnFormula>Notes!AH6</calculatedColumnFormula>
    </tableColumn>
    <tableColumn id="3" xr3:uid="{1ACEA844-3093-427C-943E-1F6235BED8E0}" name="Input Units" dataDxfId="83">
      <calculatedColumnFormula>Notes!AI6</calculatedColumnFormula>
    </tableColumn>
    <tableColumn id="4" xr3:uid="{D589EFEC-BDE1-4C53-B900-E608BA1A4781}" name="Outputs" dataDxfId="82">
      <calculatedColumnFormula>Notes!AJ6</calculatedColumnFormula>
    </tableColumn>
    <tableColumn id="5" xr3:uid="{5BB11DD3-54DB-4374-B29A-3520F343CDFA}" name="Output Amount" dataDxfId="81">
      <calculatedColumnFormula>Notes!AK6</calculatedColumnFormula>
    </tableColumn>
    <tableColumn id="6" xr3:uid="{C3B83366-C731-47AE-AC35-1173D7027D04}" name="Output Units" dataDxfId="80">
      <calculatedColumnFormula>Notes!AL6</calculatedColumnFormula>
    </tableColumn>
    <tableColumn id="7" xr3:uid="{7D753D4F-3FB5-49FE-90E6-788D4B20E8A2}" name="Process Name" dataDxfId="79">
      <calculatedColumnFormula>OFFSET(K9,-1,0)</calculatedColumnFormula>
    </tableColumn>
    <tableColumn id="8" xr3:uid="{8E0AD2B5-82F1-40C6-B5DB-6512FB13465A}" name="Existing Facilities" dataDxfId="78">
      <calculatedColumnFormula>OFFSET(L9,-1,0)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E04A9-A940-4AD0-AC5E-FF18DD505B3A}" name="Table72" displayName="Table72" ref="E18:L19" totalsRowShown="0" headerRowDxfId="77" dataDxfId="76">
  <autoFilter ref="E18:L19" xr:uid="{F5DE04A9-A940-4AD0-AC5E-FF18DD505B3A}"/>
  <tableColumns count="8">
    <tableColumn id="1" xr3:uid="{9967CE14-EA29-4F17-91D5-E2B957D12F11}" name="Inputs" dataDxfId="75">
      <calculatedColumnFormula>IF('SAF Filters'!$J$37="Y",Notes!AG16,"")</calculatedColumnFormula>
    </tableColumn>
    <tableColumn id="2" xr3:uid="{84F9A178-3924-43F7-811F-8564FB59013A}" name="Input Amount" dataDxfId="74">
      <calculatedColumnFormula>IF('SAF Filters'!$J$37="Y",Notes!AH16,"")</calculatedColumnFormula>
    </tableColumn>
    <tableColumn id="3" xr3:uid="{3FBBE727-DE91-4AC5-9238-4BE9739B9996}" name="Input Units" dataDxfId="73">
      <calculatedColumnFormula>IF('SAF Filters'!$J$37="Y",Notes!AI16,"")</calculatedColumnFormula>
    </tableColumn>
    <tableColumn id="4" xr3:uid="{29434F25-F0BD-43FC-9D7A-807E34D0DEC6}" name="Outputs" dataDxfId="72">
      <calculatedColumnFormula>IF('SAF Filters'!$J$37="Y",Notes!AJ16,"")</calculatedColumnFormula>
    </tableColumn>
    <tableColumn id="5" xr3:uid="{54F8A0CB-37B1-459A-A2E0-9A189F684C65}" name="Output Amount" dataDxfId="71">
      <calculatedColumnFormula>IF('SAF Filters'!$J$37="Y",Notes!AK16,"")</calculatedColumnFormula>
    </tableColumn>
    <tableColumn id="6" xr3:uid="{013D80BC-A684-4CC4-8B1C-8748CEA4959C}" name="Output Units" dataDxfId="70">
      <calculatedColumnFormula>IF('SAF Filters'!$J$37="Y",Notes!AL16,"")</calculatedColumnFormula>
    </tableColumn>
    <tableColumn id="7" xr3:uid="{37ECC588-2816-4503-8518-8B924841D7D6}" name="Process Name" dataDxfId="69">
      <calculatedColumnFormula>IF('SAF Filters'!$J$37="Y",Notes!AM16,"")</calculatedColumnFormula>
    </tableColumn>
    <tableColumn id="8" xr3:uid="{0FB5CCF9-B56B-4B12-B8FF-37480C8A159F}" name="Existing Facilities" dataDxfId="68">
      <calculatedColumnFormula>IF('SAF Filters'!$J$37="Y",Notes!AN16,"")</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F45CE3F-1E03-42B9-9068-4765AD52DD57}" name="Table717" displayName="Table717" ref="E13:L14" totalsRowShown="0" headerRowDxfId="67" dataDxfId="66">
  <autoFilter ref="E13:L14" xr:uid="{1F45CE3F-1E03-42B9-9068-4765AD52DD57}"/>
  <tableColumns count="8">
    <tableColumn id="1" xr3:uid="{C099149E-0E34-492A-9215-0D9D3136AE1B}" name="Inputs" dataDxfId="65">
      <calculatedColumnFormula>Notes!AG11</calculatedColumnFormula>
    </tableColumn>
    <tableColumn id="2" xr3:uid="{1D91EA66-14BF-43FD-9B4F-6D0F5390B529}" name="Input Amount" dataDxfId="64">
      <calculatedColumnFormula>Notes!AH11</calculatedColumnFormula>
    </tableColumn>
    <tableColumn id="3" xr3:uid="{2DEEF663-A034-468C-B7C6-E6D58E07BE1D}" name="Input Units" dataDxfId="63">
      <calculatedColumnFormula>Notes!AI11</calculatedColumnFormula>
    </tableColumn>
    <tableColumn id="4" xr3:uid="{B45BB6B9-C8F3-4539-B6D7-D16323866D7E}" name="Outputs" dataDxfId="62">
      <calculatedColumnFormula>Notes!AJ11</calculatedColumnFormula>
    </tableColumn>
    <tableColumn id="5" xr3:uid="{02FC72DF-6C7E-4955-8037-770B35BC9922}" name="Output Amount" dataDxfId="61">
      <calculatedColumnFormula>Notes!AK11</calculatedColumnFormula>
    </tableColumn>
    <tableColumn id="6" xr3:uid="{19AF237A-4699-4BEB-9568-60E61058ECB5}" name="Output Units" dataDxfId="60">
      <calculatedColumnFormula>Notes!AL11</calculatedColumnFormula>
    </tableColumn>
    <tableColumn id="7" xr3:uid="{CBB892EF-F0B0-4A32-88C6-4203DB8A49CC}" name="Process Name" dataDxfId="59">
      <calculatedColumnFormula>OFFSET(K14,-1,0)</calculatedColumnFormula>
    </tableColumn>
    <tableColumn id="8" xr3:uid="{BE371913-C2C4-446E-A9BD-A15E8106036C}" name="Existing Facilities" dataDxfId="58">
      <calculatedColumnFormula>OFFSET(L14,-1,0)</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521FDC-C3CB-4CB2-A108-7292DEFAFF37}" name="facilities" displayName="facilities" ref="A7:K2000" totalsRowShown="0" headerRowDxfId="57" dataDxfId="56">
  <autoFilter ref="A7:K2000" xr:uid="{97521FDC-C3CB-4CB2-A108-7292DEFAFF37}"/>
  <tableColumns count="11">
    <tableColumn id="1" xr3:uid="{43C6357F-087B-417F-9342-B814FD242FB6}" name="Facility Type" dataDxfId="55">
      <calculatedColumnFormula>IF(Notes!BY4="","",Notes!BY4)</calculatedColumnFormula>
    </tableColumn>
    <tableColumn id="2" xr3:uid="{9F1714B3-22D0-4E1F-B4AE-5046DDBFBFB8}" name="Facility Name" dataDxfId="54">
      <calculatedColumnFormula>IF(Notes!BZ4="","",Notes!BZ4)</calculatedColumnFormula>
    </tableColumn>
    <tableColumn id="3" xr3:uid="{275D1160-A9C4-44E6-AF3E-0BBCD9DEB8E3}" name="Commodity or Process" dataDxfId="53">
      <calculatedColumnFormula>IF(Notes!CA4="","",Notes!CA4)</calculatedColumnFormula>
    </tableColumn>
    <tableColumn id="4" xr3:uid="{D3890D44-C825-426D-B4D9-DE863E2FE3B2}" name="Max Amount" dataDxfId="52">
      <calculatedColumnFormula>IF(Notes!CB4="","",Notes!CB4)</calculatedColumnFormula>
    </tableColumn>
    <tableColumn id="5" xr3:uid="{C93BDE31-7493-4808-AA6B-4E2E18DB091F}" name="Units" dataDxfId="51">
      <calculatedColumnFormula>IF(Notes!CC4="","",Notes!CC4)</calculatedColumnFormula>
    </tableColumn>
    <tableColumn id="6" xr3:uid="{2E7A3D30-65EB-42FB-B21E-C836DFE7E0C7}" name="Min Amount" dataDxfId="50">
      <calculatedColumnFormula>IF(Notes!CD4="","",Notes!CD4)</calculatedColumnFormula>
    </tableColumn>
    <tableColumn id="7" xr3:uid="{822BB9F6-E1C3-4DE2-92EE-665184FD6245}" name="Min Aggregation" dataDxfId="49">
      <calculatedColumnFormula>IF(Notes!CE4="","",Notes!CE4)</calculatedColumnFormula>
    </tableColumn>
    <tableColumn id="8" xr3:uid="{DD55E4D9-D4EA-4E70-AE47-2DAC145DDB61}" name="Build Cost" dataDxfId="48">
      <calculatedColumnFormula>IF(Notes!CF4="","",Notes!CF4)</calculatedColumnFormula>
    </tableColumn>
    <tableColumn id="9" xr3:uid="{88E89F6F-1BF7-4EBB-8C7C-4D9A9E9DBE79}" name="Schedule" dataDxfId="47"/>
    <tableColumn id="10" xr3:uid="{977B9183-0934-46F8-814C-FD81B343DF8E}" name="Access Cost" dataDxfId="46"/>
    <tableColumn id="11" xr3:uid="{BD91271B-565F-4A2E-8427-6B9A9867B14F}" name="Unmet Demand Penalty" dataDxfId="4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8D2738-3C5E-478B-A291-7FC557B7020A}" name="SAF_Scenario" displayName="SAF_Scenario" ref="A1:B6" totalsRowShown="0" headerRowDxfId="44">
  <autoFilter ref="A1:B6" xr:uid="{F073F5C9-6E2E-4835-BD55-8D2E18CDF232}">
    <filterColumn colId="0">
      <filters>
        <filter val="Mature-market high"/>
      </filters>
    </filterColumn>
  </autoFilter>
  <tableColumns count="2">
    <tableColumn id="1" xr3:uid="{E1D4BE53-B696-4AF5-A1D3-AA46481471BF}" name="Scenario"/>
    <tableColumn id="2" xr3:uid="{635433C8-784D-44E3-B8CD-4C000318D7C2}" name="Filtered" dataDxfId="43">
      <calculatedColumnFormula>SIGN(SUBTOTAL(3,A2))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B5A13F4-C8F6-400C-A596-9C43B1532128}" name="SAF_State" displayName="SAF_State" ref="A1:B50" totalsRowShown="0" headerRowDxfId="42">
  <autoFilter ref="A1:B50" xr:uid="{EFDF47A0-E0F9-4B1F-B576-CC85DBBCB135}">
    <filterColumn colId="0">
      <filters>
        <filter val="Idaho"/>
        <filter val="Oregon"/>
        <filter val="Washington"/>
      </filters>
    </filterColumn>
  </autoFilter>
  <sortState xmlns:xlrd2="http://schemas.microsoft.com/office/spreadsheetml/2017/richdata2" ref="A2:A50">
    <sortCondition ref="A1:A50"/>
  </sortState>
  <tableColumns count="2">
    <tableColumn id="1" xr3:uid="{BF3F72D5-8A91-4303-A265-4AA2F249DE9F}" name="State"/>
    <tableColumn id="2" xr3:uid="{4A0B8AC5-B9EB-4FA0-ACF5-6E8C74459A7C}" name="Filtered" dataDxfId="41">
      <calculatedColumnFormula>SIGN(SUBTOTAL(3,A2))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039962F-B38A-429B-A552-116ECDDC8362}" name="SAF_Cand_Refinery" displayName="SAF_Cand_Refinery" ref="A1:S157" totalsRowShown="0" headerRowDxfId="40">
  <autoFilter ref="A1:S157" xr:uid="{9DF01256-CB82-4CC3-9894-52FD965C96A9}">
    <filterColumn colId="0">
      <filters>
        <filter val="FOG"/>
      </filters>
    </filterColumn>
  </autoFilter>
  <sortState xmlns:xlrd2="http://schemas.microsoft.com/office/spreadsheetml/2017/richdata2" ref="A2:S123">
    <sortCondition ref="A2:A123"/>
    <sortCondition ref="B2:B123"/>
    <sortCondition ref="D2:D123"/>
    <sortCondition ref="E2:E123"/>
  </sortState>
  <tableColumns count="19">
    <tableColumn id="1" xr3:uid="{1E8AD7A3-600F-4769-BD42-A79CE51231C2}" name="Commodity"/>
    <tableColumn id="2" xr3:uid="{F76B919B-86B1-4DF2-AA96-C2B27559F02C}" name="Resource"/>
    <tableColumn id="11" xr3:uid="{E6DA5EC2-BD5B-4E7B-BE9F-2676FA4ADF8F}" name="Phase"/>
    <tableColumn id="3" xr3:uid="{DCDEA7EC-364B-4F0A-B8F1-64093CDFBA79}" name="Conversion Process"/>
    <tableColumn id="4" xr3:uid="{76FFDDA1-9BE3-42A7-A37E-E2D4FB9B79E9}" name="Nth/Pioneer"/>
    <tableColumn id="14" xr3:uid="{F7C28AB4-27F2-421E-AA40-EAD41B034318}" name="Filtered" dataDxfId="39">
      <calculatedColumnFormula>SIGN(SUBTOTAL(3,A2))</calculatedColumnFormula>
    </tableColumn>
    <tableColumn id="18" xr3:uid="{BC6D58D7-A5EC-4727-B6F8-5A8EF1AAAE49}" name="Input Amount"/>
    <tableColumn id="17" xr3:uid="{A2EA1EFE-5C1B-4D66-A104-4637543D1C82}" name="Input Units"/>
    <tableColumn id="19" xr3:uid="{EF7B594B-11D3-4A1C-BBCB-2E6783735A7D}" name="Output"/>
    <tableColumn id="16" xr3:uid="{8547F6BA-88CF-40CF-ABA8-11B4881AEF48}" name="Output Amount"/>
    <tableColumn id="15" xr3:uid="{5D8F0C57-4EFD-4B61-AE87-25CAA06124A9}" name="Output Units"/>
    <tableColumn id="5" xr3:uid="{9B28833F-EFA5-4EE7-88CE-063B4CC1A387}" name="Facility Type"/>
    <tableColumn id="6" xr3:uid="{B84990FA-DA1E-4353-A283-36A802B3D18E}" name="Facility Name"/>
    <tableColumn id="7" xr3:uid="{70F02C61-5F70-46D5-8761-B5B673F292B1}" name="Commodity or Process"/>
    <tableColumn id="10" xr3:uid="{A17F2134-02B3-43D7-93B0-6C7E730C6BF0}" name="Max Amount" dataDxfId="38"/>
    <tableColumn id="8" xr3:uid="{53C3992A-9892-4EF5-B7B9-00BDF55C1278}" name="Units"/>
    <tableColumn id="9" xr3:uid="{238A02A4-A45E-41DF-8E74-0FD0293F3C22}" name="Min Amount" dataDxfId="37">
      <calculatedColumnFormula>SAF_Cand_Refinery[[#This Row],[Max Amount]]*0.5</calculatedColumnFormula>
    </tableColumn>
    <tableColumn id="12" xr3:uid="{EA213E5B-2F5E-44AF-B880-B794BF2FD2E4}" name="Min Aggregation" dataDxfId="36">
      <calculatedColumnFormula>SAF_Cand_Refinery[[#This Row],[Max Amount]]*0.1</calculatedColumnFormula>
    </tableColumn>
    <tableColumn id="13" xr3:uid="{9A5114C8-4477-4FDF-817B-64B2DF00BDE1}" name="Build Cos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C70C911-A204-491F-80B2-FF2E6995FEA2}" name="SAF_Existing_Refinery" displayName="SAF_Existing_Refinery" ref="A1:P21" totalsRowShown="0" headerRowDxfId="35" dataDxfId="34">
  <autoFilter ref="A1:P21" xr:uid="{3C70C911-A204-491F-80B2-FF2E6995FEA2}">
    <filterColumn colId="2">
      <filters>
        <filter val="Montana"/>
        <filter val="Oregon"/>
      </filters>
    </filterColumn>
  </autoFilter>
  <tableColumns count="16">
    <tableColumn id="1" xr3:uid="{2415906F-D11E-408A-A72D-7C127970EAED}" name="Company" dataDxfId="33"/>
    <tableColumn id="2" xr3:uid="{546EE7DE-77B7-4A8A-B78B-B6D6E9D0CB92}" name="City" dataDxfId="32"/>
    <tableColumn id="3" xr3:uid="{13981D45-1573-4FCA-88FC-5EA8955F09A1}" name="State" dataDxfId="31"/>
    <tableColumn id="4" xr3:uid="{8F9E932D-BEAB-43FA-8CEE-4BE66D6BECC4}" name="Feedstock" dataDxfId="30"/>
    <tableColumn id="5" xr3:uid="{4B818B61-23E6-4BAB-BDBE-CEA6A299E48C}" name="Process" dataDxfId="29"/>
    <tableColumn id="6" xr3:uid="{FDB6B367-1E2A-44A9-A519-362FA3DE542B}" name="Input" dataDxfId="28"/>
    <tableColumn id="7" xr3:uid="{F3AA6129-6ED7-4BBC-8FE6-6CF6C03EE9EC}" name="Status" dataDxfId="27"/>
    <tableColumn id="16" xr3:uid="{601F9AC2-14D1-4C6E-9966-14F9AF4E31F5}" name="Filtered" dataDxfId="26">
      <calculatedColumnFormula>SIGN(SUBTOTAL(3,A2))</calculatedColumnFormula>
    </tableColumn>
    <tableColumn id="8" xr3:uid="{9CF96473-9A55-4A86-AFEE-555ABA281D10}" name="Facility Type" dataDxfId="25"/>
    <tableColumn id="9" xr3:uid="{546B18E6-2259-4D90-B931-697DB58D796E}" name="Facility Name" dataDxfId="24"/>
    <tableColumn id="10" xr3:uid="{6B704460-4D29-4487-A80D-0AB98F301D17}" name="Commodity or Process" dataDxfId="23"/>
    <tableColumn id="11" xr3:uid="{8AC31344-517A-418E-B2CD-BB30050E8FCC}" name="Max Amount" dataDxfId="22"/>
    <tableColumn id="12" xr3:uid="{8EDDDD55-7FA1-4AE0-81EC-0EE8F6622E98}" name="Units" dataDxfId="21"/>
    <tableColumn id="13" xr3:uid="{5377842C-DE6D-4D63-B4B4-28F4785453F3}" name="Min Amount" dataDxfId="20"/>
    <tableColumn id="14" xr3:uid="{DFD8E847-98FD-48A8-8A4D-F474605CB472}" name="Min Aggregation" dataDxfId="19"/>
    <tableColumn id="15" xr3:uid="{D273C544-EB72-4C64-97E0-A588A7D65E31}" name="Build Cost" dataDxfId="1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B143187-25AE-4948-97C0-A8B578A3EEE2}" name="SAF_Blender" displayName="SAF_Blender" ref="A1:L1384" totalsRowShown="0" headerRowDxfId="17">
  <autoFilter ref="A1:L1384" xr:uid="{DB143187-25AE-4948-97C0-A8B578A3EEE2}">
    <filterColumn colId="0">
      <filters>
        <filter val="Idaho"/>
        <filter val="Oregon"/>
        <filter val="Washington"/>
      </filters>
    </filterColumn>
  </autoFilter>
  <sortState xmlns:xlrd2="http://schemas.microsoft.com/office/spreadsheetml/2017/richdata2" ref="A2:L1384">
    <sortCondition ref="A1:A1384"/>
  </sortState>
  <tableColumns count="12">
    <tableColumn id="4" xr3:uid="{AF075D1C-2F2F-4AF7-B639-A7524996037F}" name="State"/>
    <tableColumn id="5" xr3:uid="{BE80758C-FCD5-4493-8484-F0B6FF9CEF0E}" name="City"/>
    <tableColumn id="6" xr3:uid="{281C33D9-6EC8-41C1-9A1B-6304B417C086}" name="Terminal Name"/>
    <tableColumn id="7" xr3:uid="{43E2ED56-F108-40BC-8F3A-A463EC7D2B5E}" name="Filtered" dataDxfId="16">
      <calculatedColumnFormula>SIGN(SUBTOTAL(3,E2))</calculatedColumnFormula>
    </tableColumn>
    <tableColumn id="1" xr3:uid="{8F4CA7CF-175D-42EE-912F-A3343BD2F54A}" name="Facility Type"/>
    <tableColumn id="2" xr3:uid="{301C892C-EB40-47A2-B3D5-911C60CC6DF0}" name="Facility Name"/>
    <tableColumn id="3" xr3:uid="{2EB001FD-DEA7-4EAC-BC7A-AFB7EEC57FAC}" name="Commodity or Process"/>
    <tableColumn id="12" xr3:uid="{4EEFF113-5617-410E-9CF5-C278E3E8F699}" name="Max Amount"/>
    <tableColumn id="13" xr3:uid="{022935DB-FAA2-4E69-97A9-EE5D40A5D6BB}" name="Units"/>
    <tableColumn id="14" xr3:uid="{E42BAD2F-5C1D-40B9-92A4-A1EF5CD2E61F}" name="Min Amount"/>
    <tableColumn id="15" xr3:uid="{251FB7A8-F1CB-4DCF-B752-88EC83EC719E}" name="Min Aggregation"/>
    <tableColumn id="16" xr3:uid="{D98F917B-843B-425F-893F-78E2614A273B}" name="Build Cos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FD4ECEF-426D-43ED-AA6D-E65F18C0C057}" name="SAF_Airport" displayName="SAF_Airport" ref="A1:M126" totalsRowShown="0" headerRowDxfId="15" dataDxfId="14" tableBorderDxfId="13">
  <autoFilter ref="A1:M126" xr:uid="{5FD4ECEF-426D-43ED-AA6D-E65F18C0C057}">
    <filterColumn colId="0">
      <filters>
        <filter val="Washington"/>
      </filters>
    </filterColumn>
    <filterColumn colId="2">
      <filters>
        <filter val="SEA"/>
      </filters>
    </filterColumn>
    <filterColumn colId="3">
      <filters>
        <filter val="Large"/>
      </filters>
    </filterColumn>
  </autoFilter>
  <sortState xmlns:xlrd2="http://schemas.microsoft.com/office/spreadsheetml/2017/richdata2" ref="A2:M126">
    <sortCondition ref="C1:C126"/>
  </sortState>
  <tableColumns count="13">
    <tableColumn id="6" xr3:uid="{C3EB52C7-B0A3-4D7D-BB74-97CFED6A58BB}" name="State" dataDxfId="12"/>
    <tableColumn id="7" xr3:uid="{B0F370CB-8F32-494C-B0BB-18880967C0D1}" name="City" dataDxfId="11"/>
    <tableColumn id="8" xr3:uid="{923F2B00-E9B1-4DBD-8747-063BD7200831}" name="Airport Code" dataDxfId="10"/>
    <tableColumn id="9" xr3:uid="{438B43BA-5DA5-472D-89FE-5C8FFD7A3323}" name="FAA Hub Size" dataDxfId="9"/>
    <tableColumn id="13" xr3:uid="{25EAAC70-5C58-4E20-978E-0C7DDA376B28}" name="Filtered" dataDxfId="8">
      <calculatedColumnFormula>SIGN(SUBTOTAL(3,F2))</calculatedColumnFormula>
    </tableColumn>
    <tableColumn id="12" xr3:uid="{0B42B1F3-A0EA-4126-8C9E-CE7F4C4B5B54}" name="Facility Type" dataDxfId="7"/>
    <tableColumn id="11" xr3:uid="{784D6863-3A58-4604-9840-9C9668E05F49}" name="Facility Name" dataDxfId="6"/>
    <tableColumn id="3" xr3:uid="{1D700EF2-B69A-4A18-BFF6-3A1152C9AA96}" name="Commodity or Process" dataDxfId="5"/>
    <tableColumn id="4" xr3:uid="{1B124639-179D-452C-A2C1-4E118B54370E}" name="Max Amount" dataDxfId="4"/>
    <tableColumn id="5" xr3:uid="{5A80F865-1A61-4367-945A-FCE63DCDA4BA}" name="Units" dataDxfId="3"/>
    <tableColumn id="14" xr3:uid="{7995B76D-8B4B-4F05-921A-F41E412E6555}" name="Min Amount" dataDxfId="2"/>
    <tableColumn id="15" xr3:uid="{A1E2FDF3-1E5D-4F27-997E-0C41EB8A7F87}" name="Min Aggregation" dataDxfId="1"/>
    <tableColumn id="16" xr3:uid="{8067620E-933C-422D-9C4D-8FBC3F81F677}" name="Build Cost"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5-02-11T18:16:53.85" personId="{A5E22322-EBCC-441B-889E-9DA3C1077A24}" id="{F7F9EF87-E403-40C0-AEDA-AFB1A1BB2FEE}">
    <text>From “Yield (gallon SAF/ton feedstock)” for solids feedstocks or “Yield (gallon SAF/gallon feedstock)”column for liquid feedstocks in SAF_Data_Tables.xlsx</text>
  </threadedComment>
  <threadedComment ref="O1" dT="2025-02-11T18:17:06.72" personId="{A5E22322-EBCC-441B-889E-9DA3C1077A24}" id="{91CB5016-A55C-478C-BDB6-7700A6C527C6}">
    <text>From “Input Capacity in ton/yr” column for solid feedstocks and “Input Capacity in gal/yr” for liquid feedstocks in SAF_Data_Tables.xlsx</text>
  </threadedComment>
  <threadedComment ref="S1" dT="2025-02-11T18:17:17.51" personId="{A5E22322-EBCC-441B-889E-9DA3C1077A24}" id="{DEA53BCE-85F8-474D-A054-C96144F76989}">
    <text>“Amortized cost (30yr, 6%)” column in SAF_Data_Tables.xlsx</text>
  </threadedComment>
</ThreadedComments>
</file>

<file path=xl/threadedComments/threadedComment2.xml><?xml version="1.0" encoding="utf-8"?>
<ThreadedComments xmlns="http://schemas.microsoft.com/office/spreadsheetml/2018/threadedcomments" xmlns:x="http://schemas.openxmlformats.org/spreadsheetml/2006/main">
  <threadedComment ref="AU3" dT="2025-01-02T21:24:21.04" personId="{A5E22322-EBCC-441B-889E-9DA3C1077A24}" id="{181513DB-41F3-4278-80EB-85B3AD598965}">
    <text>Bring over UDP and Access cost</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tlas.eia.gov/datasets/eia::petroleum-product-terminals-1/about" TargetMode="External"/><Relationship Id="rId3" Type="http://schemas.openxmlformats.org/officeDocument/2006/relationships/hyperlink" Target="https://bioenergykdf.ornl.gov/document/2023-billion-ton-report" TargetMode="External"/><Relationship Id="rId7" Type="http://schemas.openxmlformats.org/officeDocument/2006/relationships/hyperlink" Target="https://biositing.jbei.org/national" TargetMode="External"/><Relationship Id="rId12" Type="http://schemas.openxmlformats.org/officeDocument/2006/relationships/drawing" Target="../drawings/drawing1.xml"/><Relationship Id="rId2" Type="http://schemas.openxmlformats.org/officeDocument/2006/relationships/hyperlink" Target="https://volpeusdot.github.io/FTOT-Public/" TargetMode="External"/><Relationship Id="rId1" Type="http://schemas.openxmlformats.org/officeDocument/2006/relationships/hyperlink" Target="https://github.com/VolpeUSDOT/FTOT-Public" TargetMode="External"/><Relationship Id="rId6" Type="http://schemas.openxmlformats.org/officeDocument/2006/relationships/hyperlink" Target="https://www.nrel.gov/docs/fy24osti/87803.pdf" TargetMode="External"/><Relationship Id="rId11" Type="http://schemas.openxmlformats.org/officeDocument/2006/relationships/printerSettings" Target="../printerSettings/printerSettings1.bin"/><Relationship Id="rId5" Type="http://schemas.openxmlformats.org/officeDocument/2006/relationships/hyperlink" Target="https://www.icao.int/environmental-protection/Pages/SAF_RULESOFTHUMB.aspx" TargetMode="External"/><Relationship Id="rId10" Type="http://schemas.openxmlformats.org/officeDocument/2006/relationships/hyperlink" Target="https://biositing.jbei.org/data_downloads" TargetMode="External"/><Relationship Id="rId4" Type="http://schemas.openxmlformats.org/officeDocument/2006/relationships/hyperlink" Target="https://biositing.jbei.org/national" TargetMode="External"/><Relationship Id="rId9" Type="http://schemas.openxmlformats.org/officeDocument/2006/relationships/hyperlink" Target="https://www.airlines.org/"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energy.gov/sites/default/files/2024-03/beto-2023-billion-ton-report_2.pdf" TargetMode="Externa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8.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6DAA3-80DD-4114-977F-03283E9B7DBD}">
  <dimension ref="A1:J64"/>
  <sheetViews>
    <sheetView tabSelected="1" zoomScale="110" zoomScaleNormal="110" workbookViewId="0"/>
  </sheetViews>
  <sheetFormatPr defaultRowHeight="14.5" x14ac:dyDescent="0.35"/>
  <cols>
    <col min="1" max="1" width="119.453125" style="4" customWidth="1"/>
    <col min="2" max="2" width="42.54296875" customWidth="1"/>
  </cols>
  <sheetData>
    <row r="1" spans="1:10" s="18" customFormat="1" ht="93" x14ac:dyDescent="0.35">
      <c r="A1" s="16" t="s">
        <v>316</v>
      </c>
      <c r="B1" s="17"/>
      <c r="C1" s="17"/>
      <c r="D1" s="17"/>
      <c r="E1" s="17"/>
      <c r="F1" s="17"/>
      <c r="G1" s="17"/>
      <c r="H1" s="17"/>
      <c r="I1" s="17"/>
      <c r="J1" s="17"/>
    </row>
    <row r="2" spans="1:10" ht="57" customHeight="1" x14ac:dyDescent="0.35">
      <c r="A2" s="13" t="s">
        <v>215</v>
      </c>
      <c r="B2" s="7"/>
      <c r="C2" s="137"/>
      <c r="D2" s="7"/>
      <c r="E2" s="7"/>
      <c r="F2" s="7"/>
      <c r="G2" s="7"/>
      <c r="H2" s="7"/>
      <c r="I2" s="7"/>
      <c r="J2" s="7"/>
    </row>
    <row r="3" spans="1:10" ht="60" customHeight="1" x14ac:dyDescent="0.35">
      <c r="A3" s="13" t="s">
        <v>1645</v>
      </c>
      <c r="B3" s="7"/>
      <c r="C3" s="7"/>
      <c r="D3" s="7"/>
      <c r="E3" s="7"/>
      <c r="F3" s="7"/>
      <c r="G3" s="7"/>
      <c r="H3" s="7"/>
      <c r="I3" s="7"/>
      <c r="J3" s="7"/>
    </row>
    <row r="4" spans="1:10" ht="97" customHeight="1" x14ac:dyDescent="0.35">
      <c r="A4" s="13"/>
      <c r="B4" s="7"/>
      <c r="C4" s="7"/>
      <c r="D4" s="7"/>
      <c r="E4" s="7"/>
      <c r="F4" s="7"/>
      <c r="G4" s="7"/>
      <c r="H4" s="7"/>
      <c r="I4" s="7"/>
      <c r="J4" s="7"/>
    </row>
    <row r="5" spans="1:10" ht="70" customHeight="1" x14ac:dyDescent="0.35">
      <c r="A5" s="13" t="s">
        <v>1701</v>
      </c>
      <c r="B5" s="7"/>
      <c r="C5" s="7"/>
      <c r="D5" s="7"/>
      <c r="E5" s="7"/>
      <c r="F5" s="7"/>
      <c r="G5" s="7"/>
      <c r="H5" s="7"/>
      <c r="I5" s="7"/>
      <c r="J5" s="7"/>
    </row>
    <row r="6" spans="1:10" ht="60" customHeight="1" x14ac:dyDescent="0.35">
      <c r="A6" s="14" t="s">
        <v>1634</v>
      </c>
      <c r="B6" s="7"/>
      <c r="C6" s="7"/>
      <c r="D6" s="7"/>
      <c r="E6" s="7"/>
      <c r="F6" s="7"/>
      <c r="G6" s="7"/>
      <c r="H6" s="7"/>
      <c r="I6" s="7"/>
      <c r="J6" s="7"/>
    </row>
    <row r="7" spans="1:10" x14ac:dyDescent="0.35">
      <c r="A7" s="10"/>
      <c r="B7" s="7"/>
      <c r="C7" s="7"/>
      <c r="D7" s="7"/>
      <c r="E7" s="7"/>
      <c r="F7" s="7"/>
      <c r="G7" s="7"/>
      <c r="H7" s="7"/>
      <c r="I7" s="7"/>
      <c r="J7" s="7"/>
    </row>
    <row r="8" spans="1:10" ht="26" x14ac:dyDescent="0.6">
      <c r="A8" s="19" t="s">
        <v>1640</v>
      </c>
      <c r="B8" s="7"/>
      <c r="C8" s="7"/>
      <c r="D8" s="7"/>
      <c r="E8" s="7"/>
      <c r="F8" s="7"/>
      <c r="G8" s="7"/>
      <c r="H8" s="7"/>
      <c r="I8" s="7"/>
      <c r="J8" s="7"/>
    </row>
    <row r="9" spans="1:10" ht="21" x14ac:dyDescent="0.5">
      <c r="A9" s="8"/>
      <c r="B9" s="7"/>
      <c r="C9" s="7"/>
      <c r="D9" s="7"/>
      <c r="E9" s="7"/>
      <c r="F9" s="7"/>
      <c r="G9" s="7"/>
      <c r="H9" s="7"/>
      <c r="I9" s="7"/>
      <c r="J9" s="7"/>
    </row>
    <row r="10" spans="1:10" ht="15.5" x14ac:dyDescent="0.35">
      <c r="A10" s="56" t="s">
        <v>195</v>
      </c>
      <c r="B10" s="7"/>
      <c r="C10" s="7"/>
      <c r="D10" s="7"/>
      <c r="E10" s="7"/>
      <c r="F10" s="7"/>
      <c r="G10" s="7"/>
      <c r="H10" s="7"/>
      <c r="I10" s="7"/>
      <c r="J10" s="7"/>
    </row>
    <row r="11" spans="1:10" x14ac:dyDescent="0.35">
      <c r="A11" s="9"/>
      <c r="B11" s="7"/>
      <c r="C11" s="7"/>
      <c r="D11" s="7"/>
      <c r="E11" s="7"/>
      <c r="F11" s="7"/>
      <c r="G11" s="7"/>
      <c r="H11" s="7"/>
      <c r="I11" s="7"/>
      <c r="J11" s="7"/>
    </row>
    <row r="12" spans="1:10" ht="15.5" x14ac:dyDescent="0.35">
      <c r="A12" s="57" t="s">
        <v>1635</v>
      </c>
      <c r="B12" s="7"/>
      <c r="C12" s="7"/>
      <c r="D12" s="7"/>
      <c r="E12" s="7"/>
      <c r="F12" s="7"/>
      <c r="G12" s="7"/>
      <c r="H12" s="7"/>
      <c r="I12" s="7"/>
      <c r="J12" s="7"/>
    </row>
    <row r="13" spans="1:10" ht="62.15" customHeight="1" x14ac:dyDescent="0.35">
      <c r="A13" s="32" t="s">
        <v>2850</v>
      </c>
      <c r="B13" s="7"/>
      <c r="C13" s="7"/>
      <c r="D13" s="7"/>
      <c r="E13" s="7"/>
      <c r="F13" s="7"/>
      <c r="G13" s="7"/>
      <c r="H13" s="7"/>
      <c r="I13" s="7"/>
      <c r="J13" s="7"/>
    </row>
    <row r="14" spans="1:10" ht="48.65" customHeight="1" x14ac:dyDescent="0.35">
      <c r="A14" s="32" t="s">
        <v>1636</v>
      </c>
      <c r="B14" s="7"/>
      <c r="C14" s="7"/>
      <c r="D14" s="7"/>
      <c r="E14" s="7"/>
      <c r="F14" s="7"/>
      <c r="G14" s="7"/>
      <c r="H14" s="7"/>
      <c r="I14" s="7"/>
      <c r="J14" s="7"/>
    </row>
    <row r="15" spans="1:10" ht="30" customHeight="1" x14ac:dyDescent="0.35">
      <c r="A15" s="32" t="s">
        <v>1637</v>
      </c>
      <c r="B15" s="7"/>
      <c r="C15" s="7"/>
      <c r="D15" s="7"/>
      <c r="E15" s="7"/>
      <c r="F15" s="7"/>
      <c r="G15" s="7"/>
      <c r="H15" s="7"/>
      <c r="I15" s="7"/>
      <c r="J15" s="7"/>
    </row>
    <row r="16" spans="1:10" ht="30" customHeight="1" x14ac:dyDescent="0.35">
      <c r="A16" s="32" t="s">
        <v>1638</v>
      </c>
      <c r="B16" s="7"/>
      <c r="C16" s="7"/>
      <c r="D16" s="7"/>
      <c r="E16" s="7"/>
      <c r="F16" s="7"/>
      <c r="G16" s="7"/>
      <c r="H16" s="7"/>
      <c r="I16" s="7"/>
      <c r="J16" s="7"/>
    </row>
    <row r="17" spans="1:10" x14ac:dyDescent="0.35">
      <c r="A17" s="9"/>
      <c r="B17" s="7"/>
      <c r="C17" s="7"/>
      <c r="D17" s="7"/>
      <c r="E17" s="7"/>
      <c r="F17" s="7"/>
      <c r="G17" s="7"/>
      <c r="H17" s="7"/>
      <c r="I17" s="7"/>
      <c r="J17" s="7"/>
    </row>
    <row r="18" spans="1:10" ht="15.5" x14ac:dyDescent="0.35">
      <c r="A18" s="57" t="s">
        <v>2846</v>
      </c>
      <c r="B18" s="7"/>
      <c r="C18" s="7"/>
      <c r="D18" s="7"/>
      <c r="E18" s="7"/>
      <c r="F18" s="7"/>
      <c r="G18" s="7"/>
      <c r="H18" s="7"/>
      <c r="I18" s="7"/>
      <c r="J18" s="7"/>
    </row>
    <row r="19" spans="1:10" ht="39.65" customHeight="1" x14ac:dyDescent="0.35">
      <c r="A19" s="32" t="s">
        <v>1639</v>
      </c>
      <c r="B19" s="7"/>
      <c r="C19" s="7"/>
      <c r="D19" s="7"/>
      <c r="E19" s="7"/>
      <c r="F19" s="7"/>
      <c r="G19" s="7"/>
      <c r="H19" s="7"/>
      <c r="I19" s="7"/>
      <c r="J19" s="7"/>
    </row>
    <row r="20" spans="1:10" ht="39" customHeight="1" x14ac:dyDescent="0.35">
      <c r="A20" s="32" t="s">
        <v>233</v>
      </c>
      <c r="B20" s="7"/>
      <c r="C20" s="7"/>
      <c r="D20" s="7"/>
      <c r="E20" s="7"/>
      <c r="F20" s="7"/>
      <c r="G20" s="7"/>
      <c r="H20" s="7"/>
      <c r="I20" s="7"/>
      <c r="J20" s="7"/>
    </row>
    <row r="21" spans="1:10" x14ac:dyDescent="0.35">
      <c r="A21" s="10"/>
      <c r="B21" s="7"/>
      <c r="C21" s="7"/>
      <c r="D21" s="7"/>
      <c r="E21" s="7"/>
      <c r="F21" s="7"/>
      <c r="G21" s="7"/>
      <c r="H21" s="7"/>
      <c r="I21" s="7"/>
      <c r="J21" s="7"/>
    </row>
    <row r="22" spans="1:10" ht="15.5" x14ac:dyDescent="0.35">
      <c r="A22" s="57" t="s">
        <v>2847</v>
      </c>
      <c r="B22" s="7"/>
      <c r="C22" s="7"/>
      <c r="D22" s="7"/>
      <c r="E22" s="7"/>
      <c r="F22" s="7"/>
      <c r="G22" s="7"/>
      <c r="H22" s="7"/>
      <c r="I22" s="7"/>
      <c r="J22" s="7"/>
    </row>
    <row r="23" spans="1:10" ht="43.5" x14ac:dyDescent="0.35">
      <c r="A23" s="152" t="s">
        <v>2845</v>
      </c>
      <c r="B23" s="7"/>
      <c r="C23" s="7"/>
      <c r="D23" s="7"/>
      <c r="E23" s="7"/>
      <c r="F23" s="7"/>
      <c r="G23" s="7"/>
      <c r="H23" s="7"/>
      <c r="I23" s="7"/>
      <c r="J23" s="7"/>
    </row>
    <row r="24" spans="1:10" x14ac:dyDescent="0.35">
      <c r="A24" s="10"/>
      <c r="B24" s="7"/>
      <c r="C24" s="7"/>
      <c r="D24" s="7"/>
      <c r="E24" s="7"/>
      <c r="F24" s="7"/>
      <c r="G24" s="7"/>
      <c r="H24" s="7"/>
      <c r="I24" s="7"/>
      <c r="J24" s="7"/>
    </row>
    <row r="25" spans="1:10" ht="15.5" x14ac:dyDescent="0.35">
      <c r="A25" s="11" t="s">
        <v>2848</v>
      </c>
      <c r="B25" s="7"/>
      <c r="C25" s="7"/>
      <c r="D25" s="7"/>
      <c r="E25" s="7"/>
      <c r="F25" s="7"/>
      <c r="G25" s="7"/>
      <c r="H25" s="7"/>
      <c r="I25" s="7"/>
      <c r="J25" s="7"/>
    </row>
    <row r="26" spans="1:10" x14ac:dyDescent="0.35">
      <c r="A26" s="10" t="s">
        <v>249</v>
      </c>
      <c r="B26" s="7"/>
      <c r="C26" s="7"/>
      <c r="D26" s="7"/>
      <c r="E26" s="7"/>
      <c r="F26" s="7"/>
      <c r="G26" s="7"/>
      <c r="H26" s="7"/>
      <c r="I26" s="7"/>
      <c r="J26" s="7"/>
    </row>
    <row r="27" spans="1:10" x14ac:dyDescent="0.35">
      <c r="A27" s="10" t="s">
        <v>235</v>
      </c>
      <c r="B27" s="7"/>
      <c r="C27" s="7"/>
      <c r="D27" s="7"/>
      <c r="E27" s="7"/>
      <c r="F27" s="7"/>
      <c r="G27" s="7"/>
      <c r="H27" s="7"/>
      <c r="I27" s="7"/>
      <c r="J27" s="7"/>
    </row>
    <row r="28" spans="1:10" x14ac:dyDescent="0.35">
      <c r="A28" s="10"/>
      <c r="B28" s="7"/>
      <c r="C28" s="7"/>
      <c r="D28" s="7"/>
      <c r="E28" s="7"/>
      <c r="F28" s="7"/>
      <c r="G28" s="7"/>
      <c r="H28" s="7"/>
      <c r="I28" s="7"/>
      <c r="J28" s="7"/>
    </row>
    <row r="29" spans="1:10" ht="15.5" x14ac:dyDescent="0.35">
      <c r="A29" s="11" t="s">
        <v>2849</v>
      </c>
      <c r="B29" s="7"/>
      <c r="C29" s="7"/>
      <c r="D29" s="7"/>
      <c r="E29" s="7"/>
      <c r="F29" s="7"/>
      <c r="G29" s="7"/>
      <c r="H29" s="7"/>
      <c r="I29" s="7"/>
      <c r="J29" s="7"/>
    </row>
    <row r="30" spans="1:10" x14ac:dyDescent="0.35">
      <c r="A30" s="10"/>
      <c r="B30" s="7"/>
      <c r="C30" s="7"/>
      <c r="D30" s="7"/>
      <c r="E30" s="7"/>
      <c r="F30" s="7"/>
      <c r="G30" s="7"/>
      <c r="H30" s="7"/>
      <c r="I30" s="7"/>
      <c r="J30" s="7"/>
    </row>
    <row r="31" spans="1:10" ht="26" x14ac:dyDescent="0.6">
      <c r="A31" s="19" t="s">
        <v>1646</v>
      </c>
      <c r="B31" s="7"/>
      <c r="C31" s="7"/>
      <c r="D31" s="7"/>
      <c r="E31" s="7"/>
      <c r="F31" s="7"/>
      <c r="G31" s="7"/>
      <c r="H31" s="7"/>
      <c r="I31" s="7"/>
      <c r="J31" s="7"/>
    </row>
    <row r="32" spans="1:10" x14ac:dyDescent="0.35">
      <c r="A32" s="10" t="s">
        <v>1657</v>
      </c>
      <c r="B32" s="7"/>
      <c r="C32" s="7"/>
      <c r="D32" s="7"/>
      <c r="E32" s="7"/>
      <c r="F32" s="7"/>
      <c r="G32" s="7"/>
      <c r="H32" s="7"/>
      <c r="I32" s="7"/>
      <c r="J32" s="7"/>
    </row>
    <row r="33" spans="1:10" x14ac:dyDescent="0.35">
      <c r="B33" s="7"/>
      <c r="C33" s="7"/>
      <c r="D33" s="7"/>
      <c r="E33" s="7"/>
      <c r="F33" s="7"/>
      <c r="G33" s="7"/>
      <c r="H33" s="7"/>
      <c r="I33" s="7"/>
      <c r="J33" s="7"/>
    </row>
    <row r="34" spans="1:10" x14ac:dyDescent="0.35">
      <c r="A34" s="9" t="s">
        <v>1647</v>
      </c>
      <c r="B34" s="7"/>
      <c r="C34" s="7"/>
      <c r="D34" s="7"/>
      <c r="E34" s="7"/>
      <c r="F34" s="7"/>
      <c r="G34" s="7"/>
      <c r="H34" s="7"/>
      <c r="I34" s="7"/>
      <c r="J34" s="7"/>
    </row>
    <row r="35" spans="1:10" x14ac:dyDescent="0.35">
      <c r="A35" s="138" t="s">
        <v>1648</v>
      </c>
      <c r="B35" s="7"/>
      <c r="C35" s="7"/>
      <c r="D35" s="7"/>
      <c r="E35" s="7"/>
      <c r="F35" s="7"/>
      <c r="G35" s="7"/>
      <c r="H35" s="7"/>
      <c r="I35" s="7"/>
      <c r="J35" s="7"/>
    </row>
    <row r="36" spans="1:10" x14ac:dyDescent="0.35">
      <c r="A36" s="138" t="s">
        <v>1654</v>
      </c>
      <c r="B36" s="7"/>
      <c r="C36" s="7"/>
      <c r="D36" s="7"/>
      <c r="E36" s="7"/>
      <c r="F36" s="7"/>
      <c r="G36" s="7"/>
      <c r="H36" s="7"/>
      <c r="I36" s="7"/>
      <c r="J36" s="7"/>
    </row>
    <row r="37" spans="1:10" x14ac:dyDescent="0.35">
      <c r="A37" s="150" t="s">
        <v>1696</v>
      </c>
      <c r="B37" s="7"/>
      <c r="C37" s="7"/>
      <c r="D37" s="7"/>
      <c r="E37" s="7"/>
      <c r="F37" s="7"/>
      <c r="G37" s="7"/>
      <c r="H37" s="7"/>
      <c r="I37" s="7"/>
      <c r="J37" s="7"/>
    </row>
    <row r="38" spans="1:10" x14ac:dyDescent="0.35">
      <c r="A38" s="10"/>
      <c r="B38" s="7"/>
      <c r="C38" s="7"/>
      <c r="D38" s="7"/>
      <c r="E38" s="7"/>
      <c r="F38" s="7"/>
      <c r="G38" s="7"/>
      <c r="H38" s="7"/>
      <c r="I38" s="7"/>
      <c r="J38" s="7"/>
    </row>
    <row r="39" spans="1:10" x14ac:dyDescent="0.35">
      <c r="A39" s="9" t="s">
        <v>1649</v>
      </c>
      <c r="B39" s="7"/>
      <c r="C39" s="7"/>
      <c r="D39" s="7"/>
      <c r="E39" s="7"/>
      <c r="F39" s="7"/>
      <c r="G39" s="7"/>
      <c r="H39" s="7"/>
      <c r="I39" s="7"/>
      <c r="J39" s="7"/>
    </row>
    <row r="40" spans="1:10" x14ac:dyDescent="0.35">
      <c r="A40" s="138" t="s">
        <v>1650</v>
      </c>
      <c r="B40" s="7"/>
      <c r="C40" s="7"/>
      <c r="D40" s="7"/>
      <c r="E40" s="7"/>
      <c r="F40" s="7"/>
      <c r="G40" s="7"/>
      <c r="H40" s="7"/>
      <c r="I40" s="7"/>
      <c r="J40" s="7"/>
    </row>
    <row r="41" spans="1:10" x14ac:dyDescent="0.35">
      <c r="A41" s="10"/>
      <c r="B41" s="7"/>
      <c r="C41" s="7"/>
      <c r="D41" s="7"/>
      <c r="E41" s="7"/>
      <c r="F41" s="7"/>
      <c r="G41" s="7"/>
      <c r="H41" s="7"/>
      <c r="I41" s="7"/>
      <c r="J41" s="7"/>
    </row>
    <row r="42" spans="1:10" x14ac:dyDescent="0.35">
      <c r="A42" s="9" t="s">
        <v>1603</v>
      </c>
      <c r="B42" s="7"/>
      <c r="C42" s="7"/>
      <c r="D42" s="7"/>
      <c r="E42" s="7"/>
      <c r="F42" s="7"/>
      <c r="G42" s="7"/>
      <c r="H42" s="7"/>
      <c r="I42" s="7"/>
      <c r="J42" s="7"/>
    </row>
    <row r="43" spans="1:10" x14ac:dyDescent="0.35">
      <c r="A43" s="150" t="s">
        <v>1651</v>
      </c>
      <c r="B43" s="7"/>
      <c r="C43" s="7"/>
      <c r="D43" s="7"/>
      <c r="E43" s="7"/>
      <c r="F43" s="7"/>
      <c r="G43" s="7"/>
      <c r="H43" s="7"/>
      <c r="I43" s="7"/>
      <c r="J43" s="7"/>
    </row>
    <row r="44" spans="1:10" x14ac:dyDescent="0.35">
      <c r="A44" s="150" t="s">
        <v>1655</v>
      </c>
      <c r="B44" s="7"/>
      <c r="C44" s="7"/>
      <c r="D44" s="7"/>
      <c r="E44" s="7"/>
      <c r="F44" s="7"/>
      <c r="G44" s="7"/>
      <c r="H44" s="7"/>
      <c r="I44" s="7"/>
      <c r="J44" s="7"/>
    </row>
    <row r="45" spans="1:10" x14ac:dyDescent="0.35">
      <c r="A45" s="10"/>
      <c r="B45" s="7"/>
      <c r="C45" s="7"/>
      <c r="D45" s="7"/>
      <c r="E45" s="7"/>
      <c r="F45" s="7"/>
      <c r="G45" s="7"/>
      <c r="H45" s="7"/>
      <c r="I45" s="7"/>
      <c r="J45" s="7"/>
    </row>
    <row r="46" spans="1:10" x14ac:dyDescent="0.35">
      <c r="A46" s="9" t="s">
        <v>1607</v>
      </c>
      <c r="B46" s="7"/>
      <c r="C46" s="7"/>
      <c r="D46" s="7"/>
      <c r="E46" s="7"/>
      <c r="F46" s="7"/>
      <c r="G46" s="7"/>
      <c r="H46" s="7"/>
      <c r="I46" s="7"/>
      <c r="J46" s="7"/>
    </row>
    <row r="47" spans="1:10" x14ac:dyDescent="0.35">
      <c r="A47" s="138" t="s">
        <v>1652</v>
      </c>
      <c r="B47" s="7"/>
      <c r="C47" s="7"/>
      <c r="D47" s="7"/>
      <c r="E47" s="7"/>
      <c r="F47" s="7"/>
      <c r="G47" s="7"/>
      <c r="H47" s="7"/>
      <c r="I47" s="7"/>
      <c r="J47" s="7"/>
    </row>
    <row r="48" spans="1:10" x14ac:dyDescent="0.35">
      <c r="A48" s="10"/>
      <c r="B48" s="7"/>
      <c r="C48" s="7"/>
      <c r="D48" s="7"/>
      <c r="E48" s="7"/>
      <c r="F48" s="7"/>
      <c r="G48" s="7"/>
      <c r="H48" s="7"/>
      <c r="I48" s="7"/>
      <c r="J48" s="7"/>
    </row>
    <row r="49" spans="1:10" x14ac:dyDescent="0.35">
      <c r="A49" s="9" t="s">
        <v>1653</v>
      </c>
      <c r="B49" s="7"/>
      <c r="C49" s="7"/>
      <c r="D49" s="7"/>
      <c r="E49" s="7"/>
      <c r="F49" s="7"/>
      <c r="G49" s="7"/>
      <c r="H49" s="7"/>
      <c r="I49" s="7"/>
      <c r="J49" s="7"/>
    </row>
    <row r="50" spans="1:10" x14ac:dyDescent="0.35">
      <c r="A50" s="138" t="s">
        <v>1656</v>
      </c>
      <c r="B50" s="7"/>
      <c r="C50" s="7"/>
      <c r="D50" s="7"/>
      <c r="E50" s="7"/>
      <c r="F50" s="7"/>
      <c r="G50" s="7"/>
      <c r="H50" s="7"/>
      <c r="I50" s="7"/>
      <c r="J50" s="7"/>
    </row>
    <row r="51" spans="1:10" ht="32" customHeight="1" x14ac:dyDescent="0.35">
      <c r="A51" s="153" t="s">
        <v>2867</v>
      </c>
      <c r="B51" s="7"/>
      <c r="C51" s="7"/>
      <c r="D51" s="7"/>
      <c r="E51" s="7"/>
      <c r="F51" s="7"/>
      <c r="G51" s="7"/>
      <c r="H51" s="7"/>
      <c r="I51" s="7"/>
      <c r="J51" s="7"/>
    </row>
    <row r="52" spans="1:10" x14ac:dyDescent="0.35">
      <c r="A52" s="10"/>
      <c r="B52" s="7"/>
      <c r="C52" s="7"/>
      <c r="D52" s="7"/>
      <c r="E52" s="7"/>
      <c r="F52" s="7"/>
      <c r="G52" s="7"/>
      <c r="H52" s="7"/>
      <c r="I52" s="7"/>
      <c r="J52" s="7"/>
    </row>
    <row r="53" spans="1:10" ht="29" x14ac:dyDescent="0.35">
      <c r="A53" s="12" t="s">
        <v>250</v>
      </c>
      <c r="B53" s="7"/>
      <c r="C53" s="7"/>
      <c r="D53" s="7"/>
      <c r="E53" s="7"/>
      <c r="F53" s="7"/>
      <c r="G53" s="7"/>
      <c r="H53" s="7"/>
      <c r="I53" s="7"/>
      <c r="J53" s="7"/>
    </row>
    <row r="54" spans="1:10" x14ac:dyDescent="0.35">
      <c r="A54" s="10"/>
      <c r="B54" s="7"/>
      <c r="C54" s="7"/>
      <c r="D54" s="7"/>
      <c r="E54" s="7"/>
      <c r="F54" s="7"/>
      <c r="G54" s="7"/>
      <c r="H54" s="7"/>
      <c r="I54" s="7"/>
      <c r="J54" s="7"/>
    </row>
    <row r="55" spans="1:10" x14ac:dyDescent="0.35">
      <c r="A55" s="12" t="s">
        <v>212</v>
      </c>
      <c r="B55" s="7"/>
      <c r="C55" s="7"/>
      <c r="D55" s="7"/>
      <c r="E55" s="7"/>
      <c r="F55" s="7"/>
      <c r="G55" s="7"/>
      <c r="H55" s="7"/>
      <c r="I55" s="7"/>
      <c r="J55" s="7"/>
    </row>
    <row r="56" spans="1:10" x14ac:dyDescent="0.35">
      <c r="A56" s="15" t="s">
        <v>214</v>
      </c>
      <c r="B56" s="7"/>
      <c r="C56" s="7"/>
      <c r="D56" s="7"/>
      <c r="E56" s="7"/>
      <c r="F56" s="7"/>
      <c r="G56" s="7"/>
      <c r="H56" s="7"/>
      <c r="I56" s="7"/>
      <c r="J56" s="7"/>
    </row>
    <row r="57" spans="1:10" x14ac:dyDescent="0.35">
      <c r="A57" s="15" t="s">
        <v>213</v>
      </c>
      <c r="B57" s="7"/>
      <c r="C57" s="7"/>
      <c r="D57" s="7"/>
      <c r="E57" s="7"/>
      <c r="F57" s="7"/>
      <c r="G57" s="7"/>
      <c r="H57" s="7"/>
      <c r="I57" s="7"/>
      <c r="J57" s="7"/>
    </row>
    <row r="58" spans="1:10" x14ac:dyDescent="0.35">
      <c r="A58" s="10"/>
      <c r="B58" s="7"/>
      <c r="C58" s="7"/>
      <c r="D58" s="7"/>
      <c r="E58" s="7"/>
      <c r="F58" s="7"/>
      <c r="G58" s="7"/>
      <c r="H58" s="7"/>
      <c r="I58" s="7"/>
      <c r="J58" s="7"/>
    </row>
    <row r="59" spans="1:10" x14ac:dyDescent="0.35">
      <c r="A59" s="10"/>
      <c r="B59" s="7"/>
      <c r="C59" s="7"/>
      <c r="D59" s="7"/>
      <c r="E59" s="7"/>
      <c r="F59" s="7"/>
      <c r="G59" s="7"/>
      <c r="H59" s="7"/>
      <c r="I59" s="7"/>
      <c r="J59" s="7"/>
    </row>
    <row r="60" spans="1:10" x14ac:dyDescent="0.35">
      <c r="A60" s="10"/>
      <c r="B60" s="7"/>
      <c r="C60" s="7"/>
      <c r="D60" s="7"/>
      <c r="E60" s="7"/>
      <c r="F60" s="7"/>
      <c r="G60" s="7"/>
      <c r="H60" s="7"/>
      <c r="I60" s="7"/>
      <c r="J60" s="7"/>
    </row>
    <row r="61" spans="1:10" x14ac:dyDescent="0.35">
      <c r="A61" s="10"/>
      <c r="B61" s="7"/>
      <c r="C61" s="7"/>
      <c r="D61" s="7"/>
      <c r="E61" s="7"/>
      <c r="F61" s="7"/>
      <c r="G61" s="7"/>
      <c r="H61" s="7"/>
      <c r="I61" s="7"/>
      <c r="J61" s="7"/>
    </row>
    <row r="62" spans="1:10" x14ac:dyDescent="0.35">
      <c r="A62" s="10"/>
      <c r="B62" s="7"/>
      <c r="C62" s="7"/>
      <c r="D62" s="7"/>
      <c r="E62" s="7"/>
      <c r="F62" s="7"/>
      <c r="G62" s="7"/>
      <c r="H62" s="7"/>
      <c r="I62" s="7"/>
      <c r="J62" s="7"/>
    </row>
    <row r="63" spans="1:10" x14ac:dyDescent="0.35">
      <c r="A63" s="10"/>
      <c r="B63" s="7"/>
      <c r="C63" s="7"/>
      <c r="D63" s="7"/>
      <c r="E63" s="7"/>
      <c r="F63" s="7"/>
      <c r="G63" s="7"/>
      <c r="H63" s="7"/>
      <c r="I63" s="7"/>
      <c r="J63" s="7"/>
    </row>
    <row r="64" spans="1:10" x14ac:dyDescent="0.35">
      <c r="A64" s="10"/>
      <c r="B64" s="7"/>
      <c r="C64" s="7"/>
      <c r="D64" s="7"/>
      <c r="E64" s="7"/>
      <c r="F64" s="7"/>
      <c r="G64" s="7"/>
      <c r="H64" s="7"/>
      <c r="I64" s="7"/>
      <c r="J64" s="7"/>
    </row>
  </sheetData>
  <hyperlinks>
    <hyperlink ref="A57" r:id="rId1" xr:uid="{121C179E-F1AC-4288-A4BD-10361F7BC67C}"/>
    <hyperlink ref="A56" r:id="rId2" xr:uid="{3DB22406-0DE4-4EDE-B0AD-74A8A5895490}"/>
    <hyperlink ref="A35" r:id="rId3" display="https://bioenergykdf.ornl.gov/document/2023-billion-ton-report" xr:uid="{8FF3BE90-CDBE-47C0-B408-E735F44F07C2}"/>
    <hyperlink ref="A36" r:id="rId4" display="https://biositing.jbei.org/national" xr:uid="{C7FC232F-FBA1-4E85-9C0E-EA3466633D83}"/>
    <hyperlink ref="A40" r:id="rId5" display="https://www.icao.int/environmental-protection/Pages/SAF_RULESOFTHUMB.aspx" xr:uid="{CD8AA926-8C63-4465-8680-AFD6311D8585}"/>
    <hyperlink ref="A43" r:id="rId6" display="https://www.nrel.gov/docs/fy24osti/87803.pdf" xr:uid="{5D1AF430-693B-425D-B4F2-88E8BCEA43C8}"/>
    <hyperlink ref="A44" r:id="rId7" display="https://biositing.jbei.org/national" xr:uid="{0706729C-AD3F-4FEC-A102-60C9B176E549}"/>
    <hyperlink ref="A47" r:id="rId8" display="https://atlas.eia.gov/datasets/eia::petroleum-product-terminals-1/about" xr:uid="{7D649D90-CD2D-4364-A069-7352803E4866}"/>
    <hyperlink ref="A50" r:id="rId9" display="https://www.airlines.org/" xr:uid="{39A8B519-6ECD-41C4-865C-5E145964E5A7}"/>
    <hyperlink ref="A37" r:id="rId10" xr:uid="{32DC3D3C-F593-4247-BFCB-238B149F0104}"/>
  </hyperlinks>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5F2E5-45DB-4D2D-B03D-E3B434EA97A0}">
  <sheetPr>
    <tabColor theme="9"/>
  </sheetPr>
  <dimension ref="A1:AD201"/>
  <sheetViews>
    <sheetView zoomScale="110" zoomScaleNormal="110" workbookViewId="0"/>
  </sheetViews>
  <sheetFormatPr defaultRowHeight="14.5" x14ac:dyDescent="0.35"/>
  <cols>
    <col min="3" max="3" width="8" customWidth="1"/>
    <col min="4" max="4" width="19.1796875" customWidth="1"/>
    <col min="5" max="5" width="6.54296875" customWidth="1"/>
    <col min="8" max="8" width="10.1796875" customWidth="1"/>
    <col min="9" max="9" width="6.54296875" customWidth="1"/>
    <col min="10" max="10" width="15.1796875" customWidth="1"/>
    <col min="12" max="13" width="6.54296875" customWidth="1"/>
    <col min="18" max="18" width="11.1796875" customWidth="1"/>
    <col min="19" max="19" width="14.1796875" customWidth="1"/>
    <col min="20" max="20" width="22.1796875" customWidth="1"/>
    <col min="21" max="21" width="18.54296875" customWidth="1"/>
    <col min="24" max="24" width="21" customWidth="1"/>
    <col min="26" max="26" width="28.81640625" customWidth="1"/>
    <col min="27" max="27" width="13.453125" bestFit="1" customWidth="1"/>
    <col min="29" max="29" width="8.1796875" bestFit="1" customWidth="1"/>
    <col min="30" max="30" width="15" bestFit="1" customWidth="1"/>
    <col min="31" max="31" width="12.453125" bestFit="1" customWidth="1"/>
    <col min="33" max="33" width="15" bestFit="1" customWidth="1"/>
    <col min="34" max="34" width="12.453125" bestFit="1" customWidth="1"/>
  </cols>
  <sheetData>
    <row r="1" spans="1:30" x14ac:dyDescent="0.35">
      <c r="A1" s="7"/>
      <c r="B1" s="7"/>
      <c r="C1" s="7"/>
      <c r="D1" s="7"/>
      <c r="E1" s="7"/>
      <c r="F1" s="7"/>
      <c r="G1" s="7"/>
      <c r="H1" s="7"/>
      <c r="I1" s="7"/>
      <c r="J1" s="7"/>
      <c r="K1" s="7"/>
      <c r="L1" s="7"/>
      <c r="M1" s="7"/>
      <c r="N1" s="7"/>
      <c r="O1" s="7"/>
      <c r="P1" s="7"/>
      <c r="Q1" s="7"/>
      <c r="R1" s="7"/>
      <c r="S1" s="7"/>
      <c r="T1" s="7"/>
      <c r="U1" s="7"/>
      <c r="V1" s="7"/>
      <c r="W1" s="7"/>
      <c r="X1" s="7"/>
      <c r="Y1" s="7"/>
      <c r="Z1" s="7"/>
    </row>
    <row r="2" spans="1:30" s="30" customFormat="1" ht="30" customHeight="1" x14ac:dyDescent="0.35">
      <c r="B2" s="92" t="s">
        <v>1585</v>
      </c>
      <c r="C2" s="91"/>
      <c r="D2" s="91"/>
      <c r="E2" s="91"/>
      <c r="F2" s="91"/>
      <c r="G2" s="91"/>
      <c r="H2" s="91"/>
      <c r="I2" s="91"/>
      <c r="J2" s="91"/>
      <c r="K2" s="91"/>
      <c r="L2" s="91"/>
      <c r="M2" s="91"/>
      <c r="N2" s="91"/>
      <c r="O2" s="91"/>
      <c r="P2" s="91"/>
      <c r="Q2" s="91"/>
      <c r="R2" s="91"/>
      <c r="S2" s="91"/>
      <c r="T2" s="91"/>
      <c r="U2" s="91"/>
      <c r="V2" s="21"/>
      <c r="W2" s="21"/>
      <c r="X2" s="21"/>
      <c r="Y2" s="21"/>
      <c r="Z2" s="21"/>
    </row>
    <row r="3" spans="1:30" ht="28.5" customHeight="1" x14ac:dyDescent="0.35">
      <c r="A3" s="7"/>
      <c r="B3" s="123" t="s">
        <v>1610</v>
      </c>
      <c r="C3" s="7"/>
      <c r="D3" s="7"/>
      <c r="E3" s="7"/>
      <c r="F3" s="7"/>
      <c r="G3" s="7"/>
      <c r="H3" s="7"/>
      <c r="I3" s="7"/>
      <c r="J3" s="7"/>
      <c r="K3" s="7"/>
      <c r="L3" s="7"/>
      <c r="M3" s="7"/>
      <c r="N3" s="7"/>
      <c r="O3" s="7"/>
      <c r="P3" s="7"/>
      <c r="Q3" s="7"/>
      <c r="R3" s="7"/>
      <c r="S3" s="7"/>
      <c r="T3" s="7"/>
      <c r="U3" s="7"/>
      <c r="V3" s="7"/>
      <c r="W3" s="7"/>
      <c r="X3" s="7"/>
      <c r="Y3" s="7"/>
      <c r="Z3" s="7"/>
      <c r="AA3" s="130"/>
    </row>
    <row r="4" spans="1:30" s="30" customFormat="1" ht="25" customHeight="1" x14ac:dyDescent="0.35">
      <c r="B4" s="84" t="s">
        <v>1631</v>
      </c>
      <c r="C4" s="85"/>
      <c r="D4" s="86"/>
      <c r="F4" s="84" t="s">
        <v>1578</v>
      </c>
      <c r="G4" s="85"/>
      <c r="H4" s="86"/>
      <c r="J4" s="84" t="s">
        <v>1579</v>
      </c>
      <c r="K4" s="85"/>
      <c r="L4" s="86"/>
      <c r="N4" s="84" t="s">
        <v>1580</v>
      </c>
      <c r="O4" s="87"/>
      <c r="P4" s="87"/>
      <c r="Q4" s="88"/>
      <c r="S4" s="84" t="s">
        <v>1581</v>
      </c>
      <c r="T4" s="87"/>
      <c r="U4" s="88"/>
      <c r="V4" s="21"/>
      <c r="W4" s="21"/>
      <c r="X4" s="21"/>
      <c r="Y4" s="21"/>
      <c r="Z4" s="7"/>
      <c r="AA4"/>
      <c r="AB4"/>
      <c r="AC4"/>
      <c r="AD4"/>
    </row>
    <row r="5" spans="1:30" x14ac:dyDescent="0.35">
      <c r="A5" s="7"/>
      <c r="B5" s="93" t="s">
        <v>315</v>
      </c>
      <c r="C5" s="7"/>
      <c r="D5" s="7"/>
      <c r="E5" s="7"/>
      <c r="F5" s="93" t="s">
        <v>1702</v>
      </c>
      <c r="G5" s="7"/>
      <c r="H5" s="7"/>
      <c r="I5" s="7"/>
      <c r="J5" s="93" t="s">
        <v>315</v>
      </c>
      <c r="K5" s="7"/>
      <c r="L5" s="7"/>
      <c r="M5" s="7"/>
      <c r="N5" s="93" t="s">
        <v>1702</v>
      </c>
      <c r="O5" s="7"/>
      <c r="P5" s="7"/>
      <c r="Q5" s="7"/>
      <c r="R5" s="7"/>
      <c r="S5" s="7"/>
      <c r="T5" s="7"/>
      <c r="U5" s="7"/>
      <c r="V5" s="7"/>
      <c r="W5" s="7"/>
      <c r="X5" s="7"/>
      <c r="Y5" s="7"/>
      <c r="Z5" s="7"/>
    </row>
    <row r="6" spans="1:30" x14ac:dyDescent="0.35">
      <c r="A6" s="7"/>
      <c r="B6" s="7"/>
      <c r="C6" s="7"/>
      <c r="D6" s="7"/>
      <c r="E6" s="7"/>
      <c r="F6" s="7"/>
      <c r="G6" s="7"/>
      <c r="H6" s="7"/>
      <c r="I6" s="7"/>
      <c r="J6" s="7"/>
      <c r="K6" s="7"/>
      <c r="L6" s="7"/>
      <c r="M6" s="7"/>
      <c r="N6" s="7"/>
      <c r="O6" s="7"/>
      <c r="P6" s="7"/>
      <c r="Q6" s="7"/>
      <c r="R6" s="7"/>
      <c r="S6" s="7" t="s">
        <v>1582</v>
      </c>
      <c r="T6" s="7"/>
      <c r="U6" s="7"/>
      <c r="V6" s="7"/>
      <c r="W6" s="7"/>
      <c r="X6" s="7"/>
      <c r="Y6" s="7"/>
      <c r="Z6" s="7"/>
    </row>
    <row r="7" spans="1:30" x14ac:dyDescent="0.35">
      <c r="A7" s="7"/>
      <c r="B7" s="7"/>
      <c r="C7" s="7"/>
      <c r="D7" s="7"/>
      <c r="E7" s="7"/>
      <c r="F7" s="7"/>
      <c r="G7" s="7"/>
      <c r="H7" s="7"/>
      <c r="I7" s="7"/>
      <c r="J7" s="7"/>
      <c r="K7" s="7"/>
      <c r="L7" s="7"/>
      <c r="M7" s="7"/>
      <c r="N7" s="7"/>
      <c r="O7" s="7"/>
      <c r="P7" s="7"/>
      <c r="Q7" s="7"/>
      <c r="R7" s="7"/>
      <c r="S7" s="7" t="s">
        <v>1622</v>
      </c>
      <c r="T7" s="7"/>
      <c r="U7" s="7"/>
      <c r="V7" s="7"/>
      <c r="W7" s="7"/>
      <c r="X7" s="7"/>
      <c r="Y7" s="7"/>
      <c r="Z7" s="7"/>
    </row>
    <row r="8" spans="1:30" ht="15" thickBot="1" x14ac:dyDescent="0.4">
      <c r="A8" s="7"/>
      <c r="B8" s="7"/>
      <c r="C8" s="7"/>
      <c r="D8" s="7"/>
      <c r="E8" s="7"/>
      <c r="F8" s="7"/>
      <c r="G8" s="7"/>
      <c r="H8" s="7"/>
      <c r="I8" s="7"/>
      <c r="J8" s="7"/>
      <c r="K8" s="7"/>
      <c r="L8" s="7"/>
      <c r="M8" s="7"/>
      <c r="N8" s="7"/>
      <c r="O8" s="7"/>
      <c r="P8" s="7"/>
      <c r="Q8" s="7"/>
      <c r="R8" s="7"/>
      <c r="S8" s="7"/>
      <c r="T8" s="7"/>
      <c r="U8" s="7"/>
      <c r="V8" s="7"/>
      <c r="W8" s="7"/>
      <c r="X8" s="7"/>
      <c r="Y8" s="7"/>
      <c r="Z8" s="7"/>
    </row>
    <row r="9" spans="1:30" ht="15" thickBot="1" x14ac:dyDescent="0.4">
      <c r="A9" s="7"/>
      <c r="B9" s="7"/>
      <c r="C9" s="7"/>
      <c r="D9" s="7"/>
      <c r="E9" s="7"/>
      <c r="F9" s="7"/>
      <c r="G9" s="7"/>
      <c r="H9" s="7"/>
      <c r="I9" s="7"/>
      <c r="J9" s="7"/>
      <c r="K9" s="7"/>
      <c r="L9" s="7"/>
      <c r="M9" s="7"/>
      <c r="N9" s="7"/>
      <c r="O9" s="7"/>
      <c r="P9" s="7"/>
      <c r="Q9" s="7"/>
      <c r="R9" s="7"/>
      <c r="S9" s="131">
        <v>1</v>
      </c>
      <c r="T9" s="7"/>
      <c r="U9" s="7"/>
      <c r="V9" s="7"/>
      <c r="W9" s="7"/>
      <c r="X9" s="7"/>
      <c r="Y9" s="7"/>
      <c r="Z9" s="7"/>
    </row>
    <row r="10" spans="1:30" x14ac:dyDescent="0.35">
      <c r="A10" s="7"/>
      <c r="B10" s="7"/>
      <c r="C10" s="7"/>
      <c r="D10" s="7"/>
      <c r="E10" s="7"/>
      <c r="F10" s="7"/>
      <c r="G10" s="7"/>
      <c r="H10" s="7"/>
      <c r="I10" s="7"/>
      <c r="J10" s="7"/>
      <c r="K10" s="7"/>
      <c r="L10" s="7"/>
      <c r="M10" s="7"/>
      <c r="N10" s="7"/>
      <c r="O10" s="7"/>
      <c r="P10" s="7"/>
      <c r="Q10" s="7"/>
      <c r="R10" s="7"/>
      <c r="T10" s="7"/>
      <c r="U10" s="7"/>
      <c r="V10" s="7"/>
      <c r="W10" s="7"/>
      <c r="X10" s="7"/>
      <c r="Y10" s="7"/>
      <c r="Z10" s="7"/>
    </row>
    <row r="11" spans="1:30" x14ac:dyDescent="0.35">
      <c r="R11" s="7"/>
      <c r="S11" s="7"/>
      <c r="T11" s="7"/>
      <c r="U11" s="7"/>
      <c r="V11" s="7"/>
      <c r="W11" s="7"/>
      <c r="X11" s="7"/>
      <c r="Y11" s="7"/>
      <c r="Z11" s="7"/>
    </row>
    <row r="12" spans="1:30" x14ac:dyDescent="0.3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30" ht="25" customHeight="1" x14ac:dyDescent="0.35">
      <c r="A13" s="7"/>
      <c r="B13" s="7"/>
      <c r="C13" s="7"/>
      <c r="D13" s="7"/>
      <c r="E13" s="7"/>
      <c r="F13" s="7"/>
      <c r="G13" s="7"/>
      <c r="H13" s="7"/>
      <c r="I13" s="7"/>
      <c r="J13" s="7"/>
      <c r="K13" s="7"/>
      <c r="L13" s="7"/>
      <c r="M13" s="7"/>
      <c r="N13" s="7"/>
      <c r="O13" s="7"/>
      <c r="P13" s="7"/>
      <c r="Q13" s="7"/>
      <c r="R13" s="7"/>
      <c r="S13" s="84" t="s">
        <v>1661</v>
      </c>
      <c r="T13" s="132"/>
      <c r="U13" s="133"/>
      <c r="V13" s="7"/>
      <c r="W13" s="7"/>
      <c r="X13" s="7"/>
      <c r="Y13" s="7"/>
      <c r="Z13" s="7"/>
    </row>
    <row r="14" spans="1:30"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30" x14ac:dyDescent="0.35">
      <c r="A15" s="7"/>
      <c r="B15" s="7"/>
      <c r="C15" s="7"/>
      <c r="D15" s="7"/>
      <c r="E15" s="7"/>
      <c r="F15" s="7"/>
      <c r="G15" s="7"/>
      <c r="H15" s="7"/>
      <c r="I15" s="7"/>
      <c r="J15" s="7"/>
      <c r="K15" s="7"/>
      <c r="L15" s="7"/>
      <c r="M15" s="7"/>
      <c r="N15" s="7"/>
      <c r="O15" s="7"/>
      <c r="P15" s="7"/>
      <c r="Q15" s="7"/>
      <c r="R15" s="7"/>
      <c r="S15" s="7" t="s">
        <v>1628</v>
      </c>
      <c r="T15" s="7"/>
      <c r="U15" s="7"/>
      <c r="V15" s="7"/>
      <c r="W15" s="7"/>
      <c r="X15" s="7"/>
      <c r="Y15" s="7"/>
      <c r="Z15" s="7"/>
    </row>
    <row r="16" spans="1:30" ht="29.15" customHeight="1" thickBot="1" x14ac:dyDescent="0.4">
      <c r="A16" s="7"/>
      <c r="B16" s="155" t="s">
        <v>1633</v>
      </c>
      <c r="C16" s="155"/>
      <c r="D16" s="155"/>
      <c r="E16" s="7"/>
      <c r="F16" s="7"/>
      <c r="G16" s="7"/>
      <c r="H16" s="7"/>
      <c r="I16" s="7"/>
      <c r="J16" s="7"/>
      <c r="K16" s="7"/>
      <c r="L16" s="7"/>
      <c r="M16" s="7"/>
      <c r="N16" s="7"/>
      <c r="O16" s="7"/>
      <c r="P16" s="7"/>
      <c r="Q16" s="7"/>
      <c r="R16" s="7"/>
      <c r="S16" s="141" t="s">
        <v>1629</v>
      </c>
      <c r="T16" s="7"/>
      <c r="U16" s="7"/>
      <c r="V16" s="7"/>
      <c r="W16" s="7"/>
      <c r="X16" s="7"/>
      <c r="Y16" s="7"/>
      <c r="Z16" s="7"/>
    </row>
    <row r="17" spans="1:26" ht="15" customHeight="1" thickBot="1" x14ac:dyDescent="0.4">
      <c r="A17" s="7"/>
      <c r="B17" s="154" t="s">
        <v>1632</v>
      </c>
      <c r="C17" s="154"/>
      <c r="D17" s="154"/>
      <c r="E17" s="7"/>
      <c r="F17" s="7"/>
      <c r="G17" s="7"/>
      <c r="H17" s="7"/>
      <c r="I17" s="7"/>
      <c r="J17" s="7"/>
      <c r="K17" s="7"/>
      <c r="L17" s="7"/>
      <c r="M17" s="7"/>
      <c r="N17" s="7"/>
      <c r="O17" s="7"/>
      <c r="P17" s="7"/>
      <c r="Q17" s="7"/>
      <c r="R17" s="7"/>
      <c r="S17" s="134">
        <v>500</v>
      </c>
      <c r="T17" s="7"/>
      <c r="U17" s="7"/>
      <c r="V17" s="7"/>
      <c r="W17" s="7"/>
      <c r="X17" s="7"/>
      <c r="Y17" s="7"/>
      <c r="Z17" s="7"/>
    </row>
    <row r="18" spans="1:26" ht="15" customHeight="1" x14ac:dyDescent="0.35">
      <c r="A18" s="7"/>
      <c r="B18" s="7"/>
      <c r="C18" s="7"/>
      <c r="D18" s="7"/>
      <c r="E18" s="7"/>
      <c r="F18" s="7"/>
      <c r="G18" s="7"/>
      <c r="H18" s="7"/>
      <c r="I18" s="7"/>
      <c r="J18" s="7"/>
      <c r="K18" s="7"/>
      <c r="L18" s="7"/>
      <c r="M18" s="7"/>
      <c r="N18" s="7"/>
      <c r="O18" s="7"/>
      <c r="P18" s="7"/>
      <c r="Q18" s="7"/>
      <c r="R18" s="7"/>
      <c r="T18" s="127" t="str">
        <f>IF(ISERROR(_xlfn.NUMBERVALUE(S17)), "Error: Enter a number value","")</f>
        <v/>
      </c>
      <c r="U18" s="7"/>
      <c r="V18" s="7"/>
      <c r="W18" s="7"/>
      <c r="X18" s="7"/>
      <c r="Y18" s="7"/>
      <c r="Z18" s="7"/>
    </row>
    <row r="19" spans="1:26" ht="15" customHeight="1" x14ac:dyDescent="0.5">
      <c r="A19" s="7"/>
      <c r="B19" s="127" t="str" cm="1">
        <f t="array" ref="B19">IF(COUNTA(_xlfn.UNIQUE(_xlfn._xlws.FILTER(SAF_Scenario[Scenario], _xlfn.TOCOL(SAF_Scenario[Filtered])=1)))&lt;&gt;1,"Error: Select 1 item only","")</f>
        <v/>
      </c>
      <c r="C19" s="7"/>
      <c r="D19" s="7"/>
      <c r="E19" s="7"/>
      <c r="F19" s="7"/>
      <c r="G19" s="7"/>
      <c r="H19" s="7"/>
      <c r="I19" s="7"/>
      <c r="J19" s="7"/>
      <c r="K19" s="7"/>
      <c r="L19" s="7"/>
      <c r="M19" s="7"/>
      <c r="N19" s="7"/>
      <c r="O19" s="7"/>
      <c r="P19" s="7"/>
      <c r="Q19" s="7"/>
      <c r="R19" s="7"/>
      <c r="S19" s="95"/>
      <c r="T19" s="7"/>
      <c r="U19" s="7"/>
      <c r="V19" s="7"/>
      <c r="W19" s="7"/>
      <c r="X19" s="7"/>
      <c r="Y19" s="7"/>
      <c r="Z19" s="7"/>
    </row>
    <row r="20" spans="1:26" ht="21" x14ac:dyDescent="0.5">
      <c r="A20" s="7"/>
      <c r="B20" s="7"/>
      <c r="C20" s="7"/>
      <c r="D20" s="7"/>
      <c r="E20" s="7"/>
      <c r="F20" s="7"/>
      <c r="G20" s="7"/>
      <c r="H20" s="7"/>
      <c r="I20" s="7"/>
      <c r="J20" s="7"/>
      <c r="K20" s="7"/>
      <c r="L20" s="7"/>
      <c r="M20" s="7"/>
      <c r="N20" s="7"/>
      <c r="O20" s="7"/>
      <c r="P20" s="7"/>
      <c r="Q20" s="7"/>
      <c r="R20" s="7"/>
      <c r="S20" s="95" t="s">
        <v>1600</v>
      </c>
      <c r="T20" s="7"/>
      <c r="U20" s="7"/>
      <c r="V20" s="7"/>
      <c r="W20" s="7"/>
      <c r="X20" s="7"/>
      <c r="Y20" s="7"/>
      <c r="Z20" s="7"/>
    </row>
    <row r="21" spans="1:26"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5">
      <c r="A24" s="7"/>
      <c r="B24" s="7"/>
      <c r="C24" s="7"/>
      <c r="D24" s="7"/>
      <c r="E24" s="7"/>
      <c r="F24" s="7"/>
      <c r="G24" s="7"/>
      <c r="H24" s="7"/>
      <c r="I24" s="7"/>
      <c r="J24" s="127" t="str" cm="1">
        <f t="array" ref="J24">IF(COUNTA(_xlfn.UNIQUE(_xlfn._xlws.FILTER(SAF_Cand_Refinery[Commodity], _xlfn.TOCOL(SAF_Cand_Refinery[Filtered])=1)))&lt;&gt;1,"Error: Select 1 item only","")</f>
        <v/>
      </c>
      <c r="K24" s="7"/>
      <c r="L24" s="7"/>
      <c r="M24" s="7"/>
      <c r="N24" s="127" t="str">
        <f>IF(AND(Notes!AA2="Ethanol",Notes!CJ30=0),"Error: Selected states in (b) have zero ethanol biorefineries","")</f>
        <v/>
      </c>
      <c r="O24" s="7"/>
      <c r="P24" s="7"/>
      <c r="Q24" s="7"/>
      <c r="R24" s="7"/>
      <c r="S24" s="7"/>
      <c r="T24" s="7"/>
      <c r="U24" s="7"/>
      <c r="V24" s="7"/>
      <c r="W24" s="7"/>
      <c r="X24" s="7"/>
      <c r="Y24" s="7"/>
      <c r="Z24" s="7"/>
    </row>
    <row r="25" spans="1:26"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s="30" customFormat="1" ht="30" customHeight="1" x14ac:dyDescent="0.35">
      <c r="B27" s="92" t="s">
        <v>1588</v>
      </c>
      <c r="C27" s="91"/>
      <c r="D27" s="91"/>
      <c r="E27" s="91"/>
      <c r="F27" s="91"/>
      <c r="G27" s="91"/>
      <c r="H27" s="91"/>
      <c r="I27" s="91"/>
      <c r="J27" s="91"/>
      <c r="K27" s="91"/>
      <c r="L27" s="91"/>
      <c r="M27" s="91"/>
      <c r="N27" s="91"/>
      <c r="O27" s="91"/>
      <c r="P27" s="91"/>
      <c r="Q27" s="91"/>
      <c r="R27" s="91"/>
      <c r="S27" s="91"/>
      <c r="T27" s="91"/>
      <c r="U27" s="91"/>
      <c r="V27" s="21"/>
      <c r="W27" s="21"/>
      <c r="X27" s="21"/>
      <c r="Y27" s="21"/>
      <c r="Z27" s="21"/>
    </row>
    <row r="28" spans="1:26" x14ac:dyDescent="0.35">
      <c r="A28" s="7"/>
      <c r="B28" s="93" t="s">
        <v>1668</v>
      </c>
      <c r="C28" s="7"/>
      <c r="D28" s="7"/>
      <c r="E28" s="7"/>
      <c r="F28" s="7"/>
      <c r="G28" s="7"/>
      <c r="H28" s="7"/>
      <c r="I28" s="7"/>
      <c r="J28" s="7"/>
      <c r="K28" s="7"/>
      <c r="L28" s="7"/>
      <c r="M28" s="7"/>
      <c r="N28" s="7"/>
      <c r="O28" s="7"/>
      <c r="P28" s="7"/>
      <c r="Q28" s="7"/>
      <c r="R28" s="7"/>
      <c r="S28" s="7"/>
      <c r="T28" s="7"/>
      <c r="U28" s="7"/>
      <c r="V28" s="7"/>
      <c r="W28" s="7"/>
      <c r="X28" s="7"/>
      <c r="Y28" s="7"/>
      <c r="Z28" s="7"/>
    </row>
    <row r="29" spans="1:26" x14ac:dyDescent="0.35">
      <c r="A29" s="7"/>
      <c r="B29" s="93"/>
      <c r="C29" s="7"/>
      <c r="D29" s="7"/>
      <c r="E29" s="7"/>
      <c r="F29" s="7"/>
      <c r="G29" s="7"/>
      <c r="H29" s="7"/>
      <c r="I29" s="7"/>
      <c r="J29" s="7"/>
      <c r="K29" s="7"/>
      <c r="L29" s="7"/>
      <c r="M29" s="7"/>
      <c r="N29" s="7"/>
      <c r="O29" s="7"/>
      <c r="P29" s="7"/>
      <c r="Q29" s="7"/>
      <c r="R29" s="7"/>
      <c r="S29" s="7"/>
      <c r="T29" s="7"/>
      <c r="U29" s="7"/>
      <c r="V29" s="7"/>
      <c r="W29" s="7"/>
      <c r="X29" s="7"/>
      <c r="Y29" s="7"/>
      <c r="Z29" s="7"/>
    </row>
    <row r="30" spans="1:26" s="30" customFormat="1" ht="25" customHeight="1" x14ac:dyDescent="0.35">
      <c r="B30" s="84" t="s">
        <v>1630</v>
      </c>
      <c r="C30" s="85"/>
      <c r="D30" s="86"/>
      <c r="F30" s="84" t="s">
        <v>1583</v>
      </c>
      <c r="G30" s="87"/>
      <c r="H30" s="88"/>
      <c r="J30" s="84" t="s">
        <v>1659</v>
      </c>
      <c r="K30" s="87"/>
      <c r="L30" s="87"/>
      <c r="M30" s="87"/>
      <c r="N30" s="87"/>
      <c r="O30" s="88"/>
      <c r="Q30" s="84" t="s">
        <v>1667</v>
      </c>
      <c r="R30" s="139"/>
      <c r="S30" s="139"/>
      <c r="T30" s="140"/>
      <c r="V30" s="21"/>
      <c r="W30" s="21"/>
      <c r="X30" s="21"/>
      <c r="Y30" s="21"/>
      <c r="Z30" s="21"/>
    </row>
    <row r="31" spans="1:26" x14ac:dyDescent="0.35">
      <c r="A31" s="7"/>
      <c r="B31" s="93" t="s">
        <v>315</v>
      </c>
      <c r="C31" s="7"/>
      <c r="D31" s="7"/>
      <c r="E31" s="7"/>
      <c r="F31" s="93" t="s">
        <v>315</v>
      </c>
      <c r="G31" s="7"/>
      <c r="H31" s="7"/>
      <c r="I31" s="7"/>
      <c r="J31" s="7"/>
      <c r="K31" s="7"/>
      <c r="L31" s="7"/>
      <c r="M31" s="7"/>
      <c r="N31" s="7"/>
      <c r="O31" s="7"/>
      <c r="P31" s="7"/>
      <c r="Q31" s="93" t="s">
        <v>1703</v>
      </c>
      <c r="R31" s="93"/>
      <c r="S31" s="7"/>
      <c r="T31" s="7"/>
      <c r="U31" s="7"/>
      <c r="V31" s="7"/>
      <c r="W31" s="7"/>
      <c r="X31" s="7"/>
      <c r="Y31" s="7"/>
      <c r="Z31" s="7"/>
    </row>
    <row r="32" spans="1:26" x14ac:dyDescent="0.35">
      <c r="A32" s="7"/>
      <c r="B32" s="7"/>
      <c r="C32" s="7"/>
      <c r="D32" s="7"/>
      <c r="E32" s="7"/>
      <c r="F32" s="7"/>
      <c r="G32" s="7"/>
      <c r="H32" s="7"/>
      <c r="I32" s="7"/>
      <c r="J32" s="7" t="s">
        <v>1584</v>
      </c>
      <c r="K32" s="7"/>
      <c r="L32" s="7"/>
      <c r="M32" s="7"/>
      <c r="N32" s="7"/>
      <c r="O32" s="7"/>
      <c r="P32" s="7"/>
      <c r="Q32" s="7"/>
      <c r="R32" s="7"/>
      <c r="S32" s="7"/>
      <c r="T32" s="7"/>
      <c r="U32" s="7"/>
      <c r="V32" s="7"/>
      <c r="W32" s="7"/>
      <c r="X32" s="7"/>
      <c r="Y32" s="7"/>
      <c r="Z32" s="7"/>
    </row>
    <row r="33" spans="1:26" x14ac:dyDescent="0.35">
      <c r="A33" s="7"/>
      <c r="B33" s="7"/>
      <c r="C33" s="7"/>
      <c r="D33" s="7"/>
      <c r="E33" s="7"/>
      <c r="F33" s="7"/>
      <c r="G33" s="7"/>
      <c r="H33" s="7"/>
      <c r="I33" s="7"/>
      <c r="J33" s="1" t="s">
        <v>1665</v>
      </c>
      <c r="K33" s="7"/>
      <c r="L33" s="7"/>
      <c r="M33" s="7"/>
      <c r="N33" s="7"/>
      <c r="O33" s="7"/>
      <c r="P33" s="7"/>
      <c r="Q33" s="7"/>
      <c r="R33" s="7"/>
      <c r="S33" s="7"/>
      <c r="T33" s="7"/>
      <c r="U33" s="7"/>
      <c r="V33" s="7"/>
      <c r="W33" s="7"/>
      <c r="X33" s="7"/>
      <c r="Y33" s="7"/>
      <c r="Z33" s="7"/>
    </row>
    <row r="34" spans="1:26" x14ac:dyDescent="0.35">
      <c r="A34" s="7"/>
      <c r="B34" s="7"/>
      <c r="C34" s="7"/>
      <c r="D34" s="7"/>
      <c r="E34" s="7"/>
      <c r="F34" s="7"/>
      <c r="G34" s="7"/>
      <c r="H34" s="7"/>
      <c r="I34" s="7"/>
      <c r="J34" s="6" t="s">
        <v>1666</v>
      </c>
      <c r="K34" s="7"/>
      <c r="L34" s="7"/>
      <c r="M34" s="7"/>
      <c r="N34" s="7"/>
      <c r="O34" s="7"/>
      <c r="P34" s="7"/>
      <c r="Q34" s="7"/>
      <c r="R34" s="7"/>
      <c r="S34" s="7"/>
      <c r="T34" s="7"/>
      <c r="U34" s="7"/>
      <c r="V34" s="7"/>
      <c r="W34" s="7"/>
      <c r="X34" s="7"/>
      <c r="Y34" s="7"/>
      <c r="Z34" s="7"/>
    </row>
    <row r="35" spans="1:26" ht="15" customHeight="1" x14ac:dyDescent="0.5">
      <c r="A35" s="7"/>
      <c r="B35" s="7"/>
      <c r="C35" s="7"/>
      <c r="D35" s="7"/>
      <c r="E35" s="7"/>
      <c r="F35" s="7"/>
      <c r="G35" s="7"/>
      <c r="H35" s="7"/>
      <c r="I35" s="7"/>
      <c r="J35" s="7" t="s">
        <v>1660</v>
      </c>
      <c r="K35" s="7"/>
      <c r="L35" s="7"/>
      <c r="M35" s="7"/>
      <c r="N35" s="7"/>
      <c r="O35" s="7"/>
      <c r="P35" s="7"/>
      <c r="Q35" s="7"/>
      <c r="R35" s="7"/>
      <c r="S35" s="7"/>
      <c r="T35" s="95"/>
      <c r="U35" s="7"/>
      <c r="V35" s="7"/>
      <c r="W35" s="7"/>
      <c r="X35" s="7"/>
      <c r="Y35" s="7"/>
      <c r="Z35" s="7"/>
    </row>
    <row r="36" spans="1:26" ht="15" customHeight="1" thickBot="1" x14ac:dyDescent="0.55000000000000004">
      <c r="A36" s="7"/>
      <c r="B36" s="7"/>
      <c r="C36" s="7"/>
      <c r="D36" s="7"/>
      <c r="E36" s="7"/>
      <c r="F36" s="7"/>
      <c r="G36" s="7"/>
      <c r="H36" s="7"/>
      <c r="I36" s="7"/>
      <c r="J36" s="7"/>
      <c r="K36" s="7"/>
      <c r="L36" s="7"/>
      <c r="M36" s="7"/>
      <c r="N36" s="7"/>
      <c r="O36" s="7"/>
      <c r="P36" s="7"/>
      <c r="Q36" s="7"/>
      <c r="R36" s="103"/>
      <c r="S36" s="7"/>
      <c r="T36" s="7"/>
      <c r="U36" s="95"/>
      <c r="V36" s="7"/>
      <c r="W36" s="7"/>
      <c r="X36" s="7"/>
      <c r="Y36" s="7"/>
      <c r="Z36" s="7"/>
    </row>
    <row r="37" spans="1:26" ht="21.5" thickBot="1" x14ac:dyDescent="0.55000000000000004">
      <c r="A37" s="7"/>
      <c r="B37" s="7"/>
      <c r="C37" s="7"/>
      <c r="D37" s="7"/>
      <c r="E37" s="7"/>
      <c r="F37" s="127"/>
      <c r="G37" s="7"/>
      <c r="H37" s="7"/>
      <c r="I37" s="7"/>
      <c r="J37" s="83" t="s">
        <v>7</v>
      </c>
      <c r="K37" s="7"/>
      <c r="L37" s="7"/>
      <c r="M37" s="7"/>
      <c r="N37" s="7"/>
      <c r="O37" s="7"/>
      <c r="P37" s="7"/>
      <c r="Q37" s="7"/>
      <c r="R37" s="7"/>
      <c r="S37" s="7"/>
      <c r="T37" s="95" t="s">
        <v>1599</v>
      </c>
      <c r="U37" s="7"/>
      <c r="V37" s="7"/>
      <c r="W37" s="7"/>
      <c r="X37" s="7"/>
      <c r="Y37" s="7"/>
      <c r="Z37" s="7"/>
    </row>
    <row r="38" spans="1:26" ht="21" x14ac:dyDescent="0.5">
      <c r="A38" s="7"/>
      <c r="B38" s="7"/>
      <c r="C38" s="7"/>
      <c r="D38" s="7"/>
      <c r="E38" s="7"/>
      <c r="F38" s="127" t="str" cm="1">
        <f t="array" ref="F38">IF(COUNTA(_xlfn.UNIQUE(_xlfn._xlws.FILTER(SAF_Cand_Refinery[Nth/Pioneer], _xlfn.TOCOL(SAF_Cand_Refinery[Filtered])=1)))&lt;&gt;1,"Error: Select 1 item only","")</f>
        <v/>
      </c>
      <c r="G38" s="7"/>
      <c r="H38" s="7"/>
      <c r="I38" s="7"/>
      <c r="J38" s="7"/>
      <c r="K38" s="7"/>
      <c r="L38" s="7"/>
      <c r="M38" s="7"/>
      <c r="N38" s="7"/>
      <c r="O38" s="7"/>
      <c r="P38" s="7"/>
      <c r="Q38" s="7"/>
      <c r="R38" s="7"/>
      <c r="S38" s="7"/>
      <c r="T38" s="7"/>
      <c r="U38" s="95"/>
      <c r="V38" s="7"/>
      <c r="W38" s="7"/>
      <c r="X38" s="7"/>
      <c r="Y38" s="7"/>
      <c r="Z38" s="7"/>
    </row>
    <row r="39" spans="1:26" ht="21" x14ac:dyDescent="0.5">
      <c r="A39" s="7"/>
      <c r="B39" s="7"/>
      <c r="C39" s="7"/>
      <c r="D39" s="7"/>
      <c r="E39" s="7"/>
      <c r="F39" s="7"/>
      <c r="G39" s="7"/>
      <c r="H39" s="7"/>
      <c r="I39" s="7"/>
      <c r="J39" s="7"/>
      <c r="K39" s="7"/>
      <c r="L39" s="7"/>
      <c r="M39" s="7"/>
      <c r="N39" s="7"/>
      <c r="O39" s="7"/>
      <c r="P39" s="7"/>
      <c r="Q39" s="7"/>
      <c r="R39" s="95"/>
      <c r="S39" s="7"/>
      <c r="T39" s="7"/>
      <c r="U39" s="7"/>
      <c r="V39" s="7"/>
      <c r="W39" s="7"/>
      <c r="X39" s="7"/>
      <c r="Y39" s="7"/>
      <c r="Z39" s="7"/>
    </row>
    <row r="40" spans="1:26" x14ac:dyDescent="0.35">
      <c r="A40" s="7"/>
      <c r="B40" s="127" t="str" cm="1">
        <f t="array" ref="B40">IF(COUNTA(_xlfn.UNIQUE(_xlfn._xlws.FILTER(SAF_Cand_Refinery[Conversion Process], _xlfn.TOCOL(SAF_Cand_Refinery[Filtered])=1)))&lt;&gt;1,"Error: Select 1 item only","")</f>
        <v/>
      </c>
      <c r="C40" s="7"/>
      <c r="D40" s="7"/>
      <c r="E40" s="7"/>
      <c r="F40" s="7"/>
      <c r="G40" s="7"/>
      <c r="H40" s="7"/>
      <c r="I40" s="7"/>
      <c r="J40" s="7"/>
      <c r="K40" s="7"/>
      <c r="L40" s="7"/>
      <c r="M40" s="7"/>
      <c r="N40" s="7"/>
      <c r="O40" s="7"/>
      <c r="P40" s="7"/>
      <c r="Q40" s="7"/>
      <c r="R40" s="7"/>
      <c r="S40" s="7"/>
      <c r="T40" s="7"/>
      <c r="U40" s="7"/>
      <c r="V40" s="7"/>
      <c r="W40" s="7"/>
      <c r="X40" s="7"/>
      <c r="Y40" s="7"/>
      <c r="Z40" s="7"/>
    </row>
    <row r="41" spans="1:26" x14ac:dyDescent="0.35">
      <c r="A41" s="7"/>
      <c r="B41" s="127"/>
      <c r="C41" s="7"/>
      <c r="D41" s="7"/>
      <c r="E41" s="7"/>
      <c r="G41" s="7"/>
      <c r="H41" s="7"/>
      <c r="I41" s="7"/>
      <c r="J41" s="7"/>
      <c r="K41" s="7"/>
      <c r="L41" s="7"/>
      <c r="M41" s="7"/>
      <c r="N41" s="7"/>
      <c r="O41" s="7"/>
      <c r="P41" s="7"/>
      <c r="Q41" s="93"/>
      <c r="R41" s="7"/>
      <c r="S41" s="7"/>
      <c r="T41" s="7"/>
      <c r="U41" s="7"/>
      <c r="V41" s="7"/>
      <c r="W41" s="7"/>
      <c r="X41" s="7"/>
      <c r="Y41" s="7"/>
      <c r="Z41" s="7"/>
    </row>
    <row r="42" spans="1:26" x14ac:dyDescent="0.35">
      <c r="A42" s="7"/>
      <c r="B42" s="7"/>
      <c r="C42" s="7"/>
      <c r="D42" s="7"/>
      <c r="E42" s="7"/>
      <c r="F42" s="7"/>
      <c r="G42" s="7"/>
      <c r="H42" s="7"/>
      <c r="I42" s="7"/>
      <c r="J42" s="7"/>
      <c r="K42" s="7"/>
      <c r="L42" s="7"/>
      <c r="M42" s="7"/>
      <c r="N42" s="7"/>
      <c r="O42" s="7"/>
      <c r="P42" s="7"/>
      <c r="Q42" s="93"/>
      <c r="R42" s="7"/>
      <c r="S42" s="7"/>
      <c r="T42" s="7"/>
      <c r="U42" s="7"/>
      <c r="V42" s="7"/>
      <c r="W42" s="7"/>
      <c r="X42" s="7"/>
      <c r="Y42" s="7"/>
      <c r="Z42" s="7"/>
    </row>
    <row r="43" spans="1:26"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30" customHeight="1" x14ac:dyDescent="0.35">
      <c r="A45" s="7"/>
      <c r="B45" s="92" t="s">
        <v>1590</v>
      </c>
      <c r="C45" s="91"/>
      <c r="D45" s="91"/>
      <c r="E45" s="91"/>
      <c r="F45" s="91"/>
      <c r="G45" s="91"/>
      <c r="H45" s="91"/>
      <c r="I45" s="91"/>
      <c r="J45" s="91"/>
      <c r="K45" s="91"/>
      <c r="L45" s="91"/>
      <c r="M45" s="91"/>
      <c r="N45" s="91"/>
      <c r="O45" s="91"/>
      <c r="P45" s="91"/>
      <c r="Q45" s="91"/>
      <c r="R45" s="91"/>
      <c r="S45" s="91"/>
      <c r="T45" s="91"/>
      <c r="U45" s="91"/>
      <c r="V45" s="7"/>
      <c r="W45" s="7"/>
      <c r="X45" s="7"/>
      <c r="Y45" s="7"/>
      <c r="Z45" s="7"/>
    </row>
    <row r="46" spans="1:26"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5" customHeight="1" x14ac:dyDescent="0.35">
      <c r="A47" s="7"/>
      <c r="B47" s="84" t="s">
        <v>1591</v>
      </c>
      <c r="C47" s="89"/>
      <c r="D47" s="89"/>
      <c r="E47" s="89"/>
      <c r="F47" s="89"/>
      <c r="G47" s="89"/>
      <c r="H47" s="89"/>
      <c r="I47" s="89"/>
      <c r="J47" s="89"/>
      <c r="K47" s="90"/>
      <c r="L47" s="21"/>
      <c r="M47" s="84" t="s">
        <v>1594</v>
      </c>
      <c r="N47" s="89"/>
      <c r="O47" s="89"/>
      <c r="P47" s="89"/>
      <c r="Q47" s="85"/>
      <c r="R47" s="90"/>
      <c r="S47" s="7"/>
      <c r="T47" s="84" t="s">
        <v>1601</v>
      </c>
      <c r="U47" s="90"/>
      <c r="V47" s="7"/>
      <c r="W47" s="7"/>
      <c r="X47" s="7"/>
      <c r="Y47" s="7"/>
      <c r="Z47" s="7"/>
    </row>
    <row r="48" spans="1:26" x14ac:dyDescent="0.35">
      <c r="A48" s="7"/>
      <c r="B48" s="93" t="s">
        <v>1702</v>
      </c>
      <c r="C48" s="7"/>
      <c r="D48" s="7"/>
      <c r="E48" s="7"/>
      <c r="F48" s="7"/>
      <c r="G48" s="7"/>
      <c r="H48" s="7"/>
      <c r="I48" s="7"/>
      <c r="J48" s="7"/>
      <c r="K48" s="7"/>
      <c r="L48" s="7"/>
      <c r="M48" s="7"/>
      <c r="N48" s="7"/>
      <c r="O48" s="7"/>
      <c r="P48" s="7"/>
      <c r="Q48" s="7"/>
      <c r="R48" s="7"/>
      <c r="S48" s="7"/>
      <c r="T48" s="7"/>
      <c r="U48" s="7"/>
      <c r="V48" s="7"/>
      <c r="W48" s="7"/>
      <c r="X48" s="7"/>
      <c r="Y48" s="7"/>
      <c r="Z48" s="7"/>
    </row>
    <row r="49" spans="1:26" x14ac:dyDescent="0.35">
      <c r="A49" s="7"/>
      <c r="B49" s="7"/>
      <c r="C49" s="7"/>
      <c r="D49" s="7"/>
      <c r="E49" s="7"/>
      <c r="F49" s="7"/>
      <c r="G49" s="7"/>
      <c r="H49" s="7"/>
      <c r="I49" s="7"/>
      <c r="J49" s="7"/>
      <c r="K49" s="7"/>
      <c r="L49" s="7"/>
      <c r="M49" s="6" t="s">
        <v>1595</v>
      </c>
      <c r="N49" s="7"/>
      <c r="O49" s="7"/>
      <c r="P49" s="7"/>
      <c r="Q49" s="7"/>
      <c r="R49" s="7"/>
      <c r="S49" s="7"/>
      <c r="T49" s="7" t="s">
        <v>1597</v>
      </c>
      <c r="U49" s="7"/>
      <c r="V49" s="7"/>
      <c r="W49" s="7"/>
      <c r="X49" s="7"/>
      <c r="Y49" s="7"/>
      <c r="Z49" s="7"/>
    </row>
    <row r="50" spans="1:26" x14ac:dyDescent="0.35">
      <c r="A50" s="7"/>
      <c r="B50" s="7"/>
      <c r="C50" s="7"/>
      <c r="D50" s="7"/>
      <c r="E50" s="7"/>
      <c r="F50" s="7"/>
      <c r="G50" s="7"/>
      <c r="H50" s="7"/>
      <c r="I50" s="7"/>
      <c r="J50" s="7"/>
      <c r="K50" s="7"/>
      <c r="L50" s="7"/>
      <c r="M50" s="7" t="s">
        <v>1623</v>
      </c>
      <c r="N50" s="7"/>
      <c r="O50" s="7"/>
      <c r="P50" s="7"/>
      <c r="Q50" s="7"/>
      <c r="R50" s="7"/>
      <c r="S50" s="7"/>
      <c r="T50" s="7" t="s">
        <v>1624</v>
      </c>
      <c r="U50" s="7"/>
      <c r="V50" s="7"/>
      <c r="W50" s="7"/>
      <c r="X50" s="7"/>
      <c r="Y50" s="7"/>
      <c r="Z50" s="7"/>
    </row>
    <row r="51" spans="1:26" ht="15" thickBot="1" x14ac:dyDescent="0.4">
      <c r="A51" s="7"/>
      <c r="B51" s="7"/>
      <c r="C51" s="7"/>
      <c r="D51" s="7"/>
      <c r="E51" s="7"/>
      <c r="F51" s="7"/>
      <c r="G51" s="7"/>
      <c r="H51" s="7"/>
      <c r="I51" s="7"/>
      <c r="J51" s="7"/>
      <c r="K51" s="7"/>
      <c r="L51" s="7"/>
      <c r="M51" s="7" t="s">
        <v>1593</v>
      </c>
      <c r="N51" s="7"/>
      <c r="O51" s="7"/>
      <c r="P51" s="7"/>
      <c r="Q51" s="7"/>
      <c r="R51" s="7"/>
      <c r="S51" s="7"/>
      <c r="T51" s="7"/>
      <c r="U51" s="7"/>
      <c r="V51" s="7"/>
      <c r="W51" s="7"/>
      <c r="X51" s="7"/>
      <c r="Y51" s="7"/>
      <c r="Z51" s="7"/>
    </row>
    <row r="52" spans="1:26" ht="15" thickBot="1" x14ac:dyDescent="0.4">
      <c r="A52" s="7"/>
      <c r="B52" s="7"/>
      <c r="C52" s="7"/>
      <c r="D52" s="7"/>
      <c r="E52" s="7"/>
      <c r="F52" s="7"/>
      <c r="G52" s="7"/>
      <c r="H52" s="7"/>
      <c r="I52" s="7"/>
      <c r="J52" s="7"/>
      <c r="K52" s="7"/>
      <c r="L52" s="7"/>
      <c r="M52" s="7" t="s">
        <v>1669</v>
      </c>
      <c r="N52" s="7"/>
      <c r="O52" s="7"/>
      <c r="P52" s="7"/>
      <c r="Q52" s="7"/>
      <c r="R52" s="7"/>
      <c r="S52" s="7"/>
      <c r="T52" s="131">
        <v>0.5</v>
      </c>
      <c r="U52" s="7"/>
      <c r="V52" s="7"/>
      <c r="W52" s="7"/>
      <c r="X52" s="7"/>
      <c r="Y52" s="7"/>
      <c r="Z52" s="7"/>
    </row>
    <row r="53" spans="1:26" x14ac:dyDescent="0.35">
      <c r="A53" s="7"/>
      <c r="B53" s="7"/>
      <c r="C53" s="7"/>
      <c r="D53" s="7"/>
      <c r="E53" s="7"/>
      <c r="F53" s="7"/>
      <c r="G53" s="7"/>
      <c r="H53" s="7"/>
      <c r="I53" s="7"/>
      <c r="J53" s="7"/>
      <c r="K53" s="7"/>
      <c r="L53" s="7"/>
      <c r="N53" s="7"/>
      <c r="O53" s="7"/>
      <c r="P53" s="7"/>
      <c r="Q53" s="7"/>
      <c r="R53" s="7"/>
      <c r="S53" s="7"/>
      <c r="T53" s="7"/>
      <c r="U53" s="7"/>
      <c r="V53" s="7"/>
      <c r="W53" s="7"/>
      <c r="X53" s="7"/>
      <c r="Y53" s="7"/>
      <c r="Z53" s="7"/>
    </row>
    <row r="54" spans="1:26" x14ac:dyDescent="0.35">
      <c r="A54" s="7"/>
      <c r="B54" s="7"/>
      <c r="C54" s="7"/>
      <c r="D54" s="7"/>
      <c r="E54" s="7"/>
      <c r="F54" s="7"/>
      <c r="G54" s="7"/>
      <c r="H54" s="7"/>
      <c r="I54" s="7"/>
      <c r="J54" s="7"/>
      <c r="K54" s="7"/>
      <c r="L54" s="7"/>
      <c r="M54" s="6" t="str">
        <f>"Number of blenders selected: " &amp; SUBTOTAL(3,SAF_Blender[Terminal Name])</f>
        <v>Number of blenders selected: 44</v>
      </c>
      <c r="N54" s="7"/>
      <c r="O54" s="7"/>
      <c r="P54" s="7"/>
      <c r="Q54" s="7"/>
      <c r="R54" s="7"/>
      <c r="S54" s="7"/>
      <c r="T54" s="7"/>
      <c r="U54" s="7"/>
      <c r="V54" s="7"/>
      <c r="W54" s="7"/>
      <c r="X54" s="7"/>
      <c r="Y54" s="7"/>
      <c r="Z54" s="7"/>
    </row>
    <row r="55" spans="1:26"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 x14ac:dyDescent="0.5">
      <c r="A56" s="7"/>
      <c r="B56" s="7"/>
      <c r="C56" s="7"/>
      <c r="D56" s="7"/>
      <c r="E56" s="7"/>
      <c r="F56" s="7"/>
      <c r="G56" s="7"/>
      <c r="H56" s="7"/>
      <c r="I56" s="7"/>
      <c r="J56" s="7"/>
      <c r="K56" s="7"/>
      <c r="L56" s="7"/>
      <c r="M56" s="7"/>
      <c r="N56" s="7"/>
      <c r="O56" s="7"/>
      <c r="P56" s="7"/>
      <c r="Q56" s="7"/>
      <c r="R56" s="7"/>
      <c r="S56" s="7"/>
      <c r="T56" s="95" t="s">
        <v>1598</v>
      </c>
      <c r="U56" s="7"/>
      <c r="V56" s="7"/>
      <c r="W56" s="7"/>
      <c r="X56" s="7"/>
      <c r="Y56" s="7"/>
      <c r="Z56" s="7"/>
    </row>
    <row r="57" spans="1:26"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30" customHeight="1" x14ac:dyDescent="0.35">
      <c r="B67" s="92" t="s">
        <v>1589</v>
      </c>
      <c r="C67" s="91"/>
      <c r="D67" s="91"/>
      <c r="E67" s="91"/>
      <c r="F67" s="91"/>
      <c r="G67" s="91"/>
      <c r="H67" s="91"/>
      <c r="I67" s="91"/>
      <c r="J67" s="91"/>
      <c r="K67" s="91"/>
      <c r="L67" s="91"/>
      <c r="M67" s="91"/>
      <c r="N67" s="91"/>
      <c r="O67" s="91"/>
      <c r="P67" s="91"/>
      <c r="Q67" s="91"/>
      <c r="R67" s="91"/>
      <c r="S67" s="91"/>
      <c r="T67" s="91"/>
      <c r="U67" s="91"/>
      <c r="V67" s="7"/>
      <c r="W67" s="7"/>
      <c r="X67" s="7"/>
      <c r="Y67" s="7"/>
      <c r="Z67" s="7"/>
    </row>
    <row r="68" spans="1:26" ht="23.5" customHeight="1" x14ac:dyDescent="0.35">
      <c r="A68" s="7"/>
      <c r="B68" s="123" t="s">
        <v>1626</v>
      </c>
      <c r="C68" s="7"/>
      <c r="D68" s="7"/>
      <c r="E68" s="7"/>
      <c r="F68" s="7"/>
      <c r="G68" s="7"/>
      <c r="H68" s="7"/>
      <c r="I68" s="7"/>
      <c r="J68" s="7"/>
      <c r="K68" s="7"/>
      <c r="L68" s="7"/>
      <c r="M68" s="7"/>
      <c r="N68" s="7"/>
      <c r="O68" s="7"/>
      <c r="P68" s="7"/>
      <c r="Q68" s="7"/>
      <c r="R68" s="7"/>
      <c r="S68" s="7"/>
      <c r="T68" s="7"/>
      <c r="U68" s="7"/>
      <c r="V68" s="7"/>
      <c r="W68" s="7"/>
      <c r="X68" s="7"/>
      <c r="Y68" s="7"/>
      <c r="Z68" s="7"/>
    </row>
    <row r="69" spans="1:26" s="30" customFormat="1" ht="25" customHeight="1" x14ac:dyDescent="0.35">
      <c r="B69" s="84" t="s">
        <v>1586</v>
      </c>
      <c r="C69" s="89"/>
      <c r="D69" s="89"/>
      <c r="E69" s="89"/>
      <c r="F69" s="89"/>
      <c r="G69" s="89"/>
      <c r="H69" s="89"/>
      <c r="I69" s="89"/>
      <c r="J69" s="89"/>
      <c r="K69" s="89"/>
      <c r="L69" s="89"/>
      <c r="M69" s="89"/>
      <c r="N69" s="90"/>
      <c r="O69" s="21"/>
      <c r="P69" s="84" t="s">
        <v>1592</v>
      </c>
      <c r="Q69" s="89"/>
      <c r="R69" s="89"/>
      <c r="S69" s="89"/>
      <c r="T69" s="90"/>
      <c r="U69" s="21"/>
      <c r="V69" s="21"/>
      <c r="W69" s="21"/>
      <c r="X69" s="21"/>
      <c r="Y69" s="21"/>
      <c r="Z69" s="21"/>
    </row>
    <row r="70" spans="1:26" x14ac:dyDescent="0.35">
      <c r="A70" s="7"/>
      <c r="B70" s="93" t="s">
        <v>1702</v>
      </c>
      <c r="C70" s="7"/>
      <c r="D70" s="7"/>
      <c r="E70" s="7"/>
      <c r="F70" s="7"/>
      <c r="G70" s="7"/>
      <c r="H70" s="7"/>
      <c r="I70" s="7"/>
      <c r="J70" s="7"/>
      <c r="K70" s="7"/>
      <c r="L70" s="7"/>
      <c r="M70" s="7"/>
      <c r="N70" s="7"/>
      <c r="O70" s="7"/>
      <c r="P70" s="7"/>
      <c r="Q70" s="7"/>
      <c r="R70" s="7"/>
      <c r="S70" s="7"/>
      <c r="T70" s="7"/>
      <c r="U70" s="7"/>
      <c r="V70" s="7"/>
      <c r="W70" s="7"/>
      <c r="X70" s="7"/>
      <c r="Y70" s="7"/>
      <c r="Z70" s="7"/>
    </row>
    <row r="71" spans="1:26"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35">
      <c r="A72" s="7"/>
      <c r="B72" s="7"/>
      <c r="C72" s="7"/>
      <c r="D72" s="7"/>
      <c r="E72" s="7"/>
      <c r="F72" s="7"/>
      <c r="G72" s="7"/>
      <c r="H72" s="7"/>
      <c r="I72" s="7"/>
      <c r="J72" s="7"/>
      <c r="K72" s="7"/>
      <c r="L72" s="7"/>
      <c r="M72" s="7"/>
      <c r="N72" s="7"/>
      <c r="O72" s="7"/>
      <c r="P72" s="6" t="s">
        <v>1596</v>
      </c>
      <c r="Q72" s="7"/>
      <c r="R72" s="7"/>
      <c r="S72" s="7"/>
      <c r="T72" s="7"/>
      <c r="U72" s="7"/>
      <c r="V72" s="7"/>
      <c r="W72" s="7"/>
      <c r="X72" s="7"/>
      <c r="Y72" s="7"/>
      <c r="Z72" s="7"/>
    </row>
    <row r="73" spans="1:26" x14ac:dyDescent="0.35">
      <c r="A73" s="7"/>
      <c r="B73" s="7"/>
      <c r="C73" s="7"/>
      <c r="D73" s="7"/>
      <c r="E73" s="7"/>
      <c r="F73" s="7"/>
      <c r="G73" s="7"/>
      <c r="H73" s="7"/>
      <c r="I73" s="7"/>
      <c r="J73" s="7"/>
      <c r="K73" s="7"/>
      <c r="L73" s="7"/>
      <c r="M73" s="7"/>
      <c r="N73" s="7"/>
      <c r="O73" s="7"/>
      <c r="P73" s="7" t="s">
        <v>1625</v>
      </c>
      <c r="Q73" s="7"/>
      <c r="R73" s="7"/>
      <c r="S73" s="7"/>
      <c r="T73" s="7"/>
      <c r="U73" s="7"/>
      <c r="V73" s="7"/>
      <c r="W73" s="7"/>
      <c r="X73" s="7"/>
      <c r="Y73" s="7"/>
      <c r="Z73" s="7"/>
    </row>
    <row r="74" spans="1:26" x14ac:dyDescent="0.35">
      <c r="A74" s="7"/>
      <c r="B74" s="7"/>
      <c r="C74" s="7"/>
      <c r="D74" s="7"/>
      <c r="E74" s="7"/>
      <c r="F74" s="7"/>
      <c r="G74" s="7"/>
      <c r="H74" s="7"/>
      <c r="I74" s="7"/>
      <c r="J74" s="7"/>
      <c r="K74" s="7"/>
      <c r="L74" s="7"/>
      <c r="M74" s="7"/>
      <c r="N74" s="7"/>
      <c r="O74" s="7"/>
      <c r="P74" s="7" t="s">
        <v>1627</v>
      </c>
      <c r="Q74" s="7"/>
      <c r="R74" s="7"/>
      <c r="S74" s="7"/>
      <c r="T74" s="7"/>
      <c r="U74" s="7"/>
      <c r="V74" s="7"/>
      <c r="W74" s="7"/>
      <c r="X74" s="7"/>
      <c r="Y74" s="7"/>
      <c r="Z74" s="7"/>
    </row>
    <row r="75" spans="1:26" x14ac:dyDescent="0.35">
      <c r="A75" s="7"/>
      <c r="B75" s="7"/>
      <c r="C75" s="7"/>
      <c r="D75" s="7"/>
      <c r="E75" s="7"/>
      <c r="F75" s="7"/>
      <c r="G75" s="7"/>
      <c r="H75" s="7"/>
      <c r="I75" s="7"/>
      <c r="J75" s="7"/>
      <c r="K75" s="7"/>
      <c r="L75" s="7"/>
      <c r="M75" s="7"/>
      <c r="N75" s="7"/>
      <c r="O75" s="7"/>
      <c r="P75" s="7" t="s">
        <v>1593</v>
      </c>
      <c r="Q75" s="7"/>
      <c r="R75" s="7"/>
      <c r="S75" s="7"/>
      <c r="T75" s="7"/>
      <c r="U75" s="7"/>
      <c r="V75" s="7"/>
      <c r="W75" s="7"/>
      <c r="X75" s="7"/>
      <c r="Y75" s="7"/>
      <c r="Z75" s="7"/>
    </row>
    <row r="76" spans="1:26" x14ac:dyDescent="0.35">
      <c r="A76" s="7"/>
      <c r="B76" s="7"/>
      <c r="C76" s="7"/>
      <c r="D76" s="7"/>
      <c r="E76" s="7"/>
      <c r="F76" s="7"/>
      <c r="G76" s="7"/>
      <c r="H76" s="7"/>
      <c r="I76" s="7"/>
      <c r="J76" s="7"/>
      <c r="K76" s="7"/>
      <c r="L76" s="7"/>
      <c r="M76" s="7"/>
      <c r="N76" s="7"/>
      <c r="O76" s="7"/>
      <c r="P76" s="7" t="s">
        <v>1670</v>
      </c>
      <c r="Q76" s="7"/>
      <c r="R76" s="7"/>
      <c r="S76" s="7"/>
      <c r="T76" s="7"/>
      <c r="U76" s="7"/>
      <c r="V76" s="7"/>
      <c r="W76" s="7"/>
      <c r="X76" s="7"/>
      <c r="Y76" s="7"/>
      <c r="Z76" s="7"/>
    </row>
    <row r="77" spans="1:26" x14ac:dyDescent="0.35">
      <c r="A77" s="7"/>
      <c r="B77" s="7"/>
      <c r="C77" s="7"/>
      <c r="D77" s="7"/>
      <c r="E77" s="7"/>
      <c r="F77" s="7"/>
      <c r="G77" s="7"/>
      <c r="H77" s="7"/>
      <c r="I77" s="7"/>
      <c r="J77" s="7"/>
      <c r="K77" s="7"/>
      <c r="L77" s="7"/>
      <c r="M77" s="7"/>
      <c r="N77" s="7"/>
      <c r="O77" s="7"/>
      <c r="Q77" s="7"/>
      <c r="R77" s="7"/>
      <c r="S77" s="7"/>
      <c r="T77" s="7"/>
      <c r="U77" s="7"/>
      <c r="V77" s="7"/>
      <c r="W77" s="7"/>
      <c r="X77" s="7"/>
      <c r="Y77" s="7"/>
      <c r="Z77" s="7"/>
    </row>
    <row r="78" spans="1:26" x14ac:dyDescent="0.35">
      <c r="A78" s="7"/>
      <c r="B78" s="7"/>
      <c r="C78" s="7"/>
      <c r="D78" s="7"/>
      <c r="E78" s="7"/>
      <c r="F78" s="7"/>
      <c r="G78" s="7"/>
      <c r="H78" s="7"/>
      <c r="I78" s="7"/>
      <c r="J78" s="7"/>
      <c r="K78" s="7"/>
      <c r="L78" s="7"/>
      <c r="M78" s="7"/>
      <c r="N78" s="7"/>
      <c r="O78" s="7"/>
      <c r="P78" s="6" t="str">
        <f>"Number of airports selected: " &amp; SUBTOTAL(3,SAF_Airport[Airport Code])</f>
        <v>Number of airports selected: 1</v>
      </c>
      <c r="Q78" s="7"/>
      <c r="R78" s="7"/>
      <c r="S78" s="7"/>
      <c r="T78" s="7"/>
      <c r="U78" s="7"/>
      <c r="V78" s="7"/>
      <c r="W78" s="7"/>
      <c r="X78" s="7"/>
      <c r="Y78" s="7"/>
      <c r="Z78" s="7"/>
    </row>
    <row r="79" spans="1:26" x14ac:dyDescent="0.35">
      <c r="A79" s="7"/>
      <c r="B79" s="7"/>
      <c r="C79" s="7"/>
      <c r="D79" s="7"/>
      <c r="E79" s="7"/>
      <c r="F79" s="7"/>
      <c r="G79" s="7"/>
      <c r="H79" s="7"/>
      <c r="I79" s="7"/>
      <c r="J79" s="7"/>
      <c r="K79" s="7"/>
      <c r="L79" s="7"/>
      <c r="M79" s="7"/>
      <c r="N79" s="7"/>
      <c r="O79" s="7"/>
      <c r="P79" s="7"/>
      <c r="Q79" s="7"/>
      <c r="R79" s="94"/>
      <c r="S79" s="7"/>
      <c r="T79" s="7"/>
      <c r="U79" s="7"/>
      <c r="V79" s="7"/>
      <c r="W79" s="7"/>
      <c r="X79" s="7"/>
      <c r="Y79" s="7"/>
      <c r="Z79" s="7"/>
    </row>
    <row r="80" spans="1:26"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21" x14ac:dyDescent="0.5">
      <c r="A81" s="7"/>
      <c r="B81" s="7"/>
      <c r="C81" s="7"/>
      <c r="D81" s="7"/>
      <c r="E81" s="7"/>
      <c r="F81" s="7"/>
      <c r="G81" s="7"/>
      <c r="H81" s="7"/>
      <c r="I81" s="7"/>
      <c r="J81" s="7"/>
      <c r="K81" s="7"/>
      <c r="L81" s="7"/>
      <c r="M81" s="7"/>
      <c r="N81" s="7"/>
      <c r="O81" s="7"/>
      <c r="P81" s="95" t="s">
        <v>1602</v>
      </c>
      <c r="Q81" s="7"/>
      <c r="R81" s="7"/>
      <c r="S81" s="7"/>
      <c r="T81" s="7"/>
      <c r="U81" s="7"/>
      <c r="V81" s="7"/>
      <c r="W81" s="7"/>
      <c r="X81" s="7"/>
      <c r="Y81" s="7"/>
      <c r="Z81" s="7"/>
    </row>
    <row r="82" spans="1:26" ht="21" x14ac:dyDescent="0.5">
      <c r="A82" s="7"/>
      <c r="B82" s="7"/>
      <c r="C82" s="7"/>
      <c r="D82" s="7"/>
      <c r="E82" s="7"/>
      <c r="F82" s="7"/>
      <c r="G82" s="7"/>
      <c r="H82" s="7"/>
      <c r="I82" s="7"/>
      <c r="J82" s="7"/>
      <c r="K82" s="7"/>
      <c r="L82" s="7"/>
      <c r="M82" s="7"/>
      <c r="N82" s="7"/>
      <c r="O82" s="7"/>
      <c r="P82" s="95"/>
      <c r="Q82" s="7"/>
      <c r="R82" s="7"/>
      <c r="S82" s="7"/>
      <c r="T82" s="7"/>
      <c r="U82" s="7"/>
      <c r="V82" s="7"/>
      <c r="W82" s="7"/>
      <c r="X82" s="7"/>
      <c r="Y82" s="7"/>
      <c r="Z82" s="7"/>
    </row>
    <row r="83" spans="1:26"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sheetData>
  <mergeCells count="2">
    <mergeCell ref="B17:D17"/>
    <mergeCell ref="B16:D16"/>
  </mergeCells>
  <dataValidations count="3">
    <dataValidation type="decimal" allowBlank="1" showInputMessage="1" showErrorMessage="1" errorTitle="Invalid Number" error="Enter a percentage between 0% and 100%, inclusive." sqref="R36" xr:uid="{EC11810E-B363-438C-8229-265256F18A92}">
      <formula1>0</formula1>
      <formula2>100</formula2>
    </dataValidation>
    <dataValidation type="decimal" allowBlank="1" showInputMessage="1" showErrorMessage="1" errorTitle="Invalid Number" error="Enter a decimal between 0 and 1, inclusive." sqref="S9" xr:uid="{9C3345A1-89E9-4578-9DB2-C70889DD003D}">
      <formula1>0</formula1>
      <formula2>1</formula2>
    </dataValidation>
    <dataValidation type="decimal" allowBlank="1" showInputMessage="1" showErrorMessage="1" errorTitle="Invalid Number" error="Enter a decimal value between 0 and 1, inclusive." sqref="T52" xr:uid="{95B70241-6DD9-4B8C-AE86-525E292C856B}">
      <formula1>0</formula1>
      <formula2>1</formula2>
    </dataValidation>
  </dataValidations>
  <hyperlinks>
    <hyperlink ref="B17:D17" r:id="rId1" display="DOE BETO 2023 Billion-Ton Report" xr:uid="{1A754E8B-5018-42F4-B7C1-F42FA4BA760B}"/>
  </hyperlink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6FE333D-C922-476E-B379-1B08D907A783}">
          <x14:formula1>
            <xm:f>Notes!$L$3:$L$4</xm:f>
          </x14:formula1>
          <xm:sqref>J37</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69D1-6DE8-4C64-A349-81626682887E}">
  <sheetPr>
    <tabColor theme="9"/>
  </sheetPr>
  <dimension ref="A1:N97"/>
  <sheetViews>
    <sheetView zoomScale="110" zoomScaleNormal="110" workbookViewId="0"/>
  </sheetViews>
  <sheetFormatPr defaultRowHeight="14.5" x14ac:dyDescent="0.35"/>
  <cols>
    <col min="1" max="1" width="38.1796875" customWidth="1"/>
    <col min="2" max="2" width="37.1796875" style="4" customWidth="1"/>
    <col min="3" max="3" width="29.1796875" customWidth="1"/>
    <col min="4" max="4" width="9.1796875" style="38"/>
    <col min="6" max="6" width="33.81640625" customWidth="1"/>
    <col min="7" max="7" width="27.1796875" customWidth="1"/>
  </cols>
  <sheetData>
    <row r="1" spans="1:14" ht="21" customHeight="1" x14ac:dyDescent="0.35">
      <c r="A1" s="24" t="s">
        <v>196</v>
      </c>
      <c r="B1" s="10"/>
      <c r="C1" s="7"/>
      <c r="D1" s="36"/>
      <c r="E1" s="7"/>
      <c r="F1" s="7"/>
      <c r="G1" s="7"/>
      <c r="H1" s="7"/>
      <c r="I1" s="7"/>
      <c r="J1" s="7"/>
      <c r="K1" s="7"/>
      <c r="L1" s="7"/>
      <c r="M1" s="7"/>
      <c r="N1" s="7"/>
    </row>
    <row r="2" spans="1:14" ht="27" customHeight="1" x14ac:dyDescent="0.35">
      <c r="A2" s="156" t="s">
        <v>1641</v>
      </c>
      <c r="B2" s="156"/>
      <c r="C2" s="156"/>
      <c r="D2" s="156"/>
      <c r="E2" s="156"/>
      <c r="F2" s="156"/>
      <c r="G2" s="7"/>
      <c r="H2" s="7"/>
      <c r="I2" s="7"/>
      <c r="J2" s="7"/>
      <c r="K2" s="40"/>
      <c r="L2" s="7"/>
      <c r="M2" s="7"/>
      <c r="N2" s="7"/>
    </row>
    <row r="3" spans="1:14" s="30" customFormat="1" ht="33" customHeight="1" x14ac:dyDescent="0.35">
      <c r="A3" s="156" t="s">
        <v>231</v>
      </c>
      <c r="B3" s="156"/>
      <c r="C3" s="156"/>
      <c r="D3" s="156"/>
      <c r="E3" s="156"/>
      <c r="F3" s="156"/>
      <c r="G3" s="21"/>
      <c r="H3" s="21"/>
      <c r="I3" s="21"/>
      <c r="J3" s="21"/>
      <c r="K3" s="21"/>
      <c r="L3" s="21"/>
      <c r="M3" s="21"/>
      <c r="N3" s="21"/>
    </row>
    <row r="4" spans="1:14" ht="15" customHeight="1" x14ac:dyDescent="0.35">
      <c r="A4" s="43"/>
      <c r="B4" s="10"/>
      <c r="C4" s="7"/>
      <c r="D4" s="36"/>
      <c r="E4" s="7"/>
      <c r="F4" s="7"/>
      <c r="G4" s="7"/>
      <c r="H4" s="7"/>
      <c r="I4" s="7"/>
      <c r="J4" s="7"/>
      <c r="K4" s="7"/>
      <c r="L4" s="7"/>
      <c r="M4" s="7"/>
      <c r="N4" s="7"/>
    </row>
    <row r="5" spans="1:14" ht="21" x14ac:dyDescent="0.5">
      <c r="A5" s="5" t="s">
        <v>12</v>
      </c>
      <c r="B5" s="10"/>
      <c r="C5" s="7"/>
      <c r="D5" s="36"/>
      <c r="E5" s="7"/>
      <c r="F5" s="7"/>
      <c r="G5" s="7"/>
      <c r="H5" s="7"/>
      <c r="I5" s="7"/>
      <c r="J5" s="7"/>
      <c r="K5" s="7"/>
      <c r="L5" s="7"/>
      <c r="M5" s="7"/>
      <c r="N5" s="7"/>
    </row>
    <row r="6" spans="1:14" ht="15.5" x14ac:dyDescent="0.35">
      <c r="A6" s="7"/>
      <c r="B6" s="33"/>
      <c r="C6" s="28"/>
      <c r="D6" s="36"/>
      <c r="E6" s="6"/>
      <c r="F6" s="7"/>
      <c r="G6" s="7"/>
      <c r="H6" s="7"/>
      <c r="I6" s="7"/>
      <c r="J6" s="7"/>
      <c r="K6" s="7"/>
      <c r="L6" s="7"/>
      <c r="M6" s="7"/>
      <c r="N6" s="7"/>
    </row>
    <row r="7" spans="1:14" ht="20.149999999999999" customHeight="1" x14ac:dyDescent="0.35">
      <c r="A7" s="20" t="s">
        <v>99</v>
      </c>
      <c r="B7" s="34" t="s">
        <v>217</v>
      </c>
      <c r="C7" s="26"/>
      <c r="D7" s="37"/>
      <c r="E7" s="21"/>
      <c r="F7" s="7"/>
      <c r="G7" s="7"/>
      <c r="H7" s="7"/>
      <c r="I7" s="7"/>
      <c r="J7" s="7"/>
      <c r="K7" s="7"/>
      <c r="L7" s="7"/>
      <c r="M7" s="7"/>
      <c r="N7" s="7"/>
    </row>
    <row r="8" spans="1:14" ht="20.149999999999999" customHeight="1" x14ac:dyDescent="0.35">
      <c r="A8" s="22" t="s">
        <v>0</v>
      </c>
      <c r="B8" s="44" t="s">
        <v>2868</v>
      </c>
      <c r="C8" s="41"/>
      <c r="D8" s="37"/>
      <c r="E8" s="21"/>
      <c r="F8" s="7"/>
      <c r="G8" s="7"/>
      <c r="H8" s="7"/>
      <c r="I8" s="7"/>
      <c r="J8" s="7"/>
      <c r="K8" s="7"/>
      <c r="L8" s="7"/>
      <c r="M8" s="7"/>
      <c r="N8" s="7"/>
    </row>
    <row r="9" spans="1:14" ht="20.149999999999999" customHeight="1" x14ac:dyDescent="0.35">
      <c r="A9" s="22" t="s">
        <v>1</v>
      </c>
      <c r="B9" s="44" t="s">
        <v>2869</v>
      </c>
      <c r="C9" s="21"/>
      <c r="D9" s="37"/>
      <c r="E9" s="21"/>
      <c r="F9" s="7"/>
      <c r="G9" s="7"/>
      <c r="H9" s="7"/>
      <c r="I9" s="7"/>
      <c r="J9" s="7"/>
      <c r="K9" s="7"/>
      <c r="L9" s="7"/>
      <c r="M9" s="7"/>
      <c r="N9" s="7"/>
    </row>
    <row r="10" spans="1:14" ht="20.149999999999999" customHeight="1" x14ac:dyDescent="0.35">
      <c r="A10" s="21"/>
      <c r="B10" s="32"/>
      <c r="C10" s="21"/>
      <c r="D10" s="37"/>
      <c r="E10" s="21"/>
      <c r="F10" s="7"/>
      <c r="G10" s="7"/>
      <c r="H10" s="7"/>
      <c r="I10" s="7"/>
      <c r="J10" s="7"/>
      <c r="K10" s="7"/>
      <c r="L10" s="7"/>
      <c r="M10" s="7"/>
      <c r="N10" s="7"/>
    </row>
    <row r="11" spans="1:14" ht="20.149999999999999" customHeight="1" x14ac:dyDescent="0.35">
      <c r="A11" s="20" t="s">
        <v>16</v>
      </c>
      <c r="B11" s="34" t="s">
        <v>216</v>
      </c>
      <c r="C11" s="21"/>
      <c r="D11" s="37"/>
      <c r="E11" s="21"/>
      <c r="F11" s="7"/>
      <c r="G11" s="7"/>
      <c r="H11" s="7"/>
      <c r="I11" s="7"/>
      <c r="J11" s="7"/>
      <c r="K11" s="7"/>
      <c r="L11" s="7"/>
      <c r="M11" s="7"/>
      <c r="N11" s="7"/>
    </row>
    <row r="12" spans="1:14" ht="20.149999999999999" customHeight="1" x14ac:dyDescent="0.35">
      <c r="A12" s="22" t="s">
        <v>197</v>
      </c>
      <c r="B12" s="44" t="s">
        <v>14</v>
      </c>
      <c r="C12" s="21"/>
      <c r="D12" s="37"/>
      <c r="E12" s="21"/>
      <c r="F12" s="7"/>
      <c r="G12" s="7"/>
      <c r="H12" s="7"/>
      <c r="I12" s="7"/>
      <c r="J12" s="7"/>
      <c r="K12" s="7"/>
      <c r="L12" s="7"/>
      <c r="M12" s="7"/>
      <c r="N12" s="7"/>
    </row>
    <row r="13" spans="1:14" ht="20.149999999999999" customHeight="1" x14ac:dyDescent="0.35">
      <c r="A13" s="22" t="s">
        <v>198</v>
      </c>
      <c r="B13" s="44" t="s">
        <v>43</v>
      </c>
      <c r="C13" s="21"/>
      <c r="D13" s="37"/>
      <c r="E13" s="21"/>
      <c r="F13" s="7"/>
      <c r="G13" s="7"/>
      <c r="H13" s="7"/>
      <c r="I13" s="7"/>
      <c r="J13" s="7"/>
      <c r="K13" s="7"/>
      <c r="L13" s="7"/>
      <c r="M13" s="7"/>
      <c r="N13" s="7"/>
    </row>
    <row r="14" spans="1:14" ht="20.149999999999999" customHeight="1" x14ac:dyDescent="0.35">
      <c r="A14" s="22" t="s">
        <v>49</v>
      </c>
      <c r="B14" s="44" t="s">
        <v>65</v>
      </c>
      <c r="C14" s="21"/>
      <c r="D14" s="37"/>
      <c r="E14" s="21"/>
      <c r="F14" s="7"/>
      <c r="G14" s="7"/>
      <c r="H14" s="7"/>
      <c r="I14" s="7"/>
      <c r="J14" s="7"/>
      <c r="K14" s="7"/>
      <c r="L14" s="7"/>
      <c r="M14" s="7"/>
      <c r="N14" s="7"/>
    </row>
    <row r="15" spans="1:14" ht="20.149999999999999" customHeight="1" x14ac:dyDescent="0.35">
      <c r="A15" s="22" t="s">
        <v>50</v>
      </c>
      <c r="B15" s="44" t="s">
        <v>1617</v>
      </c>
      <c r="C15" s="21"/>
      <c r="D15" s="37"/>
      <c r="E15" s="21"/>
      <c r="F15" s="7"/>
      <c r="G15" s="7"/>
      <c r="H15" s="7"/>
      <c r="I15" s="7"/>
      <c r="J15" s="7"/>
      <c r="K15" s="7"/>
      <c r="L15" s="7"/>
      <c r="M15" s="7"/>
      <c r="N15" s="7"/>
    </row>
    <row r="16" spans="1:14" ht="20.149999999999999" customHeight="1" x14ac:dyDescent="0.35">
      <c r="A16" s="21"/>
      <c r="B16" s="32"/>
      <c r="C16" s="21"/>
      <c r="D16" s="37"/>
      <c r="E16" s="21"/>
      <c r="F16" s="7"/>
      <c r="G16" s="7"/>
      <c r="H16" s="7"/>
      <c r="I16" s="7"/>
      <c r="J16" s="7"/>
      <c r="K16" s="7"/>
      <c r="L16" s="7"/>
      <c r="M16" s="7"/>
      <c r="N16" s="7"/>
    </row>
    <row r="17" spans="1:14" ht="20.149999999999999" customHeight="1" x14ac:dyDescent="0.35">
      <c r="A17" s="23" t="s">
        <v>4</v>
      </c>
      <c r="B17" s="34" t="s">
        <v>218</v>
      </c>
      <c r="C17" s="28"/>
      <c r="D17" s="37"/>
      <c r="E17" s="21"/>
      <c r="G17" s="7"/>
      <c r="H17" s="7"/>
      <c r="I17" s="7"/>
      <c r="J17" s="7"/>
      <c r="K17" s="7"/>
      <c r="L17" s="7"/>
      <c r="M17" s="7"/>
      <c r="N17" s="7"/>
    </row>
    <row r="18" spans="1:14" ht="20.149999999999999" customHeight="1" x14ac:dyDescent="0.35">
      <c r="A18" s="22" t="s">
        <v>205</v>
      </c>
      <c r="B18" s="147" t="s">
        <v>100</v>
      </c>
      <c r="C18" s="78" t="s">
        <v>320</v>
      </c>
      <c r="D18" s="37"/>
      <c r="E18" s="21"/>
      <c r="F18" s="7"/>
      <c r="G18" s="7"/>
      <c r="H18" s="7"/>
      <c r="I18" s="7"/>
      <c r="J18" s="7"/>
      <c r="K18" s="7"/>
      <c r="L18" s="7"/>
      <c r="M18" s="7"/>
      <c r="N18" s="7"/>
    </row>
    <row r="19" spans="1:14" ht="20.149999999999999" customHeight="1" x14ac:dyDescent="0.35">
      <c r="A19" s="22" t="s">
        <v>211</v>
      </c>
      <c r="B19" s="147" t="s">
        <v>100</v>
      </c>
      <c r="C19" s="78" t="s">
        <v>320</v>
      </c>
      <c r="D19" s="37"/>
      <c r="E19" s="21"/>
      <c r="F19" s="7"/>
      <c r="G19" s="7"/>
      <c r="H19" s="7"/>
      <c r="I19" s="7"/>
      <c r="J19" s="7"/>
      <c r="K19" s="7"/>
      <c r="L19" s="7"/>
      <c r="M19" s="7"/>
      <c r="N19" s="7"/>
    </row>
    <row r="20" spans="1:14" ht="20.149999999999999" customHeight="1" x14ac:dyDescent="0.35">
      <c r="A20" s="22" t="s">
        <v>207</v>
      </c>
      <c r="B20" s="147" t="s">
        <v>100</v>
      </c>
      <c r="C20" s="78" t="s">
        <v>320</v>
      </c>
      <c r="D20" s="37"/>
      <c r="E20" s="21"/>
      <c r="F20" s="7"/>
      <c r="G20" s="7"/>
      <c r="H20" s="7"/>
      <c r="I20" s="7"/>
      <c r="J20" s="7"/>
      <c r="K20" s="7"/>
      <c r="L20" s="7"/>
      <c r="M20" s="7"/>
      <c r="N20" s="7"/>
    </row>
    <row r="21" spans="1:14" ht="20.149999999999999" customHeight="1" x14ac:dyDescent="0.35">
      <c r="A21" s="21"/>
      <c r="B21" s="32"/>
      <c r="C21" s="21"/>
      <c r="D21" s="37"/>
      <c r="E21" s="21"/>
      <c r="F21" s="7"/>
      <c r="G21" s="7"/>
      <c r="H21" s="7"/>
      <c r="I21" s="7"/>
      <c r="J21" s="7"/>
      <c r="K21" s="7"/>
      <c r="L21" s="7"/>
      <c r="M21" s="7"/>
      <c r="N21" s="7"/>
    </row>
    <row r="22" spans="1:14" ht="20.149999999999999" customHeight="1" x14ac:dyDescent="0.35">
      <c r="A22" s="23" t="s">
        <v>89</v>
      </c>
      <c r="B22" s="34" t="s">
        <v>224</v>
      </c>
      <c r="C22" s="21"/>
      <c r="D22" s="37"/>
      <c r="E22" s="21"/>
      <c r="F22" s="7"/>
      <c r="G22" s="7"/>
      <c r="H22" s="7"/>
      <c r="I22" s="7"/>
      <c r="J22" s="7"/>
      <c r="K22" s="7"/>
      <c r="L22" s="7"/>
      <c r="M22" s="7"/>
      <c r="N22" s="7"/>
    </row>
    <row r="23" spans="1:14" ht="20.149999999999999" customHeight="1" x14ac:dyDescent="0.35">
      <c r="A23" s="22" t="s">
        <v>94</v>
      </c>
      <c r="B23" s="44" t="b">
        <v>1</v>
      </c>
      <c r="C23" s="21"/>
      <c r="D23" s="37"/>
      <c r="E23" s="21"/>
      <c r="F23" s="7"/>
      <c r="G23" s="7"/>
      <c r="H23" s="7"/>
      <c r="I23" s="7"/>
      <c r="J23" s="7"/>
      <c r="K23" s="7"/>
      <c r="L23" s="7"/>
      <c r="M23" s="7"/>
      <c r="N23" s="7"/>
    </row>
    <row r="24" spans="1:14" ht="20.149999999999999" customHeight="1" x14ac:dyDescent="0.35">
      <c r="A24" s="22" t="s">
        <v>95</v>
      </c>
      <c r="B24" s="44" t="b">
        <v>1</v>
      </c>
      <c r="C24" s="21"/>
      <c r="D24" s="37"/>
      <c r="E24" s="21"/>
      <c r="F24" s="7"/>
      <c r="G24" s="7"/>
      <c r="H24" s="7"/>
      <c r="I24" s="7"/>
      <c r="J24" s="7"/>
      <c r="K24" s="7"/>
      <c r="L24" s="7"/>
      <c r="M24" s="7"/>
      <c r="N24" s="7"/>
    </row>
    <row r="25" spans="1:14" ht="20.149999999999999" customHeight="1" x14ac:dyDescent="0.35">
      <c r="A25" s="22" t="s">
        <v>96</v>
      </c>
      <c r="B25" s="44" t="b">
        <v>1</v>
      </c>
      <c r="C25" s="21"/>
      <c r="D25" s="37"/>
      <c r="E25" s="21"/>
      <c r="F25" s="7"/>
      <c r="G25" s="7"/>
      <c r="H25" s="7"/>
      <c r="I25" s="7"/>
      <c r="J25" s="7"/>
      <c r="K25" s="7"/>
      <c r="L25" s="7"/>
      <c r="M25" s="7"/>
      <c r="N25" s="7"/>
    </row>
    <row r="26" spans="1:14" ht="20.149999999999999" customHeight="1" x14ac:dyDescent="0.35">
      <c r="A26" s="22" t="s">
        <v>97</v>
      </c>
      <c r="B26" s="148" t="b">
        <v>0</v>
      </c>
      <c r="C26" s="78" t="s">
        <v>1620</v>
      </c>
      <c r="D26" s="37"/>
      <c r="E26" s="21"/>
      <c r="F26" s="7"/>
      <c r="G26" s="7"/>
      <c r="H26" s="7"/>
      <c r="I26" s="7"/>
      <c r="J26" s="7"/>
      <c r="K26" s="7"/>
      <c r="L26" s="7"/>
      <c r="M26" s="7"/>
      <c r="N26" s="7"/>
    </row>
    <row r="27" spans="1:14" ht="20.149999999999999" customHeight="1" x14ac:dyDescent="0.35">
      <c r="A27" s="22" t="s">
        <v>234</v>
      </c>
      <c r="B27" s="44" t="b">
        <v>1</v>
      </c>
      <c r="C27" s="78" t="s">
        <v>1621</v>
      </c>
      <c r="D27" s="37"/>
      <c r="E27" s="21"/>
      <c r="F27" s="7"/>
      <c r="G27" s="7"/>
      <c r="H27" s="7"/>
      <c r="I27" s="7"/>
      <c r="J27" s="7"/>
      <c r="K27" s="7"/>
      <c r="L27" s="7"/>
      <c r="M27" s="7"/>
      <c r="N27" s="7"/>
    </row>
    <row r="28" spans="1:14" ht="20.149999999999999" customHeight="1" x14ac:dyDescent="0.35">
      <c r="A28" s="21"/>
      <c r="B28" s="32"/>
      <c r="C28" s="21"/>
      <c r="D28" s="37"/>
      <c r="E28" s="21"/>
      <c r="F28" s="7"/>
      <c r="G28" s="7"/>
      <c r="H28" s="7"/>
      <c r="I28" s="7"/>
      <c r="J28" s="7"/>
      <c r="K28" s="7"/>
      <c r="L28" s="7"/>
      <c r="M28" s="7"/>
      <c r="N28" s="7"/>
    </row>
    <row r="29" spans="1:14" ht="20.149999999999999" customHeight="1" x14ac:dyDescent="0.35">
      <c r="A29" s="24" t="s">
        <v>8</v>
      </c>
      <c r="B29" s="32"/>
      <c r="C29" s="21"/>
      <c r="D29" s="37"/>
      <c r="E29" s="21"/>
      <c r="F29" s="7"/>
      <c r="G29" s="7"/>
      <c r="H29" s="7"/>
      <c r="I29" s="7"/>
      <c r="J29" s="7"/>
      <c r="K29" s="7"/>
      <c r="L29" s="7"/>
      <c r="M29" s="7"/>
      <c r="N29" s="7"/>
    </row>
    <row r="30" spans="1:14" ht="20.149999999999999" customHeight="1" x14ac:dyDescent="0.35">
      <c r="A30" s="25"/>
      <c r="B30" s="35"/>
      <c r="C30" s="25"/>
      <c r="D30" s="28"/>
      <c r="E30" s="21"/>
      <c r="F30" s="7"/>
      <c r="G30" s="7"/>
      <c r="H30" s="7"/>
      <c r="I30" s="7"/>
      <c r="J30" s="7"/>
      <c r="K30" s="7"/>
      <c r="L30" s="7"/>
      <c r="M30" s="7"/>
      <c r="N30" s="7"/>
    </row>
    <row r="31" spans="1:14" ht="20.149999999999999" customHeight="1" x14ac:dyDescent="0.35">
      <c r="A31" s="23" t="s">
        <v>226</v>
      </c>
      <c r="B31" s="34" t="s">
        <v>218</v>
      </c>
      <c r="C31" s="26"/>
      <c r="D31" s="28"/>
      <c r="E31" s="21"/>
      <c r="F31" s="7"/>
      <c r="G31" s="7"/>
      <c r="H31" s="7"/>
      <c r="I31" s="7"/>
      <c r="J31" s="7"/>
      <c r="K31" s="7"/>
      <c r="L31" s="7"/>
      <c r="M31" s="7"/>
      <c r="N31" s="7"/>
    </row>
    <row r="32" spans="1:14" ht="20.149999999999999" customHeight="1" x14ac:dyDescent="0.35">
      <c r="A32" s="22" t="s">
        <v>2</v>
      </c>
      <c r="B32" s="44" t="s">
        <v>208</v>
      </c>
      <c r="C32" s="29" t="s">
        <v>2852</v>
      </c>
      <c r="D32" s="39"/>
      <c r="E32" s="21"/>
      <c r="F32" s="7"/>
      <c r="G32" s="7"/>
      <c r="H32" s="7"/>
      <c r="I32" s="7"/>
      <c r="J32" s="7"/>
      <c r="K32" s="7"/>
      <c r="L32" s="7"/>
      <c r="M32" s="7"/>
      <c r="N32" s="7"/>
    </row>
    <row r="33" spans="1:14" ht="43.5" x14ac:dyDescent="0.35">
      <c r="A33" s="22" t="s">
        <v>3</v>
      </c>
      <c r="B33" s="44" t="s">
        <v>2857</v>
      </c>
      <c r="C33" s="29"/>
      <c r="D33" s="39"/>
      <c r="E33" s="21"/>
      <c r="F33" s="7"/>
      <c r="G33" s="7"/>
      <c r="H33" s="7"/>
      <c r="I33" s="7"/>
      <c r="J33" s="7"/>
      <c r="K33" s="7"/>
      <c r="L33" s="7"/>
      <c r="M33" s="7"/>
      <c r="N33" s="7"/>
    </row>
    <row r="34" spans="1:14" s="4" customFormat="1" ht="29" x14ac:dyDescent="0.35">
      <c r="A34" s="31" t="s">
        <v>82</v>
      </c>
      <c r="B34" s="44" t="s">
        <v>101</v>
      </c>
      <c r="C34" s="29" t="s">
        <v>227</v>
      </c>
      <c r="D34" s="39"/>
      <c r="E34" s="32"/>
      <c r="F34" s="10"/>
      <c r="G34" s="10"/>
      <c r="H34" s="10"/>
      <c r="I34" s="10"/>
      <c r="J34" s="10"/>
      <c r="K34" s="10"/>
      <c r="L34" s="10"/>
      <c r="M34" s="10"/>
      <c r="N34" s="10"/>
    </row>
    <row r="35" spans="1:14" ht="20.149999999999999" customHeight="1" x14ac:dyDescent="0.35">
      <c r="A35" s="22" t="s">
        <v>2856</v>
      </c>
      <c r="B35" s="147" t="s">
        <v>100</v>
      </c>
      <c r="C35" s="78" t="s">
        <v>320</v>
      </c>
      <c r="D35" s="39"/>
      <c r="E35" s="21"/>
      <c r="F35" s="7"/>
      <c r="G35" s="7"/>
      <c r="H35" s="7"/>
      <c r="I35" s="7"/>
      <c r="J35" s="7"/>
      <c r="K35" s="7"/>
      <c r="L35" s="7"/>
      <c r="M35" s="7"/>
      <c r="N35" s="7"/>
    </row>
    <row r="36" spans="1:14" ht="20.149999999999999" customHeight="1" x14ac:dyDescent="0.35">
      <c r="A36" s="22" t="s">
        <v>37</v>
      </c>
      <c r="B36" s="44" t="s">
        <v>100</v>
      </c>
      <c r="C36" s="29" t="s">
        <v>227</v>
      </c>
      <c r="D36" s="39"/>
      <c r="E36" s="21"/>
      <c r="F36" s="7"/>
      <c r="G36" s="7"/>
      <c r="H36" s="7"/>
      <c r="I36" s="7"/>
      <c r="J36" s="7"/>
      <c r="K36" s="7"/>
      <c r="L36" s="7"/>
      <c r="M36" s="7"/>
      <c r="N36" s="7"/>
    </row>
    <row r="37" spans="1:14" ht="20.149999999999999" customHeight="1" x14ac:dyDescent="0.35">
      <c r="A37" s="22" t="s">
        <v>38</v>
      </c>
      <c r="B37" s="44" t="s">
        <v>100</v>
      </c>
      <c r="C37" s="29" t="s">
        <v>227</v>
      </c>
      <c r="D37" s="39"/>
      <c r="E37" s="21"/>
      <c r="F37" s="7"/>
      <c r="G37" s="7"/>
      <c r="H37" s="7"/>
      <c r="I37" s="7"/>
      <c r="J37" s="7"/>
      <c r="K37" s="7"/>
      <c r="L37" s="7"/>
      <c r="M37" s="7"/>
      <c r="N37" s="7"/>
    </row>
    <row r="38" spans="1:14" ht="20" customHeight="1" x14ac:dyDescent="0.35">
      <c r="A38" s="22" t="s">
        <v>69</v>
      </c>
      <c r="B38" s="44" t="s">
        <v>100</v>
      </c>
      <c r="C38" s="29" t="s">
        <v>227</v>
      </c>
      <c r="D38" s="39"/>
      <c r="E38" s="21"/>
      <c r="F38" s="7"/>
      <c r="G38" s="7"/>
      <c r="H38" s="7"/>
      <c r="I38" s="7"/>
      <c r="J38" s="7"/>
      <c r="K38" s="7"/>
      <c r="L38" s="7"/>
      <c r="M38" s="7"/>
      <c r="N38" s="7"/>
    </row>
    <row r="39" spans="1:14" ht="20" customHeight="1" x14ac:dyDescent="0.35">
      <c r="A39" s="22" t="s">
        <v>1715</v>
      </c>
      <c r="B39" s="44" t="s">
        <v>100</v>
      </c>
      <c r="C39" s="29" t="s">
        <v>227</v>
      </c>
      <c r="D39" s="39"/>
      <c r="E39" s="21"/>
      <c r="F39" s="7"/>
      <c r="G39" s="7"/>
      <c r="H39" s="7"/>
      <c r="I39" s="7"/>
      <c r="J39" s="7"/>
      <c r="K39" s="7"/>
      <c r="L39" s="7"/>
      <c r="M39" s="7"/>
      <c r="N39" s="7"/>
    </row>
    <row r="40" spans="1:14" ht="20.149999999999999" customHeight="1" x14ac:dyDescent="0.35">
      <c r="A40" s="21"/>
      <c r="B40" s="32"/>
      <c r="C40" s="21"/>
      <c r="D40" s="28"/>
      <c r="E40" s="21"/>
      <c r="F40" s="7"/>
      <c r="G40" s="7"/>
      <c r="H40" s="7"/>
      <c r="I40" s="7"/>
      <c r="J40" s="7"/>
      <c r="K40" s="7"/>
      <c r="L40" s="7"/>
      <c r="M40" s="7"/>
      <c r="N40" s="7"/>
    </row>
    <row r="41" spans="1:14" ht="20.149999999999999" customHeight="1" x14ac:dyDescent="0.35">
      <c r="A41" s="23" t="s">
        <v>9</v>
      </c>
      <c r="B41" s="34" t="s">
        <v>219</v>
      </c>
      <c r="C41" s="27" t="s">
        <v>220</v>
      </c>
      <c r="D41" s="28"/>
      <c r="E41" s="21"/>
      <c r="F41" s="7"/>
      <c r="G41" s="7"/>
      <c r="H41" s="7"/>
      <c r="I41" s="7"/>
      <c r="J41" s="7"/>
      <c r="K41" s="7"/>
      <c r="L41" s="7"/>
      <c r="M41" s="7"/>
      <c r="N41" s="7"/>
    </row>
    <row r="42" spans="1:14" ht="20.149999999999999" customHeight="1" x14ac:dyDescent="0.35">
      <c r="A42" s="22" t="s">
        <v>1705</v>
      </c>
      <c r="B42" s="45">
        <v>0.27</v>
      </c>
      <c r="C42" s="46" t="s">
        <v>2851</v>
      </c>
      <c r="D42" s="29" t="s">
        <v>2853</v>
      </c>
      <c r="E42" s="21"/>
      <c r="F42" s="7"/>
      <c r="G42" s="7"/>
      <c r="H42" s="7"/>
      <c r="I42" s="7"/>
      <c r="J42" s="7"/>
      <c r="K42" s="7"/>
      <c r="L42" s="7"/>
      <c r="M42" s="7"/>
      <c r="N42" s="7"/>
    </row>
    <row r="43" spans="1:14" ht="20.149999999999999" customHeight="1" x14ac:dyDescent="0.35">
      <c r="A43" s="22" t="s">
        <v>1706</v>
      </c>
      <c r="B43" s="45">
        <v>5.1999999999999998E-2</v>
      </c>
      <c r="C43" s="46" t="s">
        <v>2851</v>
      </c>
      <c r="D43" s="29" t="s">
        <v>2853</v>
      </c>
      <c r="E43" s="21"/>
      <c r="F43" s="7"/>
      <c r="G43" s="7"/>
      <c r="H43" s="7"/>
      <c r="I43" s="7"/>
      <c r="J43" s="7"/>
      <c r="K43" s="7"/>
      <c r="L43" s="7"/>
      <c r="M43" s="7"/>
      <c r="N43" s="7"/>
    </row>
    <row r="44" spans="1:14" ht="20.149999999999999" customHeight="1" x14ac:dyDescent="0.35">
      <c r="A44" s="22" t="s">
        <v>1707</v>
      </c>
      <c r="B44" s="45">
        <v>3.7999999999999999E-2</v>
      </c>
      <c r="C44" s="46" t="s">
        <v>2851</v>
      </c>
      <c r="D44" s="29" t="s">
        <v>2853</v>
      </c>
      <c r="E44" s="21"/>
      <c r="F44" s="7"/>
      <c r="G44" s="7"/>
      <c r="H44" s="7"/>
      <c r="I44" s="7"/>
      <c r="J44" s="7"/>
      <c r="K44" s="7"/>
      <c r="L44" s="7"/>
      <c r="M44" s="7"/>
      <c r="N44" s="7"/>
    </row>
    <row r="45" spans="1:14" ht="20.149999999999999" customHeight="1" x14ac:dyDescent="0.35">
      <c r="A45" s="22" t="s">
        <v>1708</v>
      </c>
      <c r="B45" s="45">
        <v>0.27</v>
      </c>
      <c r="C45" s="46" t="s">
        <v>2851</v>
      </c>
      <c r="D45" s="29" t="s">
        <v>2854</v>
      </c>
      <c r="E45" s="21"/>
      <c r="F45" s="7"/>
      <c r="G45" s="7"/>
      <c r="H45" s="7"/>
      <c r="I45" s="7"/>
      <c r="J45" s="7"/>
      <c r="K45" s="7"/>
      <c r="L45" s="7"/>
      <c r="M45" s="7"/>
      <c r="N45" s="7"/>
    </row>
    <row r="46" spans="1:14" ht="20.149999999999999" customHeight="1" x14ac:dyDescent="0.35">
      <c r="A46" s="22" t="s">
        <v>1709</v>
      </c>
      <c r="B46" s="45">
        <v>13.91</v>
      </c>
      <c r="C46" s="46" t="s">
        <v>204</v>
      </c>
      <c r="D46" s="29" t="s">
        <v>2855</v>
      </c>
      <c r="E46" s="21"/>
      <c r="F46" s="7"/>
      <c r="G46" s="7"/>
      <c r="H46" s="7"/>
      <c r="I46" s="7"/>
      <c r="J46" s="7"/>
      <c r="K46" s="7"/>
      <c r="L46" s="7"/>
      <c r="M46" s="7"/>
      <c r="N46" s="7"/>
    </row>
    <row r="47" spans="1:14" ht="20.149999999999999" customHeight="1" x14ac:dyDescent="0.35">
      <c r="A47" s="21"/>
      <c r="B47" s="32"/>
      <c r="C47" s="21"/>
      <c r="D47" s="37"/>
      <c r="E47" s="21"/>
      <c r="F47" s="7"/>
      <c r="G47" s="7"/>
      <c r="H47" s="7"/>
      <c r="I47" s="7"/>
      <c r="J47" s="7"/>
      <c r="K47" s="7"/>
      <c r="L47" s="7"/>
      <c r="M47" s="7"/>
      <c r="N47" s="7"/>
    </row>
    <row r="48" spans="1:14" ht="29" x14ac:dyDescent="0.35">
      <c r="A48" s="23" t="s">
        <v>1720</v>
      </c>
      <c r="B48" s="34" t="s">
        <v>225</v>
      </c>
      <c r="C48" s="42" t="s">
        <v>247</v>
      </c>
      <c r="D48" s="37"/>
      <c r="E48" s="21"/>
      <c r="F48" s="7"/>
      <c r="G48" s="7"/>
      <c r="H48" s="7"/>
      <c r="I48" s="7"/>
      <c r="J48" s="7"/>
      <c r="K48" s="7"/>
      <c r="L48" s="7"/>
      <c r="M48" s="7"/>
      <c r="N48" s="7"/>
    </row>
    <row r="49" spans="1:14" ht="20.149999999999999" customHeight="1" x14ac:dyDescent="0.35">
      <c r="A49" s="22" t="s">
        <v>10</v>
      </c>
      <c r="B49" s="45">
        <v>26</v>
      </c>
      <c r="C49" s="46" t="s">
        <v>14</v>
      </c>
      <c r="D49" s="37"/>
      <c r="E49" s="21"/>
      <c r="F49" s="7"/>
      <c r="G49" s="7"/>
      <c r="H49" s="7"/>
      <c r="I49" s="7"/>
      <c r="J49" s="7"/>
      <c r="K49" s="7"/>
      <c r="L49" s="7"/>
      <c r="M49" s="7"/>
      <c r="N49" s="7"/>
    </row>
    <row r="50" spans="1:14" ht="20.149999999999999" customHeight="1" x14ac:dyDescent="0.35">
      <c r="A50" s="22" t="s">
        <v>11</v>
      </c>
      <c r="B50" s="45">
        <v>8</v>
      </c>
      <c r="C50" s="46" t="s">
        <v>43</v>
      </c>
      <c r="D50" s="37"/>
      <c r="E50" s="21"/>
      <c r="F50" s="7"/>
      <c r="G50" s="7"/>
      <c r="H50" s="7"/>
      <c r="I50" s="7"/>
      <c r="J50" s="7"/>
      <c r="K50" s="7"/>
      <c r="L50" s="7"/>
      <c r="M50" s="7"/>
      <c r="N50" s="7"/>
    </row>
    <row r="51" spans="1:14" ht="20.149999999999999" customHeight="1" x14ac:dyDescent="0.35">
      <c r="A51" s="22" t="s">
        <v>59</v>
      </c>
      <c r="B51" s="45">
        <v>195.2</v>
      </c>
      <c r="C51" s="46" t="s">
        <v>1710</v>
      </c>
      <c r="D51" s="29" t="s">
        <v>1711</v>
      </c>
      <c r="E51" s="21"/>
      <c r="F51" s="7"/>
      <c r="G51" s="7"/>
      <c r="H51" s="7"/>
      <c r="I51" s="7"/>
      <c r="J51" s="7"/>
      <c r="K51" s="7"/>
      <c r="L51" s="7"/>
      <c r="M51" s="7"/>
      <c r="N51" s="7"/>
    </row>
    <row r="52" spans="1:14" ht="20.149999999999999" customHeight="1" x14ac:dyDescent="0.35">
      <c r="A52" s="22" t="s">
        <v>53</v>
      </c>
      <c r="B52" s="45">
        <v>100</v>
      </c>
      <c r="C52" s="46" t="s">
        <v>14</v>
      </c>
      <c r="D52" s="37"/>
      <c r="E52" s="21"/>
      <c r="F52" s="7"/>
      <c r="G52" s="7"/>
      <c r="H52" s="7"/>
      <c r="I52" s="7"/>
      <c r="J52" s="7"/>
      <c r="K52" s="7"/>
      <c r="L52" s="7"/>
      <c r="M52" s="7"/>
      <c r="N52" s="7"/>
    </row>
    <row r="53" spans="1:14" ht="20.149999999999999" customHeight="1" x14ac:dyDescent="0.35">
      <c r="A53" s="22" t="s">
        <v>54</v>
      </c>
      <c r="B53" s="45">
        <v>30</v>
      </c>
      <c r="C53" s="46" t="s">
        <v>43</v>
      </c>
      <c r="D53" s="37"/>
      <c r="E53" s="21"/>
      <c r="F53" s="7"/>
      <c r="G53" s="7"/>
      <c r="H53" s="7"/>
      <c r="I53" s="7"/>
      <c r="J53" s="7"/>
      <c r="K53" s="7"/>
      <c r="L53" s="7"/>
      <c r="M53" s="7"/>
      <c r="N53" s="7"/>
    </row>
    <row r="54" spans="1:14" ht="20.149999999999999" customHeight="1" x14ac:dyDescent="0.35">
      <c r="A54" s="22" t="s">
        <v>1712</v>
      </c>
      <c r="B54" s="45">
        <v>471</v>
      </c>
      <c r="C54" s="46" t="s">
        <v>1710</v>
      </c>
      <c r="D54" s="29" t="s">
        <v>1711</v>
      </c>
      <c r="E54" s="21"/>
      <c r="F54" s="7"/>
      <c r="G54" s="7"/>
      <c r="H54" s="7"/>
      <c r="I54" s="7"/>
      <c r="J54" s="7"/>
      <c r="K54" s="7"/>
      <c r="L54" s="7"/>
      <c r="M54" s="7"/>
      <c r="N54" s="7"/>
    </row>
    <row r="55" spans="1:14" ht="20.149999999999999" customHeight="1" x14ac:dyDescent="0.35">
      <c r="A55" s="22" t="s">
        <v>55</v>
      </c>
      <c r="B55" s="45">
        <v>1500</v>
      </c>
      <c r="C55" s="46" t="s">
        <v>14</v>
      </c>
      <c r="D55" s="37"/>
      <c r="E55" s="21"/>
      <c r="F55" s="7"/>
      <c r="G55" s="7"/>
      <c r="H55" s="7"/>
      <c r="I55" s="7"/>
      <c r="J55" s="7"/>
      <c r="K55" s="7"/>
      <c r="L55" s="7"/>
      <c r="M55" s="7"/>
      <c r="N55" s="7"/>
    </row>
    <row r="56" spans="1:14" ht="20.149999999999999" customHeight="1" x14ac:dyDescent="0.35">
      <c r="A56" s="22" t="s">
        <v>56</v>
      </c>
      <c r="B56" s="45">
        <v>454</v>
      </c>
      <c r="C56" s="46" t="s">
        <v>43</v>
      </c>
      <c r="D56" s="37"/>
      <c r="E56" s="21"/>
      <c r="F56" s="7"/>
      <c r="G56" s="7"/>
      <c r="H56" s="7"/>
      <c r="I56" s="7"/>
      <c r="J56" s="7"/>
      <c r="K56" s="7"/>
      <c r="L56" s="7"/>
      <c r="M56" s="7"/>
      <c r="N56" s="7"/>
    </row>
    <row r="57" spans="1:14" ht="20.149999999999999" customHeight="1" x14ac:dyDescent="0.35">
      <c r="A57" s="22" t="s">
        <v>61</v>
      </c>
      <c r="B57" s="45">
        <v>618.29999999999995</v>
      </c>
      <c r="C57" s="46" t="s">
        <v>1710</v>
      </c>
      <c r="D57" s="29" t="s">
        <v>1711</v>
      </c>
      <c r="E57" s="21"/>
      <c r="F57" s="7"/>
      <c r="G57" s="7"/>
      <c r="H57" s="7"/>
      <c r="I57" s="7"/>
      <c r="J57" s="7"/>
      <c r="K57" s="7"/>
      <c r="L57" s="7"/>
      <c r="M57" s="7"/>
      <c r="N57" s="7"/>
    </row>
    <row r="58" spans="1:14" ht="20.149999999999999" customHeight="1" x14ac:dyDescent="0.35">
      <c r="A58" s="22" t="s">
        <v>57</v>
      </c>
      <c r="B58" s="45">
        <v>3150</v>
      </c>
      <c r="C58" s="46" t="s">
        <v>43</v>
      </c>
      <c r="D58" s="37"/>
      <c r="E58" s="21"/>
      <c r="F58" s="7"/>
      <c r="G58" s="7"/>
      <c r="H58" s="7"/>
      <c r="I58" s="7"/>
      <c r="J58" s="7"/>
      <c r="K58" s="7"/>
      <c r="L58" s="7"/>
      <c r="M58" s="7"/>
      <c r="N58" s="7"/>
    </row>
    <row r="59" spans="1:14" ht="20.149999999999999" customHeight="1" x14ac:dyDescent="0.35">
      <c r="A59" s="22" t="s">
        <v>58</v>
      </c>
      <c r="B59" s="45">
        <v>3150</v>
      </c>
      <c r="C59" s="46" t="s">
        <v>43</v>
      </c>
      <c r="D59" s="37"/>
      <c r="E59" s="21"/>
      <c r="F59" s="7"/>
      <c r="G59" s="7"/>
      <c r="H59" s="7"/>
      <c r="I59" s="7"/>
      <c r="J59" s="7"/>
      <c r="K59" s="7"/>
      <c r="L59" s="7"/>
      <c r="M59" s="7"/>
      <c r="N59" s="7"/>
    </row>
    <row r="60" spans="1:14" ht="20.149999999999999" customHeight="1" x14ac:dyDescent="0.35">
      <c r="A60" s="21"/>
      <c r="B60" s="32"/>
      <c r="C60" s="21"/>
      <c r="D60" s="37"/>
      <c r="E60" s="21"/>
      <c r="F60" s="7"/>
      <c r="G60" s="7"/>
      <c r="H60" s="7"/>
      <c r="I60" s="7"/>
      <c r="J60" s="7"/>
      <c r="K60" s="7"/>
      <c r="L60" s="7"/>
      <c r="M60" s="7"/>
      <c r="N60" s="7"/>
    </row>
    <row r="61" spans="1:14" ht="20.149999999999999" customHeight="1" x14ac:dyDescent="0.35">
      <c r="A61" s="23" t="s">
        <v>70</v>
      </c>
      <c r="B61" s="34" t="s">
        <v>219</v>
      </c>
      <c r="C61" s="27" t="s">
        <v>220</v>
      </c>
      <c r="D61" s="28"/>
      <c r="E61" s="21"/>
      <c r="F61" s="7"/>
      <c r="G61" s="7"/>
      <c r="H61" s="7"/>
      <c r="I61" s="7"/>
      <c r="J61" s="7"/>
      <c r="K61" s="7"/>
      <c r="L61" s="7"/>
      <c r="M61" s="7"/>
      <c r="N61" s="7"/>
    </row>
    <row r="62" spans="1:14" ht="20.149999999999999" customHeight="1" x14ac:dyDescent="0.35">
      <c r="A62" s="22" t="s">
        <v>1713</v>
      </c>
      <c r="B62" s="45">
        <v>1384.06</v>
      </c>
      <c r="C62" s="46" t="s">
        <v>119</v>
      </c>
      <c r="D62" s="29" t="s">
        <v>222</v>
      </c>
      <c r="E62" s="21"/>
      <c r="F62" s="7"/>
      <c r="G62" s="7"/>
      <c r="H62" s="7"/>
      <c r="I62" s="7"/>
      <c r="J62" s="7"/>
      <c r="K62" s="7"/>
      <c r="L62" s="7"/>
      <c r="M62" s="7"/>
      <c r="N62" s="7"/>
    </row>
    <row r="63" spans="1:14" ht="20.149999999999999" customHeight="1" x14ac:dyDescent="0.35">
      <c r="A63" s="22" t="s">
        <v>1714</v>
      </c>
      <c r="B63" s="45">
        <v>21.54</v>
      </c>
      <c r="C63" s="46" t="s">
        <v>120</v>
      </c>
      <c r="D63" s="29" t="s">
        <v>223</v>
      </c>
      <c r="E63" s="21"/>
      <c r="F63" s="7"/>
      <c r="G63" s="7"/>
      <c r="H63" s="7"/>
      <c r="I63" s="7"/>
      <c r="J63" s="7"/>
      <c r="K63" s="7"/>
      <c r="L63" s="7"/>
      <c r="M63" s="7"/>
      <c r="N63" s="7"/>
    </row>
    <row r="64" spans="1:14" ht="20.149999999999999" customHeight="1" x14ac:dyDescent="0.35">
      <c r="A64" s="22" t="s">
        <v>73</v>
      </c>
      <c r="B64" s="45">
        <v>34.72</v>
      </c>
      <c r="C64" s="46" t="s">
        <v>120</v>
      </c>
      <c r="D64" s="29" t="s">
        <v>223</v>
      </c>
      <c r="E64" s="21"/>
      <c r="F64" s="7"/>
      <c r="G64" s="7"/>
      <c r="H64" s="7"/>
      <c r="I64" s="7"/>
      <c r="J64" s="7"/>
      <c r="K64" s="7"/>
      <c r="L64" s="7"/>
      <c r="M64" s="7"/>
      <c r="N64" s="7"/>
    </row>
    <row r="65" spans="1:14" ht="20.149999999999999" customHeight="1" x14ac:dyDescent="0.35">
      <c r="A65" s="22" t="s">
        <v>74</v>
      </c>
      <c r="B65" s="45">
        <v>0</v>
      </c>
      <c r="C65" s="46" t="s">
        <v>120</v>
      </c>
      <c r="D65" s="29" t="s">
        <v>223</v>
      </c>
      <c r="E65" s="21"/>
      <c r="F65" s="7"/>
      <c r="G65" s="7"/>
      <c r="H65" s="7"/>
      <c r="I65" s="7"/>
      <c r="J65" s="7"/>
      <c r="K65" s="7"/>
      <c r="L65" s="7"/>
      <c r="M65" s="7"/>
      <c r="N65" s="7"/>
    </row>
    <row r="66" spans="1:14" ht="20.149999999999999" customHeight="1" x14ac:dyDescent="0.35">
      <c r="A66" s="22" t="s">
        <v>75</v>
      </c>
      <c r="B66" s="45">
        <v>0.8</v>
      </c>
      <c r="C66" s="46" t="s">
        <v>1671</v>
      </c>
      <c r="D66" s="78" t="s">
        <v>1672</v>
      </c>
      <c r="E66" s="21"/>
      <c r="F66" s="7"/>
      <c r="G66" s="7"/>
      <c r="H66" s="7"/>
      <c r="I66" s="7"/>
      <c r="J66" s="7"/>
      <c r="K66" s="7"/>
      <c r="L66" s="7"/>
      <c r="M66" s="7"/>
      <c r="N66" s="7"/>
    </row>
    <row r="67" spans="1:14" ht="20.149999999999999" customHeight="1" x14ac:dyDescent="0.35">
      <c r="A67" s="21"/>
      <c r="B67" s="32"/>
      <c r="C67" s="21"/>
      <c r="D67" s="37"/>
      <c r="E67" s="21"/>
      <c r="F67" s="7"/>
      <c r="G67" s="7"/>
      <c r="H67" s="7"/>
      <c r="I67" s="7"/>
      <c r="J67" s="7"/>
      <c r="K67" s="7"/>
      <c r="L67" s="7"/>
      <c r="M67" s="7"/>
      <c r="N67" s="7"/>
    </row>
    <row r="68" spans="1:14" ht="30" customHeight="1" x14ac:dyDescent="0.35">
      <c r="A68" s="23" t="s">
        <v>121</v>
      </c>
      <c r="B68" s="34" t="s">
        <v>225</v>
      </c>
      <c r="C68" s="27" t="s">
        <v>221</v>
      </c>
      <c r="D68" s="28"/>
      <c r="E68" s="21"/>
      <c r="F68" s="7"/>
      <c r="G68" s="7"/>
      <c r="H68" s="7"/>
      <c r="I68" s="7"/>
      <c r="J68" s="7"/>
      <c r="K68" s="7"/>
      <c r="L68" s="7"/>
      <c r="M68" s="7"/>
      <c r="N68" s="7"/>
    </row>
    <row r="69" spans="1:14" ht="20.149999999999999" customHeight="1" x14ac:dyDescent="0.35">
      <c r="A69" s="22" t="s">
        <v>91</v>
      </c>
      <c r="B69" s="44" t="b">
        <v>0</v>
      </c>
      <c r="C69" s="30"/>
      <c r="D69" s="29"/>
      <c r="E69" s="21"/>
      <c r="F69" s="7"/>
      <c r="G69" s="7"/>
      <c r="H69" s="7"/>
      <c r="I69" s="7"/>
      <c r="J69" s="7"/>
      <c r="K69" s="7"/>
      <c r="L69" s="7"/>
      <c r="M69" s="7"/>
      <c r="N69" s="7"/>
    </row>
    <row r="70" spans="1:14" ht="20.149999999999999" customHeight="1" x14ac:dyDescent="0.35">
      <c r="A70" s="22" t="s">
        <v>84</v>
      </c>
      <c r="B70" s="45">
        <v>5</v>
      </c>
      <c r="C70" s="46" t="s">
        <v>65</v>
      </c>
      <c r="D70" s="37"/>
      <c r="E70" s="21"/>
      <c r="F70" s="7"/>
      <c r="G70" s="7"/>
      <c r="H70" s="7"/>
      <c r="I70" s="7"/>
      <c r="J70" s="7"/>
      <c r="K70" s="7"/>
      <c r="L70" s="7"/>
      <c r="M70" s="7"/>
      <c r="N70" s="7"/>
    </row>
    <row r="71" spans="1:14" ht="20.149999999999999" customHeight="1" x14ac:dyDescent="0.35">
      <c r="A71" s="22" t="s">
        <v>85</v>
      </c>
      <c r="B71" s="45">
        <v>5</v>
      </c>
      <c r="C71" s="46" t="s">
        <v>65</v>
      </c>
      <c r="D71" s="37"/>
      <c r="E71" s="21"/>
      <c r="F71" s="7"/>
      <c r="G71" s="7"/>
      <c r="H71" s="7"/>
      <c r="I71" s="7"/>
      <c r="J71" s="7"/>
      <c r="K71" s="7"/>
      <c r="L71" s="7"/>
      <c r="M71" s="7"/>
      <c r="N71" s="7"/>
    </row>
    <row r="72" spans="1:14" ht="20.149999999999999" customHeight="1" x14ac:dyDescent="0.35">
      <c r="A72" s="22" t="s">
        <v>86</v>
      </c>
      <c r="B72" s="45">
        <v>5</v>
      </c>
      <c r="C72" s="46" t="s">
        <v>65</v>
      </c>
      <c r="D72" s="37"/>
      <c r="E72" s="21"/>
      <c r="F72" s="7"/>
      <c r="G72" s="7"/>
      <c r="H72" s="7"/>
      <c r="I72" s="7"/>
      <c r="J72" s="7"/>
      <c r="K72" s="7"/>
      <c r="L72" s="7"/>
      <c r="M72" s="7"/>
      <c r="N72" s="7"/>
    </row>
    <row r="73" spans="1:14" ht="20.149999999999999" customHeight="1" x14ac:dyDescent="0.35">
      <c r="A73" s="22" t="s">
        <v>87</v>
      </c>
      <c r="B73" s="45">
        <v>5</v>
      </c>
      <c r="C73" s="46" t="s">
        <v>65</v>
      </c>
      <c r="D73" s="37"/>
      <c r="E73" s="21"/>
      <c r="F73" s="7"/>
      <c r="G73" s="7"/>
      <c r="H73" s="7"/>
      <c r="I73" s="7"/>
      <c r="J73" s="7"/>
      <c r="K73" s="7"/>
      <c r="L73" s="7"/>
      <c r="M73" s="7"/>
      <c r="N73" s="7"/>
    </row>
    <row r="74" spans="1:14" ht="20.149999999999999" customHeight="1" x14ac:dyDescent="0.35">
      <c r="A74" s="22" t="s">
        <v>88</v>
      </c>
      <c r="B74" s="45">
        <v>5</v>
      </c>
      <c r="C74" s="46" t="s">
        <v>65</v>
      </c>
      <c r="D74" s="37"/>
      <c r="E74" s="21"/>
      <c r="F74" s="7"/>
      <c r="G74" s="7"/>
      <c r="H74" s="7"/>
      <c r="I74" s="7"/>
      <c r="J74" s="7"/>
      <c r="K74" s="7"/>
      <c r="L74" s="7"/>
      <c r="M74" s="7"/>
      <c r="N74" s="7"/>
    </row>
    <row r="75" spans="1:14" ht="20.149999999999999" customHeight="1" x14ac:dyDescent="0.35">
      <c r="A75" s="21"/>
      <c r="B75" s="32"/>
      <c r="C75" s="21"/>
      <c r="D75" s="37"/>
      <c r="E75" s="21"/>
      <c r="F75" s="7"/>
      <c r="G75" s="7"/>
      <c r="H75" s="7"/>
      <c r="I75" s="7"/>
      <c r="J75" s="7"/>
      <c r="K75" s="7"/>
      <c r="L75" s="7"/>
      <c r="M75" s="7"/>
      <c r="N75" s="7"/>
    </row>
    <row r="76" spans="1:14" ht="29" x14ac:dyDescent="0.35">
      <c r="A76" s="23" t="s">
        <v>122</v>
      </c>
      <c r="B76" s="34" t="s">
        <v>225</v>
      </c>
      <c r="C76" s="42" t="s">
        <v>247</v>
      </c>
      <c r="D76" s="28"/>
      <c r="E76" s="21"/>
      <c r="F76" s="7"/>
      <c r="G76" s="7"/>
      <c r="H76" s="7"/>
      <c r="I76" s="7"/>
      <c r="J76" s="7"/>
      <c r="K76" s="7"/>
      <c r="L76" s="7"/>
      <c r="M76" s="7"/>
      <c r="N76" s="7"/>
    </row>
    <row r="77" spans="1:14" ht="20.149999999999999" customHeight="1" x14ac:dyDescent="0.35">
      <c r="A77" s="22" t="s">
        <v>109</v>
      </c>
      <c r="B77" s="45">
        <v>10000</v>
      </c>
      <c r="C77" s="21"/>
      <c r="D77" s="37"/>
      <c r="E77" s="21"/>
      <c r="F77" s="7"/>
      <c r="G77" s="7"/>
      <c r="H77" s="7"/>
      <c r="I77" s="7"/>
      <c r="J77" s="7"/>
      <c r="K77" s="7"/>
      <c r="L77" s="7"/>
      <c r="M77" s="7"/>
      <c r="N77" s="7"/>
    </row>
    <row r="78" spans="1:14" ht="20.149999999999999" customHeight="1" x14ac:dyDescent="0.35">
      <c r="A78" s="22" t="s">
        <v>83</v>
      </c>
      <c r="B78" s="45" t="b">
        <v>1</v>
      </c>
      <c r="C78" s="21"/>
      <c r="D78" s="37"/>
      <c r="E78" s="21"/>
      <c r="F78" s="7"/>
      <c r="G78" s="7"/>
      <c r="H78" s="7"/>
      <c r="I78" s="7"/>
      <c r="J78" s="7"/>
      <c r="K78" s="7"/>
      <c r="L78" s="7"/>
      <c r="M78" s="7"/>
      <c r="N78" s="7"/>
    </row>
    <row r="79" spans="1:14" ht="20.149999999999999" customHeight="1" x14ac:dyDescent="0.35">
      <c r="A79" s="22" t="s">
        <v>92</v>
      </c>
      <c r="B79" s="45">
        <v>100</v>
      </c>
      <c r="C79" s="46" t="s">
        <v>65</v>
      </c>
      <c r="D79" s="37"/>
      <c r="E79" s="21"/>
      <c r="F79" s="7"/>
      <c r="G79" s="7"/>
      <c r="H79" s="7"/>
      <c r="I79" s="7"/>
      <c r="J79" s="7"/>
      <c r="K79" s="7"/>
      <c r="L79" s="7"/>
      <c r="M79" s="7"/>
      <c r="N79" s="7"/>
    </row>
    <row r="80" spans="1:14" ht="20.149999999999999" customHeight="1" x14ac:dyDescent="0.35">
      <c r="A80" s="22" t="s">
        <v>93</v>
      </c>
      <c r="B80" s="45">
        <v>100</v>
      </c>
      <c r="C80" s="46" t="s">
        <v>65</v>
      </c>
      <c r="D80" s="37"/>
      <c r="E80" s="21"/>
      <c r="F80" s="7"/>
      <c r="G80" s="7"/>
      <c r="H80" s="7"/>
      <c r="I80" s="7"/>
      <c r="J80" s="7"/>
      <c r="K80" s="7"/>
      <c r="L80" s="7"/>
      <c r="M80" s="7"/>
      <c r="N80" s="7"/>
    </row>
    <row r="81" spans="1:14" ht="20.149999999999999" customHeight="1" x14ac:dyDescent="0.35">
      <c r="A81" s="22" t="s">
        <v>102</v>
      </c>
      <c r="B81" s="45" t="b">
        <v>0</v>
      </c>
      <c r="C81" s="21"/>
      <c r="D81" s="37"/>
      <c r="E81" s="21"/>
      <c r="F81" s="7"/>
      <c r="G81" s="7"/>
      <c r="H81" s="7"/>
      <c r="I81" s="7"/>
      <c r="J81" s="7"/>
      <c r="K81" s="7"/>
      <c r="L81" s="7"/>
      <c r="M81" s="7"/>
      <c r="N81" s="7"/>
    </row>
    <row r="82" spans="1:14" ht="20.149999999999999" customHeight="1" x14ac:dyDescent="0.35">
      <c r="A82" s="22" t="s">
        <v>103</v>
      </c>
      <c r="B82" s="45" t="b">
        <v>0</v>
      </c>
      <c r="C82" s="21"/>
      <c r="D82" s="37"/>
      <c r="E82" s="21"/>
      <c r="F82" s="7"/>
      <c r="G82" s="7"/>
      <c r="H82" s="7"/>
      <c r="I82" s="7"/>
      <c r="J82" s="7"/>
      <c r="K82" s="7"/>
      <c r="L82" s="7"/>
      <c r="M82" s="7"/>
      <c r="N82" s="7"/>
    </row>
    <row r="83" spans="1:14" ht="20.149999999999999" customHeight="1" x14ac:dyDescent="0.35">
      <c r="A83" s="22" t="s">
        <v>104</v>
      </c>
      <c r="B83" s="45" t="b">
        <v>0</v>
      </c>
      <c r="C83" s="21"/>
      <c r="D83" s="37"/>
      <c r="E83" s="21"/>
      <c r="F83" s="7"/>
      <c r="G83" s="7"/>
      <c r="H83" s="7"/>
      <c r="I83" s="7"/>
      <c r="J83" s="7"/>
      <c r="K83" s="7"/>
      <c r="L83" s="7"/>
      <c r="M83" s="7"/>
      <c r="N83" s="7"/>
    </row>
    <row r="84" spans="1:14" ht="20.149999999999999" customHeight="1" x14ac:dyDescent="0.35">
      <c r="A84" s="22" t="s">
        <v>105</v>
      </c>
      <c r="B84" s="45" t="b">
        <v>0</v>
      </c>
      <c r="C84" s="21"/>
      <c r="D84" s="37"/>
      <c r="E84" s="21"/>
      <c r="F84" s="7"/>
      <c r="G84" s="7"/>
      <c r="H84" s="7"/>
      <c r="I84" s="7"/>
      <c r="J84" s="7"/>
      <c r="K84" s="7"/>
      <c r="L84" s="7"/>
      <c r="M84" s="7"/>
      <c r="N84" s="7"/>
    </row>
    <row r="85" spans="1:14" ht="20.149999999999999" customHeight="1" x14ac:dyDescent="0.35">
      <c r="A85" s="22" t="s">
        <v>106</v>
      </c>
      <c r="B85" s="45" t="b">
        <v>0</v>
      </c>
      <c r="C85" s="21"/>
      <c r="D85" s="37"/>
      <c r="E85" s="21"/>
      <c r="F85" s="7"/>
      <c r="G85" s="7"/>
      <c r="H85" s="7"/>
      <c r="I85" s="7"/>
      <c r="J85" s="7"/>
      <c r="K85" s="7"/>
      <c r="L85" s="7"/>
      <c r="M85" s="7"/>
      <c r="N85" s="7"/>
    </row>
    <row r="86" spans="1:14" ht="20.149999999999999" customHeight="1" x14ac:dyDescent="0.35">
      <c r="A86" s="22" t="s">
        <v>107</v>
      </c>
      <c r="B86" s="45" t="b">
        <v>0</v>
      </c>
      <c r="C86" s="21"/>
      <c r="D86" s="37"/>
      <c r="E86" s="21"/>
      <c r="F86" s="7"/>
      <c r="G86" s="7"/>
      <c r="H86" s="7"/>
      <c r="I86" s="7"/>
      <c r="J86" s="7"/>
      <c r="K86" s="7"/>
      <c r="L86" s="7"/>
      <c r="M86" s="7"/>
      <c r="N86" s="7"/>
    </row>
    <row r="87" spans="1:14" ht="20.149999999999999" customHeight="1" x14ac:dyDescent="0.35">
      <c r="A87" s="22" t="s">
        <v>108</v>
      </c>
      <c r="B87" s="45">
        <v>0</v>
      </c>
      <c r="C87" s="21"/>
      <c r="D87" s="37"/>
      <c r="E87" s="21"/>
      <c r="F87" s="7"/>
      <c r="G87" s="7"/>
      <c r="H87" s="7"/>
      <c r="I87" s="7"/>
      <c r="J87" s="7"/>
      <c r="K87" s="7"/>
      <c r="L87" s="7"/>
      <c r="M87" s="7"/>
      <c r="N87" s="7"/>
    </row>
    <row r="88" spans="1:14" ht="20.149999999999999" customHeight="1" x14ac:dyDescent="0.35">
      <c r="A88" s="22" t="s">
        <v>209</v>
      </c>
      <c r="B88" s="45">
        <v>1</v>
      </c>
      <c r="C88" s="21"/>
      <c r="D88" s="37"/>
      <c r="E88" s="21"/>
      <c r="F88" s="7"/>
      <c r="G88" s="7"/>
      <c r="H88" s="7"/>
      <c r="I88" s="7"/>
      <c r="J88" s="7"/>
      <c r="K88" s="7"/>
      <c r="L88" s="7"/>
      <c r="M88" s="7"/>
      <c r="N88" s="7"/>
    </row>
    <row r="89" spans="1:14" ht="20.149999999999999" customHeight="1" x14ac:dyDescent="0.35">
      <c r="A89" s="22" t="s">
        <v>210</v>
      </c>
      <c r="B89" s="45">
        <v>0</v>
      </c>
      <c r="C89" s="21"/>
      <c r="D89" s="37"/>
      <c r="E89" s="21"/>
      <c r="F89" s="7"/>
      <c r="G89" s="7"/>
      <c r="H89" s="7"/>
      <c r="I89" s="7"/>
      <c r="J89" s="7"/>
      <c r="K89" s="7"/>
      <c r="L89" s="7"/>
      <c r="M89" s="7"/>
      <c r="N89" s="7"/>
    </row>
    <row r="90" spans="1:14" ht="20.149999999999999" customHeight="1" x14ac:dyDescent="0.35">
      <c r="A90" s="22" t="s">
        <v>203</v>
      </c>
      <c r="B90" s="45">
        <v>191</v>
      </c>
      <c r="C90" s="46" t="s">
        <v>204</v>
      </c>
      <c r="D90" s="29" t="s">
        <v>1722</v>
      </c>
      <c r="E90" s="21"/>
      <c r="F90" s="7"/>
      <c r="G90" s="7"/>
      <c r="H90" s="7"/>
      <c r="I90" s="7"/>
      <c r="J90" s="7"/>
      <c r="K90" s="7"/>
      <c r="L90" s="7"/>
      <c r="M90" s="7"/>
      <c r="N90" s="7"/>
    </row>
    <row r="91" spans="1:14" ht="20.25" customHeight="1" x14ac:dyDescent="0.35">
      <c r="A91" s="22" t="s">
        <v>1716</v>
      </c>
      <c r="B91" s="45" t="s">
        <v>1717</v>
      </c>
      <c r="C91" s="29" t="s">
        <v>1721</v>
      </c>
      <c r="D91" s="37"/>
      <c r="E91" s="21"/>
      <c r="F91" s="7"/>
      <c r="G91" s="7"/>
      <c r="H91" s="7"/>
      <c r="I91" s="7"/>
      <c r="J91" s="7"/>
      <c r="K91" s="7"/>
      <c r="L91" s="7"/>
      <c r="M91" s="7"/>
      <c r="N91" s="7"/>
    </row>
    <row r="92" spans="1:14" ht="20.25" customHeight="1" x14ac:dyDescent="0.35">
      <c r="A92" s="22" t="s">
        <v>1718</v>
      </c>
      <c r="B92" s="45" t="s">
        <v>100</v>
      </c>
      <c r="C92" s="29" t="s">
        <v>1719</v>
      </c>
      <c r="D92" s="29"/>
      <c r="E92" s="7"/>
      <c r="F92" s="7"/>
      <c r="G92" s="7"/>
      <c r="H92" s="7"/>
      <c r="I92" s="7"/>
      <c r="J92" s="7"/>
      <c r="K92" s="7"/>
      <c r="L92" s="7"/>
      <c r="M92" s="7"/>
      <c r="N92" s="7"/>
    </row>
    <row r="93" spans="1:14" x14ac:dyDescent="0.35">
      <c r="A93" s="7"/>
      <c r="B93" s="10"/>
      <c r="C93" s="7"/>
      <c r="D93" s="36"/>
      <c r="E93" s="7"/>
      <c r="F93" s="7"/>
      <c r="G93" s="7"/>
      <c r="H93" s="7"/>
      <c r="I93" s="7"/>
      <c r="J93" s="7"/>
      <c r="K93" s="7"/>
      <c r="L93" s="7"/>
      <c r="M93" s="7"/>
      <c r="N93" s="7"/>
    </row>
    <row r="94" spans="1:14" x14ac:dyDescent="0.35">
      <c r="A94" s="7"/>
      <c r="B94" s="10"/>
      <c r="C94" s="7"/>
      <c r="D94" s="36"/>
      <c r="E94" s="7"/>
      <c r="F94" s="7"/>
      <c r="G94" s="7"/>
      <c r="H94" s="7"/>
      <c r="I94" s="7"/>
      <c r="J94" s="7"/>
      <c r="K94" s="7"/>
      <c r="L94" s="7"/>
      <c r="M94" s="7"/>
      <c r="N94" s="7"/>
    </row>
    <row r="95" spans="1:14" x14ac:dyDescent="0.35">
      <c r="A95" s="7"/>
      <c r="B95" s="10"/>
      <c r="C95" s="7"/>
      <c r="D95" s="36"/>
      <c r="E95" s="7"/>
      <c r="F95" s="7"/>
      <c r="G95" s="7"/>
      <c r="H95" s="7"/>
      <c r="I95" s="7"/>
      <c r="J95" s="7"/>
      <c r="K95" s="7"/>
      <c r="L95" s="7"/>
      <c r="M95" s="7"/>
      <c r="N95" s="7"/>
    </row>
    <row r="96" spans="1:14" x14ac:dyDescent="0.35">
      <c r="A96" s="7"/>
      <c r="B96" s="10"/>
      <c r="C96" s="7"/>
      <c r="D96" s="36"/>
      <c r="E96" s="7"/>
      <c r="F96" s="7"/>
      <c r="G96" s="7"/>
      <c r="H96" s="7"/>
      <c r="I96" s="7"/>
      <c r="J96" s="7"/>
      <c r="K96" s="7"/>
      <c r="L96" s="7"/>
      <c r="M96" s="7"/>
      <c r="N96" s="7"/>
    </row>
    <row r="97" spans="1:14" x14ac:dyDescent="0.35">
      <c r="A97" s="7"/>
      <c r="B97" s="10"/>
      <c r="C97" s="7"/>
      <c r="D97" s="36"/>
      <c r="E97" s="7"/>
      <c r="F97" s="7"/>
      <c r="G97" s="7"/>
      <c r="H97" s="7"/>
      <c r="I97" s="7"/>
      <c r="J97" s="7"/>
      <c r="K97" s="7"/>
      <c r="L97" s="7"/>
      <c r="M97" s="7"/>
      <c r="N97" s="7"/>
    </row>
  </sheetData>
  <mergeCells count="2">
    <mergeCell ref="A2:F2"/>
    <mergeCell ref="A3:F3"/>
  </mergeCells>
  <dataValidations count="4">
    <dataValidation type="decimal" operator="greaterThanOrEqual" allowBlank="1" showInputMessage="1" showErrorMessage="1" sqref="B42:B46 B51 B54 B57 B62:B66 B79:B80 B88:B90" xr:uid="{E2D9F016-4A83-4135-BBE5-4B87F2D58717}">
      <formula1>0</formula1>
    </dataValidation>
    <dataValidation type="decimal" operator="greaterThan" allowBlank="1" showInputMessage="1" showErrorMessage="1" sqref="B49:B50 B52:B53 B55:B56 B70:B74 B77 B58:B59" xr:uid="{FBAC233A-2E4B-45A4-A82C-4ACC7664650D}">
      <formula1>0</formula1>
    </dataValidation>
    <dataValidation type="decimal" allowBlank="1" showInputMessage="1" showErrorMessage="1" sqref="B87" xr:uid="{FACA4E7A-C65B-4780-B8F2-D8B483CE08E0}">
      <formula1>0</formula1>
      <formula2>1</formula2>
    </dataValidation>
    <dataValidation type="list" operator="greaterThanOrEqual" allowBlank="1" showInputMessage="1" showErrorMessage="1" sqref="B91" xr:uid="{86D356CB-174D-48DE-BE3D-245B09C59DAD}">
      <formula1>"Default,HIGHS"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A5F5C836-629B-46C1-BB66-D5BF884A2787}">
          <x14:formula1>
            <xm:f>Notes!$F$3:$F$6</xm:f>
          </x14:formula1>
          <xm:sqref>C49 C52 C55 B12</xm:sqref>
        </x14:dataValidation>
        <x14:dataValidation type="list" allowBlank="1" showInputMessage="1" showErrorMessage="1" xr:uid="{39AE4407-D644-4DAC-9593-538A3F267722}">
          <x14:formula1>
            <xm:f>Notes!$G$3:$G$5</xm:f>
          </x14:formula1>
          <xm:sqref>C50 C53 C56 B13 C58:C59</xm:sqref>
        </x14:dataValidation>
        <x14:dataValidation type="list" allowBlank="1" showInputMessage="1" showErrorMessage="1" xr:uid="{099B2F90-2DC8-44CA-ADEA-EA345CD23559}">
          <x14:formula1>
            <xm:f>Notes!$I$3:$I$6</xm:f>
          </x14:formula1>
          <xm:sqref>B14 C79:C80 C70:C74</xm:sqref>
        </x14:dataValidation>
        <x14:dataValidation type="list" allowBlank="1" showInputMessage="1" showErrorMessage="1" xr:uid="{EF14BB93-88DA-4FBF-912E-7D82A8E1ADF3}">
          <x14:formula1>
            <xm:f>Notes!$E$3:$E$4</xm:f>
          </x14:formula1>
          <xm:sqref>B69 B81:B86 B78 B27 B23:B25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9F1E-DB95-4825-A96F-F20C6A269FD8}">
  <dimension ref="A1:V152"/>
  <sheetViews>
    <sheetView zoomScale="110" zoomScaleNormal="110" workbookViewId="0">
      <selection activeCell="D26" sqref="D26"/>
    </sheetView>
  </sheetViews>
  <sheetFormatPr defaultColWidth="8.81640625" defaultRowHeight="14.5" x14ac:dyDescent="0.35"/>
  <cols>
    <col min="1" max="2" width="23.81640625" style="66" customWidth="1"/>
    <col min="3" max="3" width="28.81640625" style="66" customWidth="1"/>
    <col min="4" max="4" width="9.1796875" style="66" customWidth="1"/>
    <col min="5" max="5" width="20.81640625" style="66" customWidth="1"/>
    <col min="6" max="6" width="20.1796875" style="66" customWidth="1"/>
    <col min="7" max="10" width="16.81640625" style="66" customWidth="1"/>
    <col min="11" max="11" width="18.81640625" style="66" customWidth="1"/>
    <col min="12" max="12" width="18.54296875" style="66" bestFit="1" customWidth="1"/>
    <col min="13" max="16384" width="8.81640625" style="66"/>
  </cols>
  <sheetData>
    <row r="1" spans="1:22" ht="21" x14ac:dyDescent="0.5">
      <c r="A1" s="63" t="s">
        <v>1642</v>
      </c>
      <c r="B1" s="64"/>
      <c r="C1" s="64"/>
      <c r="D1" s="65"/>
      <c r="E1" s="65"/>
      <c r="F1" s="65"/>
      <c r="G1" s="65"/>
      <c r="H1" s="65"/>
      <c r="I1" s="65"/>
      <c r="J1" s="65"/>
      <c r="K1" s="65"/>
      <c r="L1" s="65"/>
      <c r="M1" s="65"/>
      <c r="N1" s="65"/>
      <c r="O1" s="65"/>
      <c r="P1" s="65"/>
      <c r="Q1" s="65"/>
      <c r="R1" s="65"/>
      <c r="S1" s="65"/>
      <c r="T1" s="65"/>
      <c r="U1" s="65"/>
      <c r="V1" s="65"/>
    </row>
    <row r="2" spans="1:22" s="136" customFormat="1" ht="17.149999999999999" customHeight="1" x14ac:dyDescent="0.35">
      <c r="A2" s="157" t="s">
        <v>1643</v>
      </c>
      <c r="B2" s="157"/>
      <c r="C2" s="157"/>
      <c r="D2" s="157"/>
      <c r="E2" s="157"/>
      <c r="F2" s="157"/>
      <c r="G2" s="157"/>
      <c r="H2" s="157"/>
      <c r="I2" s="157"/>
      <c r="J2" s="157"/>
      <c r="K2" s="135"/>
      <c r="L2" s="135"/>
      <c r="M2" s="135"/>
      <c r="N2" s="135"/>
      <c r="O2" s="135"/>
      <c r="P2" s="135"/>
      <c r="Q2" s="135"/>
      <c r="R2" s="135"/>
      <c r="S2" s="135"/>
      <c r="T2" s="135"/>
      <c r="U2" s="135"/>
      <c r="V2" s="135"/>
    </row>
    <row r="3" spans="1:22" ht="18.649999999999999" customHeight="1" x14ac:dyDescent="0.35">
      <c r="A3" s="158" t="s">
        <v>1658</v>
      </c>
      <c r="B3" s="158"/>
      <c r="C3" s="158"/>
      <c r="D3" s="158"/>
      <c r="E3" s="158"/>
      <c r="F3" s="158"/>
      <c r="G3" s="158"/>
      <c r="H3" s="158"/>
      <c r="I3" s="158"/>
      <c r="J3" s="158"/>
      <c r="K3" s="65"/>
      <c r="L3" s="65"/>
      <c r="M3" s="65"/>
      <c r="N3" s="65"/>
      <c r="O3" s="65"/>
      <c r="P3" s="65"/>
      <c r="Q3" s="65"/>
      <c r="R3" s="65"/>
      <c r="S3" s="65"/>
      <c r="T3" s="65"/>
      <c r="U3" s="65"/>
      <c r="V3" s="65"/>
    </row>
    <row r="4" spans="1:22" ht="16.5" customHeight="1" x14ac:dyDescent="0.35">
      <c r="B4" s="65"/>
      <c r="C4" s="67" t="str" cm="1">
        <f t="array" ref="C4">IF(ISERROR(_xlfn._xlws.FILTER(Notes!O:O,(Notes!Q:Q="N")*(Notes!S:S=0))),"","ERROR! Enter a max transport distance for: "&amp;_xlfn.CONCAT(_xlfn.UNIQUE(_xlfn._xlws.FILTER(Notes!O:O,(Notes!Q:Q="N")*(Notes!S:S=0)))&amp;" "))</f>
        <v/>
      </c>
      <c r="D4" s="65"/>
      <c r="E4" s="65"/>
      <c r="G4" s="65"/>
      <c r="H4" s="65"/>
      <c r="I4" s="65"/>
      <c r="J4" s="65"/>
      <c r="K4" s="65"/>
      <c r="L4" s="65"/>
      <c r="M4" s="65"/>
      <c r="N4" s="65"/>
      <c r="O4" s="65"/>
      <c r="P4" s="65"/>
      <c r="Q4" s="65"/>
      <c r="R4" s="65"/>
      <c r="S4" s="65"/>
      <c r="T4" s="65"/>
      <c r="U4" s="65"/>
      <c r="V4" s="65"/>
    </row>
    <row r="5" spans="1:22" ht="21" x14ac:dyDescent="0.5">
      <c r="A5" s="64" t="s">
        <v>26</v>
      </c>
      <c r="B5" s="64"/>
      <c r="C5" s="68"/>
      <c r="D5" s="65"/>
      <c r="E5" s="64" t="s">
        <v>30</v>
      </c>
      <c r="F5" s="64"/>
      <c r="G5" s="64"/>
      <c r="H5" s="64"/>
      <c r="I5" s="64"/>
      <c r="J5" s="64"/>
      <c r="K5" s="69"/>
      <c r="L5" s="69"/>
      <c r="M5" s="65"/>
      <c r="N5" s="65"/>
      <c r="O5" s="65"/>
      <c r="P5" s="65"/>
      <c r="Q5" s="65"/>
      <c r="R5" s="65"/>
      <c r="S5" s="65"/>
      <c r="T5" s="65"/>
      <c r="U5" s="65"/>
      <c r="V5" s="65"/>
    </row>
    <row r="6" spans="1:22" x14ac:dyDescent="0.35">
      <c r="A6" s="65"/>
      <c r="B6" s="65"/>
      <c r="C6" s="70" t="s">
        <v>232</v>
      </c>
      <c r="D6" s="65"/>
      <c r="E6" s="71" t="s">
        <v>32</v>
      </c>
      <c r="F6" s="72" t="str">
        <f>Notes!AH3</f>
        <v>makeSAF</v>
      </c>
      <c r="G6" s="65"/>
      <c r="H6" s="65"/>
      <c r="I6" s="65"/>
      <c r="J6" s="65"/>
      <c r="K6" s="65"/>
      <c r="L6" s="65"/>
      <c r="M6" s="65"/>
      <c r="N6" s="65"/>
      <c r="O6" s="65"/>
      <c r="P6" s="65"/>
      <c r="Q6" s="65"/>
      <c r="R6" s="65"/>
      <c r="S6" s="65"/>
      <c r="T6" s="65"/>
      <c r="U6" s="65"/>
      <c r="V6" s="65"/>
    </row>
    <row r="7" spans="1:22" x14ac:dyDescent="0.35">
      <c r="A7" s="73" t="s">
        <v>27</v>
      </c>
      <c r="B7" s="73" t="s">
        <v>28</v>
      </c>
      <c r="C7" s="73" t="s">
        <v>29</v>
      </c>
      <c r="D7" s="65"/>
      <c r="E7" s="73" t="s">
        <v>6</v>
      </c>
      <c r="F7" s="72" t="str">
        <f>Notes!AH4</f>
        <v>N</v>
      </c>
      <c r="G7" s="74"/>
      <c r="H7" s="65"/>
      <c r="I7" s="65"/>
      <c r="J7" s="75"/>
      <c r="K7" s="70" t="s">
        <v>243</v>
      </c>
      <c r="L7" s="65"/>
      <c r="M7" s="65"/>
      <c r="N7" s="65"/>
      <c r="O7" s="65"/>
      <c r="P7" s="65"/>
      <c r="Q7" s="65"/>
      <c r="R7" s="65"/>
      <c r="S7" s="65"/>
      <c r="T7" s="65"/>
      <c r="U7" s="65"/>
      <c r="V7" s="65"/>
    </row>
    <row r="8" spans="1:22" x14ac:dyDescent="0.35">
      <c r="A8" s="65" t="str">
        <f>Notes!AC4</f>
        <v>SAF</v>
      </c>
      <c r="B8" s="65" t="str">
        <f>Notes!AD4</f>
        <v>liquid</v>
      </c>
      <c r="C8" s="65"/>
      <c r="D8" s="65"/>
      <c r="E8" s="73" t="s">
        <v>20</v>
      </c>
      <c r="F8" s="73" t="s">
        <v>237</v>
      </c>
      <c r="G8" s="73" t="s">
        <v>240</v>
      </c>
      <c r="H8" s="73" t="s">
        <v>21</v>
      </c>
      <c r="I8" s="73" t="s">
        <v>239</v>
      </c>
      <c r="J8" s="73" t="s">
        <v>238</v>
      </c>
      <c r="K8" s="73" t="s">
        <v>200</v>
      </c>
      <c r="L8" s="73" t="s">
        <v>242</v>
      </c>
      <c r="M8" s="71"/>
      <c r="N8" s="65"/>
      <c r="O8" s="65"/>
      <c r="P8" s="65"/>
      <c r="Q8" s="65"/>
      <c r="R8" s="65"/>
      <c r="S8" s="65"/>
      <c r="T8" s="65"/>
      <c r="U8" s="65"/>
      <c r="V8" s="65"/>
    </row>
    <row r="9" spans="1:22" x14ac:dyDescent="0.35">
      <c r="A9" s="65" t="str">
        <f>Notes!AC5</f>
        <v>fuel_blend</v>
      </c>
      <c r="B9" s="65" t="str">
        <f>Notes!AD5</f>
        <v>liquid</v>
      </c>
      <c r="C9" s="65"/>
      <c r="D9" s="65"/>
      <c r="E9" s="65" t="str">
        <f>Notes!AG6</f>
        <v>FOG</v>
      </c>
      <c r="F9" s="65">
        <f>Notes!AH6</f>
        <v>1</v>
      </c>
      <c r="G9" s="65" t="str">
        <f>Notes!AI6</f>
        <v>tons</v>
      </c>
      <c r="H9" s="65" t="str">
        <f>Notes!AJ6</f>
        <v>SAF</v>
      </c>
      <c r="I9" s="65">
        <f>Notes!AK6</f>
        <v>127.21129047148131</v>
      </c>
      <c r="J9" s="65" t="str">
        <f>Notes!AL6</f>
        <v>gallon</v>
      </c>
      <c r="K9" s="76" t="str">
        <f>F6</f>
        <v>makeSAF</v>
      </c>
      <c r="L9" s="76" t="str">
        <f>F7</f>
        <v>N</v>
      </c>
      <c r="M9" s="65"/>
      <c r="N9" s="65"/>
      <c r="O9" s="65"/>
      <c r="P9" s="65"/>
      <c r="Q9" s="65"/>
      <c r="R9" s="65"/>
      <c r="S9" s="65"/>
      <c r="T9" s="65"/>
      <c r="U9" s="65"/>
      <c r="V9" s="65"/>
    </row>
    <row r="10" spans="1:22" x14ac:dyDescent="0.35">
      <c r="A10" s="65" t="str">
        <f>Notes!AC6</f>
        <v>FOG</v>
      </c>
      <c r="B10" s="65" t="str">
        <f>Notes!AD6</f>
        <v>solid</v>
      </c>
      <c r="C10" s="65">
        <f>Notes!AE6</f>
        <v>500</v>
      </c>
      <c r="D10" s="65"/>
      <c r="E10" s="65"/>
      <c r="F10" s="65"/>
      <c r="G10" s="65"/>
      <c r="H10" s="65"/>
      <c r="I10" s="65"/>
      <c r="J10" s="65"/>
      <c r="K10" s="65"/>
      <c r="L10" s="65"/>
      <c r="M10" s="65"/>
      <c r="N10" s="65"/>
      <c r="O10" s="65"/>
      <c r="P10" s="65"/>
      <c r="Q10" s="65"/>
      <c r="R10" s="65"/>
      <c r="S10" s="65"/>
      <c r="T10" s="65"/>
      <c r="U10" s="65"/>
      <c r="V10" s="65"/>
    </row>
    <row r="11" spans="1:22" x14ac:dyDescent="0.35">
      <c r="A11" s="65"/>
      <c r="B11" s="65"/>
      <c r="C11" s="65"/>
      <c r="D11" s="65"/>
      <c r="E11" s="71" t="s">
        <v>32</v>
      </c>
      <c r="F11" s="72" t="str">
        <f>Notes!AH8</f>
        <v>blendSAF</v>
      </c>
      <c r="G11" s="104"/>
      <c r="H11" s="65"/>
      <c r="I11" s="65"/>
      <c r="J11" s="65"/>
      <c r="K11" s="65"/>
      <c r="L11" s="65"/>
      <c r="M11" s="65"/>
      <c r="N11" s="65"/>
      <c r="O11" s="65"/>
      <c r="P11" s="65"/>
      <c r="Q11" s="65"/>
      <c r="R11" s="65"/>
      <c r="S11" s="65"/>
      <c r="T11" s="65"/>
      <c r="U11" s="65"/>
      <c r="V11" s="65"/>
    </row>
    <row r="12" spans="1:22" x14ac:dyDescent="0.35">
      <c r="A12" s="65"/>
      <c r="B12" s="65"/>
      <c r="C12" s="65"/>
      <c r="D12" s="65"/>
      <c r="E12" s="73" t="s">
        <v>6</v>
      </c>
      <c r="F12" s="72" t="str">
        <f>Notes!AH9</f>
        <v>Y</v>
      </c>
      <c r="G12" s="74"/>
      <c r="H12" s="65"/>
      <c r="I12" s="65"/>
      <c r="J12" s="75"/>
      <c r="K12" s="70" t="s">
        <v>243</v>
      </c>
      <c r="L12" s="65"/>
      <c r="M12" s="65"/>
      <c r="N12" s="65"/>
      <c r="O12" s="65"/>
      <c r="P12" s="65"/>
      <c r="Q12" s="65"/>
      <c r="R12" s="65"/>
      <c r="S12" s="65"/>
      <c r="T12" s="65"/>
      <c r="U12" s="65"/>
      <c r="V12" s="65"/>
    </row>
    <row r="13" spans="1:22" x14ac:dyDescent="0.35">
      <c r="A13" s="65"/>
      <c r="B13" s="65"/>
      <c r="C13" s="65"/>
      <c r="D13" s="65"/>
      <c r="E13" s="73" t="s">
        <v>20</v>
      </c>
      <c r="F13" s="73" t="s">
        <v>237</v>
      </c>
      <c r="G13" s="73" t="s">
        <v>240</v>
      </c>
      <c r="H13" s="73" t="s">
        <v>21</v>
      </c>
      <c r="I13" s="73" t="s">
        <v>239</v>
      </c>
      <c r="J13" s="73" t="s">
        <v>238</v>
      </c>
      <c r="K13" s="73" t="s">
        <v>200</v>
      </c>
      <c r="L13" s="73" t="s">
        <v>242</v>
      </c>
      <c r="M13" s="65"/>
      <c r="N13" s="65"/>
      <c r="O13" s="65"/>
      <c r="P13" s="65"/>
      <c r="Q13" s="65"/>
      <c r="R13" s="65"/>
      <c r="S13" s="65"/>
      <c r="T13" s="65"/>
      <c r="U13" s="65"/>
      <c r="V13" s="65"/>
    </row>
    <row r="14" spans="1:22" x14ac:dyDescent="0.35">
      <c r="A14" s="65"/>
      <c r="B14" s="65"/>
      <c r="C14" s="65"/>
      <c r="D14" s="65"/>
      <c r="E14" s="65" t="str">
        <f>Notes!AG11</f>
        <v>SAF</v>
      </c>
      <c r="F14" s="65">
        <f>Notes!AH11</f>
        <v>1</v>
      </c>
      <c r="G14" s="65" t="str">
        <f>Notes!AI11</f>
        <v>gallons</v>
      </c>
      <c r="H14" s="65" t="str">
        <f>Notes!AJ11</f>
        <v>fuel_blend</v>
      </c>
      <c r="I14" s="65">
        <f>Notes!AK11</f>
        <v>2</v>
      </c>
      <c r="J14" s="65" t="str">
        <f>Notes!AL11</f>
        <v>gallons</v>
      </c>
      <c r="K14" s="76" t="str">
        <f>F11</f>
        <v>blendSAF</v>
      </c>
      <c r="L14" s="76" t="str">
        <f>F12</f>
        <v>Y</v>
      </c>
      <c r="M14" s="105"/>
      <c r="N14" s="65"/>
      <c r="O14" s="65"/>
      <c r="P14" s="65"/>
      <c r="Q14" s="65"/>
      <c r="R14" s="65"/>
      <c r="S14" s="65"/>
      <c r="T14" s="65"/>
      <c r="U14" s="65"/>
      <c r="V14" s="65"/>
    </row>
    <row r="15" spans="1:22" x14ac:dyDescent="0.35">
      <c r="A15" s="65"/>
      <c r="B15" s="65"/>
      <c r="C15" s="65"/>
      <c r="D15" s="65"/>
      <c r="E15" s="65"/>
      <c r="F15" s="65"/>
      <c r="G15" s="65"/>
      <c r="H15" s="65"/>
      <c r="I15" s="65"/>
      <c r="J15" s="65"/>
      <c r="K15" s="65"/>
      <c r="L15" s="65"/>
      <c r="M15" s="65"/>
      <c r="N15" s="65"/>
      <c r="O15" s="65"/>
      <c r="P15" s="65"/>
      <c r="Q15" s="65"/>
      <c r="R15" s="65"/>
      <c r="S15" s="65"/>
      <c r="T15" s="65"/>
      <c r="U15" s="65"/>
      <c r="V15" s="65"/>
    </row>
    <row r="16" spans="1:22" x14ac:dyDescent="0.35">
      <c r="A16" s="65"/>
      <c r="B16" s="65"/>
      <c r="C16" s="65"/>
      <c r="D16" s="65"/>
      <c r="E16" s="71" t="s">
        <v>32</v>
      </c>
      <c r="F16" s="72" t="str">
        <f>IF('SAF Filters'!$J$37="Y",Notes!AH13,"")</f>
        <v>makeSAF_Existing</v>
      </c>
      <c r="G16" s="65"/>
      <c r="H16" s="65"/>
      <c r="I16" s="65"/>
      <c r="J16" s="65"/>
      <c r="K16" s="65"/>
      <c r="L16" s="65"/>
      <c r="M16" s="65"/>
      <c r="N16" s="65"/>
      <c r="O16" s="65"/>
      <c r="P16" s="65"/>
      <c r="Q16" s="65"/>
      <c r="R16" s="65"/>
      <c r="S16" s="65"/>
      <c r="T16" s="65"/>
      <c r="U16" s="65"/>
      <c r="V16" s="65"/>
    </row>
    <row r="17" spans="1:22" x14ac:dyDescent="0.35">
      <c r="A17" s="65"/>
      <c r="B17" s="65"/>
      <c r="C17" s="65"/>
      <c r="D17" s="65"/>
      <c r="E17" s="73" t="s">
        <v>6</v>
      </c>
      <c r="F17" s="72" t="str">
        <f>IF('SAF Filters'!$J$37="Y",Notes!AH14,"")</f>
        <v>Y</v>
      </c>
      <c r="G17" s="74"/>
      <c r="H17" s="65"/>
      <c r="I17" s="65"/>
      <c r="J17" s="75"/>
      <c r="K17" s="70" t="s">
        <v>243</v>
      </c>
      <c r="L17" s="65"/>
      <c r="M17" s="65"/>
      <c r="N17" s="65"/>
      <c r="O17" s="65"/>
      <c r="P17" s="65"/>
      <c r="Q17" s="65"/>
      <c r="R17" s="65"/>
      <c r="S17" s="65"/>
      <c r="T17" s="65"/>
      <c r="U17" s="65"/>
      <c r="V17" s="65"/>
    </row>
    <row r="18" spans="1:22" x14ac:dyDescent="0.35">
      <c r="A18" s="65"/>
      <c r="B18" s="65"/>
      <c r="C18" s="65"/>
      <c r="D18" s="65"/>
      <c r="E18" s="73" t="s">
        <v>20</v>
      </c>
      <c r="F18" s="73" t="s">
        <v>237</v>
      </c>
      <c r="G18" s="73" t="s">
        <v>240</v>
      </c>
      <c r="H18" s="73" t="s">
        <v>21</v>
      </c>
      <c r="I18" s="73" t="s">
        <v>239</v>
      </c>
      <c r="J18" s="73" t="s">
        <v>238</v>
      </c>
      <c r="K18" s="73" t="s">
        <v>200</v>
      </c>
      <c r="L18" s="73" t="s">
        <v>242</v>
      </c>
      <c r="M18" s="65"/>
      <c r="N18" s="65"/>
      <c r="O18" s="65"/>
      <c r="P18" s="65"/>
      <c r="Q18" s="65"/>
      <c r="R18" s="65"/>
      <c r="S18" s="65"/>
      <c r="T18" s="65"/>
      <c r="U18" s="65"/>
      <c r="V18" s="65"/>
    </row>
    <row r="19" spans="1:22" x14ac:dyDescent="0.35">
      <c r="A19" s="65"/>
      <c r="B19" s="65"/>
      <c r="C19" s="65"/>
      <c r="D19" s="65"/>
      <c r="E19" s="65" t="str">
        <f>IF('SAF Filters'!$J$37="Y",Notes!AG16,"")</f>
        <v>FOG</v>
      </c>
      <c r="F19" s="65">
        <f>IF('SAF Filters'!$J$37="Y",Notes!AH16,"")</f>
        <v>1</v>
      </c>
      <c r="G19" s="65" t="str">
        <f>IF('SAF Filters'!$J$37="Y",Notes!AI16,"")</f>
        <v>tons</v>
      </c>
      <c r="H19" s="65" t="str">
        <f>IF('SAF Filters'!$J$37="Y",Notes!AJ16,"")</f>
        <v>SAF</v>
      </c>
      <c r="I19" s="65">
        <f>IF('SAF Filters'!$J$37="Y",Notes!AK16,"")</f>
        <v>127.21129047148131</v>
      </c>
      <c r="J19" s="65" t="str">
        <f>IF('SAF Filters'!$J$37="Y",Notes!AL16,"")</f>
        <v>gallon</v>
      </c>
      <c r="K19" s="76">
        <f>IF('SAF Filters'!$J$37="Y",Notes!AM16,"")</f>
        <v>0</v>
      </c>
      <c r="L19" s="76">
        <f>IF('SAF Filters'!$J$37="Y",Notes!AN16,"")</f>
        <v>0</v>
      </c>
      <c r="M19" s="65"/>
      <c r="N19" s="65"/>
      <c r="O19" s="65"/>
      <c r="P19" s="65"/>
      <c r="Q19" s="65"/>
      <c r="R19" s="65"/>
      <c r="S19" s="65"/>
      <c r="T19" s="65"/>
      <c r="U19" s="65"/>
      <c r="V19" s="65"/>
    </row>
    <row r="20" spans="1:22" x14ac:dyDescent="0.35">
      <c r="A20" s="65"/>
      <c r="B20" s="65"/>
      <c r="C20" s="65"/>
      <c r="D20" s="65"/>
      <c r="E20" s="65"/>
      <c r="F20" s="65"/>
      <c r="G20" s="65"/>
      <c r="H20" s="65"/>
      <c r="I20" s="65"/>
      <c r="J20" s="65"/>
      <c r="K20" s="65"/>
      <c r="L20" s="65"/>
      <c r="M20" s="65"/>
      <c r="N20" s="65"/>
      <c r="O20" s="65"/>
      <c r="P20" s="65"/>
      <c r="Q20" s="65"/>
      <c r="R20" s="65"/>
      <c r="S20" s="65"/>
      <c r="T20" s="65"/>
      <c r="U20" s="65"/>
      <c r="V20" s="65"/>
    </row>
    <row r="21" spans="1:22" x14ac:dyDescent="0.35">
      <c r="A21" s="65"/>
      <c r="B21" s="65"/>
      <c r="C21" s="65"/>
      <c r="D21" s="65"/>
      <c r="E21" s="65"/>
      <c r="F21" s="65"/>
      <c r="G21" s="65"/>
      <c r="H21" s="65"/>
      <c r="I21" s="65"/>
      <c r="J21" s="65"/>
      <c r="K21" s="65"/>
      <c r="L21" s="65"/>
      <c r="M21" s="65"/>
      <c r="N21" s="65"/>
      <c r="O21" s="65"/>
      <c r="P21" s="65"/>
      <c r="Q21" s="65"/>
      <c r="R21" s="65"/>
      <c r="S21" s="65"/>
      <c r="T21" s="65"/>
      <c r="U21" s="65"/>
      <c r="V21" s="65"/>
    </row>
    <row r="22" spans="1:22" x14ac:dyDescent="0.35">
      <c r="A22" s="65"/>
      <c r="B22" s="65"/>
      <c r="C22" s="65"/>
      <c r="D22" s="65"/>
      <c r="E22" s="65"/>
      <c r="F22" s="65"/>
      <c r="G22" s="65"/>
      <c r="H22" s="65"/>
      <c r="I22" s="65"/>
      <c r="J22" s="65"/>
      <c r="K22" s="65"/>
      <c r="L22" s="65"/>
      <c r="M22" s="65"/>
      <c r="N22" s="65"/>
      <c r="O22" s="65"/>
      <c r="P22" s="65"/>
      <c r="Q22" s="65"/>
      <c r="R22" s="65"/>
      <c r="S22" s="65"/>
      <c r="T22" s="65"/>
      <c r="U22" s="65"/>
      <c r="V22" s="65"/>
    </row>
    <row r="23" spans="1:22" x14ac:dyDescent="0.35">
      <c r="A23" s="65"/>
      <c r="B23" s="65"/>
      <c r="C23" s="65"/>
      <c r="D23" s="65"/>
      <c r="E23" s="65"/>
      <c r="F23" s="65"/>
      <c r="G23" s="65"/>
      <c r="H23" s="65"/>
      <c r="I23" s="65"/>
      <c r="J23" s="65"/>
      <c r="K23" s="65"/>
      <c r="L23" s="65"/>
      <c r="M23" s="65"/>
      <c r="N23" s="65"/>
      <c r="O23" s="65"/>
      <c r="P23" s="65"/>
      <c r="Q23" s="65"/>
      <c r="R23" s="65"/>
      <c r="S23" s="65"/>
      <c r="T23" s="65"/>
      <c r="U23" s="65"/>
      <c r="V23" s="65"/>
    </row>
    <row r="24" spans="1:22" x14ac:dyDescent="0.35">
      <c r="A24" s="65"/>
      <c r="B24" s="65"/>
      <c r="C24" s="65"/>
      <c r="D24" s="65"/>
      <c r="E24" s="65"/>
      <c r="F24" s="65"/>
      <c r="G24" s="65"/>
      <c r="H24" s="65"/>
      <c r="I24" s="65"/>
      <c r="J24" s="65"/>
      <c r="K24" s="65"/>
      <c r="L24" s="65"/>
      <c r="M24" s="65"/>
      <c r="N24" s="65"/>
      <c r="O24" s="65"/>
      <c r="P24" s="65"/>
      <c r="Q24" s="65"/>
      <c r="R24" s="65"/>
      <c r="S24" s="65"/>
      <c r="T24" s="65"/>
      <c r="U24" s="65"/>
      <c r="V24" s="65"/>
    </row>
    <row r="25" spans="1:22" x14ac:dyDescent="0.35">
      <c r="A25" s="65"/>
      <c r="B25" s="65"/>
      <c r="C25" s="65"/>
      <c r="D25" s="65"/>
      <c r="E25" s="65"/>
      <c r="F25" s="65"/>
      <c r="G25" s="65"/>
      <c r="H25" s="65"/>
      <c r="I25" s="65"/>
      <c r="J25" s="65"/>
      <c r="K25" s="65"/>
      <c r="L25" s="65"/>
      <c r="M25" s="65"/>
      <c r="N25" s="65"/>
      <c r="O25" s="65"/>
      <c r="P25" s="65"/>
      <c r="Q25" s="65"/>
      <c r="R25" s="65"/>
      <c r="S25" s="65"/>
      <c r="T25" s="65"/>
      <c r="U25" s="65"/>
      <c r="V25" s="65"/>
    </row>
    <row r="26" spans="1:22" x14ac:dyDescent="0.35">
      <c r="A26" s="65"/>
      <c r="B26" s="65"/>
      <c r="C26" s="65"/>
      <c r="D26" s="65"/>
      <c r="E26" s="65"/>
      <c r="F26" s="65"/>
      <c r="G26" s="65"/>
      <c r="H26" s="65"/>
      <c r="I26" s="65"/>
      <c r="J26" s="65"/>
      <c r="K26" s="65"/>
      <c r="L26" s="65"/>
      <c r="M26" s="65"/>
      <c r="N26" s="65"/>
      <c r="O26" s="65"/>
      <c r="P26" s="65"/>
      <c r="Q26" s="65"/>
      <c r="R26" s="65"/>
      <c r="S26" s="65"/>
      <c r="T26" s="65"/>
      <c r="U26" s="65"/>
      <c r="V26" s="65"/>
    </row>
    <row r="27" spans="1:22" x14ac:dyDescent="0.35">
      <c r="A27" s="65"/>
      <c r="B27" s="65"/>
      <c r="C27" s="65"/>
      <c r="D27" s="65"/>
      <c r="E27" s="65"/>
      <c r="F27" s="65"/>
      <c r="G27" s="65"/>
      <c r="H27" s="65"/>
      <c r="I27" s="65"/>
      <c r="J27" s="65"/>
      <c r="K27" s="65"/>
      <c r="L27" s="65"/>
      <c r="M27" s="65"/>
      <c r="N27" s="65"/>
      <c r="O27" s="65"/>
      <c r="P27" s="65"/>
      <c r="Q27" s="65"/>
      <c r="R27" s="65"/>
      <c r="S27" s="65"/>
      <c r="T27" s="65"/>
      <c r="U27" s="65"/>
      <c r="V27" s="65"/>
    </row>
    <row r="28" spans="1:22" x14ac:dyDescent="0.35">
      <c r="A28" s="65"/>
      <c r="B28" s="65"/>
      <c r="C28" s="65"/>
      <c r="D28" s="65"/>
      <c r="E28" s="65"/>
      <c r="F28" s="65"/>
      <c r="G28" s="65"/>
      <c r="H28" s="65"/>
      <c r="I28" s="65"/>
      <c r="J28" s="65"/>
      <c r="K28" s="65"/>
      <c r="L28" s="65"/>
      <c r="M28" s="65"/>
      <c r="N28" s="65"/>
      <c r="O28" s="65"/>
      <c r="P28" s="65"/>
      <c r="Q28" s="65"/>
      <c r="R28" s="65"/>
      <c r="S28" s="65"/>
      <c r="T28" s="65"/>
      <c r="U28" s="65"/>
      <c r="V28" s="65"/>
    </row>
    <row r="29" spans="1:22" x14ac:dyDescent="0.35">
      <c r="A29" s="65"/>
      <c r="B29" s="65"/>
      <c r="C29" s="65"/>
      <c r="D29" s="65"/>
      <c r="E29" s="65"/>
      <c r="F29" s="65"/>
      <c r="G29" s="65"/>
      <c r="H29" s="65"/>
      <c r="I29" s="65"/>
      <c r="J29" s="65"/>
      <c r="K29" s="65"/>
      <c r="L29" s="65"/>
      <c r="M29" s="65"/>
      <c r="N29" s="65"/>
      <c r="O29" s="65"/>
      <c r="P29" s="65"/>
      <c r="Q29" s="65"/>
      <c r="R29" s="65"/>
      <c r="S29" s="65"/>
      <c r="T29" s="65"/>
      <c r="U29" s="65"/>
      <c r="V29" s="65"/>
    </row>
    <row r="30" spans="1:22" x14ac:dyDescent="0.35">
      <c r="A30" s="65"/>
      <c r="B30" s="65"/>
      <c r="C30" s="65"/>
      <c r="D30" s="65"/>
      <c r="E30" s="65"/>
      <c r="F30" s="65"/>
      <c r="G30" s="65"/>
      <c r="H30" s="65"/>
      <c r="I30" s="65"/>
      <c r="J30" s="65"/>
      <c r="K30" s="65"/>
      <c r="L30" s="65"/>
      <c r="M30" s="65"/>
      <c r="N30" s="65"/>
      <c r="O30" s="65"/>
      <c r="P30" s="65"/>
      <c r="Q30" s="65"/>
      <c r="R30" s="65"/>
      <c r="S30" s="65"/>
      <c r="T30" s="65"/>
      <c r="U30" s="65"/>
      <c r="V30" s="65"/>
    </row>
    <row r="31" spans="1:22" x14ac:dyDescent="0.35">
      <c r="A31" s="65"/>
      <c r="B31" s="65"/>
      <c r="C31" s="65"/>
      <c r="D31" s="65"/>
      <c r="E31" s="65"/>
      <c r="F31" s="65"/>
      <c r="G31" s="65"/>
      <c r="H31" s="65"/>
      <c r="I31" s="65"/>
      <c r="J31" s="65"/>
      <c r="K31" s="65"/>
      <c r="L31" s="65"/>
      <c r="M31" s="65"/>
      <c r="N31" s="65"/>
      <c r="O31" s="65"/>
      <c r="P31" s="65"/>
      <c r="Q31" s="65"/>
      <c r="R31" s="65"/>
      <c r="S31" s="65"/>
      <c r="T31" s="65"/>
      <c r="U31" s="65"/>
      <c r="V31" s="65"/>
    </row>
    <row r="32" spans="1:22" x14ac:dyDescent="0.35">
      <c r="A32" s="65"/>
      <c r="B32" s="65"/>
      <c r="C32" s="65"/>
      <c r="D32" s="65"/>
      <c r="E32" s="65"/>
      <c r="F32" s="65"/>
      <c r="G32" s="65"/>
      <c r="H32" s="65"/>
      <c r="I32" s="65"/>
      <c r="J32" s="65"/>
      <c r="K32" s="65"/>
      <c r="L32" s="65"/>
      <c r="M32" s="65"/>
      <c r="N32" s="65"/>
      <c r="O32" s="65"/>
      <c r="P32" s="65"/>
      <c r="Q32" s="65"/>
      <c r="R32" s="65"/>
      <c r="S32" s="65"/>
      <c r="T32" s="65"/>
      <c r="U32" s="65"/>
      <c r="V32" s="65"/>
    </row>
    <row r="33" spans="1:22" x14ac:dyDescent="0.35">
      <c r="A33" s="65"/>
      <c r="B33" s="65"/>
      <c r="C33" s="65"/>
      <c r="D33" s="65"/>
      <c r="E33" s="65"/>
      <c r="F33" s="65"/>
      <c r="G33" s="65"/>
      <c r="H33" s="65"/>
      <c r="I33" s="65"/>
      <c r="J33" s="65"/>
      <c r="K33" s="65"/>
      <c r="L33" s="65"/>
      <c r="M33" s="65"/>
      <c r="N33" s="65"/>
      <c r="O33" s="65"/>
      <c r="P33" s="65"/>
      <c r="Q33" s="65"/>
      <c r="R33" s="65"/>
      <c r="S33" s="65"/>
      <c r="T33" s="65"/>
      <c r="U33" s="65"/>
      <c r="V33" s="65"/>
    </row>
    <row r="34" spans="1:22" x14ac:dyDescent="0.35">
      <c r="A34" s="65"/>
      <c r="B34" s="65"/>
      <c r="C34" s="65"/>
      <c r="D34" s="65"/>
      <c r="E34" s="65"/>
      <c r="F34" s="65"/>
      <c r="G34" s="65"/>
      <c r="H34" s="65"/>
      <c r="I34" s="65"/>
      <c r="J34" s="65"/>
      <c r="K34" s="65"/>
      <c r="L34" s="65"/>
      <c r="M34" s="65"/>
      <c r="N34" s="65"/>
      <c r="O34" s="65"/>
      <c r="P34" s="65"/>
      <c r="Q34" s="65"/>
      <c r="R34" s="65"/>
      <c r="S34" s="65"/>
      <c r="T34" s="65"/>
      <c r="U34" s="65"/>
      <c r="V34" s="65"/>
    </row>
    <row r="35" spans="1:22" x14ac:dyDescent="0.35">
      <c r="A35" s="65"/>
      <c r="B35" s="65"/>
      <c r="C35" s="65"/>
      <c r="D35" s="65"/>
      <c r="E35" s="65"/>
      <c r="F35" s="65"/>
      <c r="G35" s="65"/>
      <c r="H35" s="65"/>
      <c r="I35" s="65"/>
      <c r="J35" s="65"/>
      <c r="K35" s="65"/>
      <c r="L35" s="65"/>
      <c r="M35" s="65"/>
      <c r="N35" s="65"/>
      <c r="O35" s="65"/>
      <c r="P35" s="65"/>
      <c r="Q35" s="65"/>
      <c r="R35" s="65"/>
      <c r="S35" s="65"/>
      <c r="T35" s="65"/>
      <c r="U35" s="65"/>
      <c r="V35" s="65"/>
    </row>
    <row r="36" spans="1:22" x14ac:dyDescent="0.35">
      <c r="A36" s="65"/>
      <c r="B36" s="65"/>
      <c r="C36" s="65"/>
      <c r="D36" s="65"/>
      <c r="E36" s="65"/>
      <c r="F36" s="65"/>
      <c r="G36" s="65"/>
      <c r="H36" s="65"/>
      <c r="I36" s="65"/>
      <c r="J36" s="65"/>
      <c r="K36" s="65"/>
      <c r="L36" s="65"/>
      <c r="M36" s="65"/>
      <c r="N36" s="65"/>
      <c r="O36" s="65"/>
      <c r="P36" s="65"/>
      <c r="Q36" s="65"/>
      <c r="R36" s="65"/>
      <c r="S36" s="65"/>
      <c r="T36" s="65"/>
      <c r="U36" s="65"/>
      <c r="V36" s="65"/>
    </row>
    <row r="37" spans="1:22" x14ac:dyDescent="0.35">
      <c r="A37" s="65"/>
      <c r="B37" s="65"/>
      <c r="C37" s="65"/>
      <c r="D37" s="65"/>
      <c r="E37" s="65"/>
      <c r="F37" s="65"/>
      <c r="G37" s="65"/>
      <c r="H37" s="65"/>
      <c r="I37" s="65"/>
      <c r="J37" s="65"/>
      <c r="K37" s="65"/>
      <c r="L37" s="65"/>
      <c r="M37" s="65"/>
      <c r="N37" s="65"/>
      <c r="O37" s="65"/>
      <c r="P37" s="65"/>
      <c r="Q37" s="65"/>
      <c r="R37" s="65"/>
      <c r="S37" s="65"/>
      <c r="T37" s="65"/>
      <c r="U37" s="65"/>
      <c r="V37" s="65"/>
    </row>
    <row r="38" spans="1:22" x14ac:dyDescent="0.35">
      <c r="A38" s="65"/>
      <c r="B38" s="65"/>
      <c r="C38" s="65"/>
      <c r="D38" s="65"/>
      <c r="E38" s="65"/>
      <c r="F38" s="65"/>
      <c r="G38" s="65"/>
      <c r="H38" s="65"/>
      <c r="I38" s="65"/>
      <c r="J38" s="65"/>
      <c r="K38" s="65"/>
      <c r="L38" s="65"/>
      <c r="M38" s="65"/>
      <c r="N38" s="65"/>
      <c r="O38" s="65"/>
      <c r="P38" s="65"/>
      <c r="Q38" s="65"/>
      <c r="R38" s="65"/>
      <c r="S38" s="65"/>
      <c r="T38" s="65"/>
      <c r="U38" s="65"/>
      <c r="V38" s="65"/>
    </row>
    <row r="39" spans="1:22" x14ac:dyDescent="0.35">
      <c r="A39" s="65"/>
      <c r="B39" s="65"/>
      <c r="C39" s="65"/>
      <c r="D39" s="65"/>
      <c r="E39" s="65"/>
      <c r="F39" s="65"/>
      <c r="G39" s="65"/>
      <c r="H39" s="65"/>
      <c r="I39" s="65"/>
      <c r="J39" s="65"/>
      <c r="K39" s="65"/>
      <c r="L39" s="65"/>
      <c r="M39" s="65"/>
      <c r="N39" s="65"/>
      <c r="O39" s="65"/>
      <c r="P39" s="65"/>
      <c r="Q39" s="65"/>
      <c r="R39" s="65"/>
      <c r="S39" s="65"/>
      <c r="T39" s="65"/>
      <c r="U39" s="65"/>
      <c r="V39" s="65"/>
    </row>
    <row r="40" spans="1:22" x14ac:dyDescent="0.35">
      <c r="A40" s="65"/>
      <c r="B40" s="65"/>
      <c r="C40" s="65"/>
      <c r="D40" s="65"/>
      <c r="E40" s="65"/>
      <c r="F40" s="65"/>
      <c r="G40" s="65"/>
      <c r="H40" s="65"/>
      <c r="I40" s="65"/>
      <c r="J40" s="65"/>
      <c r="K40" s="65"/>
      <c r="L40" s="65"/>
      <c r="M40" s="65"/>
      <c r="N40" s="65"/>
      <c r="O40" s="65"/>
      <c r="P40" s="65"/>
      <c r="Q40" s="65"/>
      <c r="R40" s="65"/>
      <c r="S40" s="65"/>
      <c r="T40" s="65"/>
      <c r="U40" s="65"/>
      <c r="V40" s="65"/>
    </row>
    <row r="41" spans="1:22" x14ac:dyDescent="0.35">
      <c r="A41" s="65"/>
      <c r="B41" s="65"/>
      <c r="C41" s="65"/>
      <c r="D41" s="65"/>
      <c r="E41" s="65"/>
      <c r="F41" s="65"/>
      <c r="G41" s="65"/>
      <c r="H41" s="65"/>
      <c r="I41" s="65"/>
      <c r="J41" s="65"/>
      <c r="K41" s="65"/>
      <c r="L41" s="65"/>
      <c r="M41" s="65"/>
      <c r="N41" s="65"/>
      <c r="O41" s="65"/>
      <c r="P41" s="65"/>
      <c r="Q41" s="65"/>
      <c r="R41" s="65"/>
      <c r="S41" s="65"/>
      <c r="T41" s="65"/>
      <c r="U41" s="65"/>
      <c r="V41" s="65"/>
    </row>
    <row r="42" spans="1:22" x14ac:dyDescent="0.35">
      <c r="A42" s="65"/>
      <c r="B42" s="65"/>
      <c r="C42" s="65"/>
      <c r="D42" s="65"/>
      <c r="E42" s="65"/>
      <c r="F42" s="65"/>
      <c r="G42" s="65"/>
      <c r="H42" s="65"/>
      <c r="I42" s="65"/>
      <c r="J42" s="65"/>
      <c r="K42" s="65"/>
      <c r="L42" s="65"/>
      <c r="M42" s="65"/>
      <c r="N42" s="65"/>
      <c r="O42" s="65"/>
      <c r="P42" s="65"/>
      <c r="Q42" s="65"/>
      <c r="R42" s="65"/>
      <c r="S42" s="65"/>
      <c r="T42" s="65"/>
      <c r="U42" s="65"/>
      <c r="V42" s="65"/>
    </row>
    <row r="43" spans="1:22" x14ac:dyDescent="0.35">
      <c r="A43" s="65"/>
      <c r="B43" s="65"/>
      <c r="C43" s="65"/>
      <c r="D43" s="65"/>
      <c r="E43" s="65"/>
      <c r="F43" s="65"/>
      <c r="G43" s="65"/>
      <c r="H43" s="65"/>
      <c r="I43" s="65"/>
      <c r="J43" s="65"/>
      <c r="K43" s="65"/>
      <c r="L43" s="65"/>
      <c r="M43" s="65"/>
      <c r="N43" s="65"/>
      <c r="O43" s="65"/>
      <c r="P43" s="65"/>
      <c r="Q43" s="65"/>
      <c r="R43" s="65"/>
      <c r="S43" s="65"/>
      <c r="T43" s="65"/>
      <c r="U43" s="65"/>
      <c r="V43" s="65"/>
    </row>
    <row r="44" spans="1:22" x14ac:dyDescent="0.35">
      <c r="A44" s="65"/>
      <c r="B44" s="65"/>
      <c r="C44" s="65"/>
      <c r="D44" s="65"/>
      <c r="E44" s="65"/>
      <c r="F44" s="65"/>
      <c r="G44" s="65"/>
      <c r="H44" s="65"/>
      <c r="I44" s="65"/>
      <c r="J44" s="65"/>
      <c r="K44" s="65"/>
      <c r="L44" s="65"/>
      <c r="M44" s="65"/>
      <c r="N44" s="65"/>
      <c r="O44" s="65"/>
      <c r="P44" s="65"/>
      <c r="Q44" s="65"/>
      <c r="R44" s="65"/>
      <c r="S44" s="65"/>
      <c r="T44" s="65"/>
      <c r="U44" s="65"/>
      <c r="V44" s="65"/>
    </row>
    <row r="45" spans="1:22" x14ac:dyDescent="0.35">
      <c r="A45" s="65"/>
      <c r="B45" s="65"/>
      <c r="C45" s="65"/>
      <c r="D45" s="65"/>
      <c r="E45" s="65"/>
      <c r="F45" s="65"/>
      <c r="G45" s="65"/>
      <c r="H45" s="65"/>
      <c r="I45" s="65"/>
      <c r="J45" s="65"/>
      <c r="K45" s="65"/>
      <c r="L45" s="65"/>
      <c r="M45" s="65"/>
      <c r="N45" s="65"/>
      <c r="O45" s="65"/>
      <c r="P45" s="65"/>
      <c r="Q45" s="65"/>
      <c r="R45" s="65"/>
      <c r="S45" s="65"/>
      <c r="T45" s="65"/>
      <c r="U45" s="65"/>
      <c r="V45" s="65"/>
    </row>
    <row r="46" spans="1:22" x14ac:dyDescent="0.35">
      <c r="A46" s="65"/>
      <c r="B46" s="65"/>
      <c r="C46" s="65"/>
      <c r="D46" s="65"/>
      <c r="E46" s="65"/>
      <c r="F46" s="65"/>
      <c r="G46" s="65"/>
      <c r="H46" s="65"/>
      <c r="I46" s="65"/>
      <c r="J46" s="65"/>
      <c r="K46" s="65"/>
      <c r="L46" s="65"/>
      <c r="M46" s="65"/>
      <c r="N46" s="65"/>
      <c r="O46" s="65"/>
      <c r="P46" s="65"/>
      <c r="Q46" s="65"/>
      <c r="R46" s="65"/>
      <c r="S46" s="65"/>
      <c r="T46" s="65"/>
      <c r="U46" s="65"/>
      <c r="V46" s="65"/>
    </row>
    <row r="47" spans="1:22" x14ac:dyDescent="0.35">
      <c r="A47" s="65"/>
      <c r="B47" s="65"/>
      <c r="C47" s="65"/>
      <c r="D47" s="65"/>
      <c r="E47" s="65"/>
      <c r="F47" s="65"/>
      <c r="G47" s="65"/>
      <c r="H47" s="65"/>
      <c r="I47" s="65"/>
      <c r="J47" s="65"/>
      <c r="K47" s="65"/>
      <c r="L47" s="65"/>
      <c r="M47" s="65"/>
      <c r="N47" s="65"/>
      <c r="O47" s="65"/>
      <c r="P47" s="65"/>
      <c r="Q47" s="65"/>
      <c r="R47" s="65"/>
      <c r="S47" s="65"/>
      <c r="T47" s="65"/>
      <c r="U47" s="65"/>
      <c r="V47" s="65"/>
    </row>
    <row r="48" spans="1:22" x14ac:dyDescent="0.35">
      <c r="A48" s="65"/>
      <c r="B48" s="65"/>
      <c r="C48" s="65"/>
      <c r="D48" s="65"/>
      <c r="E48" s="65"/>
      <c r="F48" s="65"/>
      <c r="G48" s="65"/>
      <c r="H48" s="65"/>
      <c r="I48" s="65"/>
      <c r="J48" s="65"/>
      <c r="K48" s="65"/>
      <c r="L48" s="65"/>
      <c r="M48" s="65"/>
      <c r="N48" s="65"/>
      <c r="O48" s="65"/>
      <c r="P48" s="65"/>
      <c r="Q48" s="65"/>
      <c r="R48" s="65"/>
      <c r="S48" s="65"/>
      <c r="T48" s="65"/>
      <c r="U48" s="65"/>
      <c r="V48" s="65"/>
    </row>
    <row r="49" spans="1:22" x14ac:dyDescent="0.35">
      <c r="A49" s="65"/>
      <c r="B49" s="65"/>
      <c r="C49" s="65"/>
      <c r="D49" s="65"/>
      <c r="E49" s="65"/>
      <c r="F49" s="65"/>
      <c r="G49" s="65"/>
      <c r="H49" s="65"/>
      <c r="I49" s="65"/>
      <c r="J49" s="65"/>
      <c r="K49" s="65"/>
      <c r="L49" s="65"/>
      <c r="M49" s="65"/>
      <c r="N49" s="65"/>
      <c r="O49" s="65"/>
      <c r="P49" s="65"/>
      <c r="Q49" s="65"/>
      <c r="R49" s="65"/>
      <c r="S49" s="65"/>
      <c r="T49" s="65"/>
      <c r="U49" s="65"/>
      <c r="V49" s="65"/>
    </row>
    <row r="50" spans="1:22" x14ac:dyDescent="0.35">
      <c r="A50" s="65"/>
      <c r="B50" s="65"/>
      <c r="C50" s="65"/>
      <c r="D50" s="65"/>
      <c r="E50" s="65"/>
      <c r="F50" s="65"/>
      <c r="G50" s="65"/>
      <c r="H50" s="65"/>
      <c r="I50" s="65"/>
      <c r="J50" s="65"/>
      <c r="K50" s="65"/>
      <c r="L50" s="65"/>
      <c r="M50" s="65"/>
      <c r="N50" s="65"/>
      <c r="O50" s="65"/>
      <c r="P50" s="65"/>
      <c r="Q50" s="65"/>
      <c r="R50" s="65"/>
      <c r="S50" s="65"/>
      <c r="T50" s="65"/>
      <c r="U50" s="65"/>
      <c r="V50" s="65"/>
    </row>
    <row r="51" spans="1:22" x14ac:dyDescent="0.35">
      <c r="A51" s="65"/>
      <c r="B51" s="65"/>
      <c r="C51" s="65"/>
      <c r="D51" s="65"/>
      <c r="E51" s="65"/>
      <c r="F51" s="65"/>
      <c r="G51" s="65"/>
      <c r="H51" s="65"/>
      <c r="I51" s="65"/>
      <c r="J51" s="65"/>
      <c r="K51" s="65"/>
      <c r="L51" s="65"/>
      <c r="M51" s="65"/>
      <c r="N51" s="65"/>
      <c r="O51" s="65"/>
      <c r="P51" s="65"/>
      <c r="Q51" s="65"/>
      <c r="R51" s="65"/>
      <c r="S51" s="65"/>
      <c r="T51" s="65"/>
      <c r="U51" s="65"/>
      <c r="V51" s="65"/>
    </row>
    <row r="52" spans="1:22" x14ac:dyDescent="0.35">
      <c r="A52" s="65"/>
      <c r="B52" s="65"/>
      <c r="C52" s="65"/>
      <c r="D52" s="65"/>
      <c r="E52" s="65"/>
      <c r="F52" s="65"/>
      <c r="G52" s="65"/>
      <c r="H52" s="65"/>
      <c r="I52" s="65"/>
      <c r="J52" s="65"/>
      <c r="K52" s="65"/>
      <c r="L52" s="65"/>
      <c r="M52" s="65"/>
      <c r="N52" s="65"/>
      <c r="O52" s="65"/>
      <c r="P52" s="65"/>
      <c r="Q52" s="65"/>
      <c r="R52" s="65"/>
      <c r="S52" s="65"/>
      <c r="T52" s="65"/>
      <c r="U52" s="65"/>
      <c r="V52" s="65"/>
    </row>
    <row r="53" spans="1:22" x14ac:dyDescent="0.35">
      <c r="A53" s="65"/>
      <c r="B53" s="65"/>
      <c r="C53" s="65"/>
      <c r="D53" s="65"/>
      <c r="E53" s="65"/>
      <c r="F53" s="65"/>
      <c r="G53" s="65"/>
      <c r="H53" s="65"/>
      <c r="I53" s="65"/>
      <c r="J53" s="65"/>
      <c r="K53" s="65"/>
      <c r="L53" s="65"/>
      <c r="M53" s="65"/>
      <c r="N53" s="65"/>
      <c r="O53" s="65"/>
      <c r="P53" s="65"/>
      <c r="Q53" s="65"/>
      <c r="R53" s="65"/>
      <c r="S53" s="65"/>
      <c r="T53" s="65"/>
      <c r="U53" s="65"/>
      <c r="V53" s="65"/>
    </row>
    <row r="54" spans="1:22" x14ac:dyDescent="0.35">
      <c r="A54" s="65"/>
      <c r="B54" s="65"/>
      <c r="C54" s="65"/>
      <c r="D54" s="65"/>
      <c r="E54" s="65"/>
      <c r="F54" s="65"/>
      <c r="G54" s="65"/>
      <c r="H54" s="65"/>
      <c r="I54" s="65"/>
      <c r="J54" s="65"/>
      <c r="K54" s="65"/>
      <c r="L54" s="65"/>
      <c r="M54" s="65"/>
      <c r="N54" s="65"/>
      <c r="O54" s="65"/>
      <c r="P54" s="65"/>
      <c r="Q54" s="65"/>
      <c r="R54" s="65"/>
      <c r="S54" s="65"/>
      <c r="T54" s="65"/>
      <c r="U54" s="65"/>
      <c r="V54" s="65"/>
    </row>
    <row r="55" spans="1:22" x14ac:dyDescent="0.35">
      <c r="A55" s="65"/>
      <c r="B55" s="65"/>
      <c r="C55" s="65"/>
      <c r="D55" s="65"/>
      <c r="E55" s="65"/>
      <c r="F55" s="65"/>
      <c r="G55" s="65"/>
      <c r="H55" s="65"/>
      <c r="I55" s="65"/>
      <c r="J55" s="65"/>
      <c r="K55" s="65"/>
      <c r="L55" s="65"/>
      <c r="M55" s="65"/>
      <c r="N55" s="65"/>
      <c r="O55" s="65"/>
      <c r="P55" s="65"/>
      <c r="Q55" s="65"/>
      <c r="R55" s="65"/>
      <c r="S55" s="65"/>
      <c r="T55" s="65"/>
      <c r="U55" s="65"/>
      <c r="V55" s="65"/>
    </row>
    <row r="56" spans="1:22" x14ac:dyDescent="0.35">
      <c r="A56" s="65"/>
      <c r="B56" s="65"/>
      <c r="C56" s="65"/>
      <c r="D56" s="65"/>
      <c r="E56" s="65"/>
      <c r="F56" s="65"/>
      <c r="G56" s="65"/>
      <c r="H56" s="65"/>
      <c r="I56" s="65"/>
      <c r="J56" s="65"/>
      <c r="K56" s="65"/>
      <c r="L56" s="65"/>
      <c r="M56" s="65"/>
      <c r="N56" s="65"/>
      <c r="O56" s="65"/>
      <c r="P56" s="65"/>
      <c r="Q56" s="65"/>
      <c r="R56" s="65"/>
      <c r="S56" s="65"/>
      <c r="T56" s="65"/>
      <c r="U56" s="65"/>
      <c r="V56" s="65"/>
    </row>
    <row r="57" spans="1:22" x14ac:dyDescent="0.35">
      <c r="A57" s="65"/>
      <c r="B57" s="65"/>
      <c r="C57" s="65"/>
      <c r="D57" s="65"/>
      <c r="E57" s="65"/>
      <c r="F57" s="65"/>
      <c r="G57" s="65"/>
      <c r="H57" s="65"/>
      <c r="I57" s="65"/>
      <c r="J57" s="65"/>
      <c r="K57" s="65"/>
      <c r="L57" s="65"/>
      <c r="M57" s="65"/>
      <c r="N57" s="65"/>
      <c r="O57" s="65"/>
      <c r="P57" s="65"/>
      <c r="Q57" s="65"/>
      <c r="R57" s="65"/>
      <c r="S57" s="65"/>
      <c r="T57" s="65"/>
      <c r="U57" s="65"/>
      <c r="V57" s="65"/>
    </row>
    <row r="58" spans="1:22" x14ac:dyDescent="0.35">
      <c r="A58" s="65"/>
      <c r="B58" s="65"/>
      <c r="C58" s="65"/>
      <c r="D58" s="65"/>
      <c r="E58" s="65"/>
      <c r="F58" s="65"/>
      <c r="G58" s="65"/>
      <c r="H58" s="65"/>
      <c r="I58" s="65"/>
      <c r="J58" s="65"/>
      <c r="K58" s="65"/>
      <c r="L58" s="65"/>
      <c r="M58" s="65"/>
      <c r="N58" s="65"/>
      <c r="O58" s="65"/>
      <c r="P58" s="65"/>
      <c r="Q58" s="65"/>
      <c r="R58" s="65"/>
      <c r="S58" s="65"/>
      <c r="T58" s="65"/>
      <c r="U58" s="65"/>
      <c r="V58" s="65"/>
    </row>
    <row r="59" spans="1:22" x14ac:dyDescent="0.35">
      <c r="A59" s="65"/>
      <c r="B59" s="65"/>
      <c r="C59" s="65"/>
      <c r="D59" s="65"/>
      <c r="E59" s="65"/>
      <c r="F59" s="65"/>
      <c r="G59" s="65"/>
      <c r="H59" s="65"/>
      <c r="I59" s="65"/>
      <c r="J59" s="65"/>
      <c r="K59" s="65"/>
      <c r="L59" s="65"/>
      <c r="M59" s="65"/>
      <c r="N59" s="65"/>
      <c r="O59" s="65"/>
      <c r="P59" s="65"/>
      <c r="Q59" s="65"/>
      <c r="R59" s="65"/>
      <c r="S59" s="65"/>
      <c r="T59" s="65"/>
      <c r="U59" s="65"/>
      <c r="V59" s="65"/>
    </row>
    <row r="60" spans="1:22" x14ac:dyDescent="0.35">
      <c r="A60" s="65"/>
      <c r="B60" s="65"/>
      <c r="C60" s="65"/>
      <c r="D60" s="65"/>
      <c r="E60" s="65"/>
      <c r="F60" s="65"/>
      <c r="G60" s="65"/>
      <c r="H60" s="65"/>
      <c r="I60" s="65"/>
      <c r="J60" s="65"/>
      <c r="K60" s="65"/>
      <c r="L60" s="65"/>
      <c r="M60" s="65"/>
      <c r="N60" s="65"/>
      <c r="O60" s="65"/>
      <c r="P60" s="65"/>
      <c r="Q60" s="65"/>
      <c r="R60" s="65"/>
      <c r="S60" s="65"/>
      <c r="T60" s="65"/>
      <c r="U60" s="65"/>
      <c r="V60" s="65"/>
    </row>
    <row r="61" spans="1:22" x14ac:dyDescent="0.35">
      <c r="A61" s="65"/>
      <c r="B61" s="65"/>
      <c r="C61" s="65"/>
      <c r="D61" s="65"/>
      <c r="E61" s="65"/>
      <c r="F61" s="65"/>
      <c r="G61" s="65"/>
      <c r="H61" s="65"/>
      <c r="I61" s="65"/>
      <c r="J61" s="65"/>
      <c r="K61" s="65"/>
      <c r="L61" s="65"/>
      <c r="M61" s="65"/>
      <c r="N61" s="65"/>
      <c r="O61" s="65"/>
      <c r="P61" s="65"/>
      <c r="Q61" s="65"/>
      <c r="R61" s="65"/>
      <c r="S61" s="65"/>
      <c r="T61" s="65"/>
      <c r="U61" s="65"/>
      <c r="V61" s="65"/>
    </row>
    <row r="62" spans="1:22" x14ac:dyDescent="0.35">
      <c r="A62" s="65"/>
      <c r="B62" s="65"/>
      <c r="C62" s="65"/>
      <c r="D62" s="65"/>
      <c r="E62" s="65"/>
      <c r="F62" s="65"/>
      <c r="G62" s="65"/>
      <c r="H62" s="65"/>
      <c r="I62" s="65"/>
      <c r="J62" s="65"/>
      <c r="K62" s="65"/>
      <c r="L62" s="65"/>
      <c r="M62" s="65"/>
      <c r="N62" s="65"/>
      <c r="O62" s="65"/>
      <c r="P62" s="65"/>
      <c r="Q62" s="65"/>
      <c r="R62" s="65"/>
      <c r="S62" s="65"/>
      <c r="T62" s="65"/>
      <c r="U62" s="65"/>
      <c r="V62" s="65"/>
    </row>
    <row r="63" spans="1:22" x14ac:dyDescent="0.35">
      <c r="A63" s="65"/>
      <c r="B63" s="65"/>
      <c r="C63" s="65"/>
      <c r="D63" s="65"/>
      <c r="E63" s="65"/>
      <c r="F63" s="65"/>
      <c r="G63" s="65"/>
      <c r="H63" s="65"/>
      <c r="I63" s="65"/>
      <c r="J63" s="65"/>
      <c r="K63" s="65"/>
      <c r="L63" s="65"/>
      <c r="M63" s="65"/>
      <c r="N63" s="65"/>
      <c r="O63" s="65"/>
      <c r="P63" s="65"/>
      <c r="Q63" s="65"/>
      <c r="R63" s="65"/>
      <c r="S63" s="65"/>
      <c r="T63" s="65"/>
      <c r="U63" s="65"/>
      <c r="V63" s="65"/>
    </row>
    <row r="64" spans="1:22" x14ac:dyDescent="0.35">
      <c r="A64" s="65"/>
      <c r="B64" s="65"/>
      <c r="C64" s="65"/>
      <c r="D64" s="65"/>
      <c r="E64" s="65"/>
      <c r="F64" s="65"/>
      <c r="G64" s="65"/>
      <c r="H64" s="65"/>
      <c r="I64" s="65"/>
      <c r="J64" s="65"/>
      <c r="K64" s="65"/>
      <c r="L64" s="65"/>
      <c r="M64" s="65"/>
      <c r="N64" s="65"/>
      <c r="O64" s="65"/>
      <c r="P64" s="65"/>
      <c r="Q64" s="65"/>
      <c r="R64" s="65"/>
      <c r="S64" s="65"/>
      <c r="T64" s="65"/>
      <c r="U64" s="65"/>
      <c r="V64" s="65"/>
    </row>
    <row r="65" spans="1:22" x14ac:dyDescent="0.35">
      <c r="A65" s="65"/>
      <c r="B65" s="65"/>
      <c r="C65" s="65"/>
      <c r="D65" s="65"/>
      <c r="E65" s="65"/>
      <c r="F65" s="65"/>
      <c r="G65" s="65"/>
      <c r="H65" s="65"/>
      <c r="I65" s="65"/>
      <c r="J65" s="65"/>
      <c r="K65" s="65"/>
      <c r="L65" s="65"/>
      <c r="M65" s="65"/>
      <c r="N65" s="65"/>
      <c r="O65" s="65"/>
      <c r="P65" s="65"/>
      <c r="Q65" s="65"/>
      <c r="R65" s="65"/>
      <c r="S65" s="65"/>
      <c r="T65" s="65"/>
      <c r="U65" s="65"/>
      <c r="V65" s="65"/>
    </row>
    <row r="66" spans="1:22" x14ac:dyDescent="0.35">
      <c r="A66" s="65"/>
      <c r="B66" s="65"/>
      <c r="C66" s="65"/>
      <c r="D66" s="65"/>
      <c r="E66" s="65"/>
      <c r="F66" s="65"/>
      <c r="G66" s="65"/>
      <c r="H66" s="65"/>
      <c r="I66" s="65"/>
      <c r="J66" s="65"/>
      <c r="K66" s="65"/>
      <c r="L66" s="65"/>
      <c r="M66" s="65"/>
      <c r="N66" s="65"/>
      <c r="O66" s="65"/>
      <c r="P66" s="65"/>
      <c r="Q66" s="65"/>
      <c r="R66" s="65"/>
      <c r="S66" s="65"/>
      <c r="T66" s="65"/>
      <c r="U66" s="65"/>
      <c r="V66" s="65"/>
    </row>
    <row r="67" spans="1:22" x14ac:dyDescent="0.35">
      <c r="A67" s="65"/>
      <c r="B67" s="65"/>
      <c r="C67" s="65"/>
      <c r="D67" s="65"/>
      <c r="E67" s="65"/>
      <c r="F67" s="65"/>
      <c r="G67" s="65"/>
      <c r="H67" s="65"/>
      <c r="I67" s="65"/>
      <c r="J67" s="65"/>
      <c r="K67" s="65"/>
      <c r="L67" s="65"/>
      <c r="M67" s="65"/>
      <c r="N67" s="65"/>
      <c r="O67" s="65"/>
      <c r="P67" s="65"/>
      <c r="Q67" s="65"/>
      <c r="R67" s="65"/>
      <c r="S67" s="65"/>
      <c r="T67" s="65"/>
      <c r="U67" s="65"/>
      <c r="V67" s="65"/>
    </row>
    <row r="68" spans="1:22" x14ac:dyDescent="0.35">
      <c r="A68" s="65"/>
      <c r="B68" s="65"/>
      <c r="C68" s="65"/>
      <c r="D68" s="65"/>
      <c r="E68" s="65"/>
      <c r="F68" s="65"/>
      <c r="G68" s="65"/>
      <c r="H68" s="65"/>
      <c r="I68" s="65"/>
      <c r="J68" s="65"/>
      <c r="K68" s="65"/>
      <c r="L68" s="65"/>
      <c r="M68" s="65"/>
      <c r="N68" s="65"/>
      <c r="O68" s="65"/>
      <c r="P68" s="65"/>
      <c r="Q68" s="65"/>
      <c r="R68" s="65"/>
      <c r="S68" s="65"/>
      <c r="T68" s="65"/>
      <c r="U68" s="65"/>
      <c r="V68" s="65"/>
    </row>
    <row r="69" spans="1:22" x14ac:dyDescent="0.35">
      <c r="A69" s="65"/>
      <c r="B69" s="65"/>
      <c r="C69" s="65"/>
      <c r="D69" s="65"/>
      <c r="E69" s="65"/>
      <c r="F69" s="65"/>
      <c r="G69" s="65"/>
      <c r="H69" s="65"/>
      <c r="I69" s="65"/>
      <c r="J69" s="65"/>
      <c r="K69" s="65"/>
      <c r="L69" s="65"/>
      <c r="M69" s="65"/>
      <c r="N69" s="65"/>
      <c r="O69" s="65"/>
      <c r="P69" s="65"/>
      <c r="Q69" s="65"/>
      <c r="R69" s="65"/>
      <c r="S69" s="65"/>
      <c r="T69" s="65"/>
      <c r="U69" s="65"/>
      <c r="V69" s="65"/>
    </row>
    <row r="70" spans="1:22" x14ac:dyDescent="0.35">
      <c r="A70" s="65"/>
      <c r="B70" s="65"/>
      <c r="C70" s="65"/>
      <c r="D70" s="65"/>
      <c r="E70" s="65"/>
      <c r="F70" s="65"/>
      <c r="G70" s="65"/>
      <c r="H70" s="65"/>
      <c r="I70" s="65"/>
      <c r="J70" s="65"/>
      <c r="K70" s="65"/>
      <c r="L70" s="65"/>
      <c r="M70" s="65"/>
      <c r="N70" s="65"/>
      <c r="O70" s="65"/>
      <c r="P70" s="65"/>
      <c r="Q70" s="65"/>
      <c r="R70" s="65"/>
      <c r="S70" s="65"/>
      <c r="T70" s="65"/>
      <c r="U70" s="65"/>
      <c r="V70" s="65"/>
    </row>
    <row r="71" spans="1:22" x14ac:dyDescent="0.35">
      <c r="A71" s="65"/>
      <c r="B71" s="65"/>
      <c r="C71" s="65"/>
      <c r="D71" s="65"/>
      <c r="E71" s="65"/>
      <c r="F71" s="65"/>
      <c r="G71" s="65"/>
      <c r="H71" s="65"/>
      <c r="I71" s="65"/>
      <c r="J71" s="65"/>
      <c r="K71" s="65"/>
      <c r="L71" s="65"/>
      <c r="M71" s="65"/>
      <c r="N71" s="65"/>
      <c r="O71" s="65"/>
      <c r="P71" s="65"/>
      <c r="Q71" s="65"/>
      <c r="R71" s="65"/>
      <c r="S71" s="65"/>
      <c r="T71" s="65"/>
      <c r="U71" s="65"/>
      <c r="V71" s="65"/>
    </row>
    <row r="72" spans="1:22" x14ac:dyDescent="0.35">
      <c r="A72" s="65"/>
      <c r="B72" s="65"/>
      <c r="C72" s="65"/>
      <c r="D72" s="65"/>
      <c r="E72" s="65"/>
      <c r="F72" s="65"/>
      <c r="G72" s="65"/>
      <c r="H72" s="65"/>
      <c r="I72" s="65"/>
      <c r="J72" s="65"/>
      <c r="K72" s="65"/>
      <c r="L72" s="65"/>
      <c r="M72" s="65"/>
      <c r="N72" s="65"/>
      <c r="O72" s="65"/>
      <c r="P72" s="65"/>
      <c r="Q72" s="65"/>
      <c r="R72" s="65"/>
      <c r="S72" s="65"/>
      <c r="T72" s="65"/>
      <c r="U72" s="65"/>
      <c r="V72" s="65"/>
    </row>
    <row r="73" spans="1:22" x14ac:dyDescent="0.35">
      <c r="A73" s="65"/>
      <c r="B73" s="65"/>
      <c r="C73" s="65"/>
      <c r="D73" s="65"/>
      <c r="E73" s="65"/>
      <c r="F73" s="65"/>
      <c r="G73" s="65"/>
      <c r="H73" s="65"/>
      <c r="I73" s="65"/>
      <c r="J73" s="65"/>
      <c r="K73" s="65"/>
      <c r="L73" s="65"/>
      <c r="M73" s="65"/>
      <c r="N73" s="65"/>
      <c r="O73" s="65"/>
      <c r="P73" s="65"/>
      <c r="Q73" s="65"/>
      <c r="R73" s="65"/>
      <c r="S73" s="65"/>
      <c r="T73" s="65"/>
      <c r="U73" s="65"/>
      <c r="V73" s="65"/>
    </row>
    <row r="74" spans="1:22" x14ac:dyDescent="0.35">
      <c r="A74" s="65"/>
      <c r="B74" s="65"/>
      <c r="C74" s="65"/>
      <c r="D74" s="65"/>
      <c r="E74" s="65"/>
      <c r="F74" s="65"/>
      <c r="G74" s="65"/>
      <c r="H74" s="65"/>
      <c r="I74" s="65"/>
      <c r="J74" s="65"/>
      <c r="K74" s="65"/>
      <c r="L74" s="65"/>
      <c r="M74" s="65"/>
      <c r="N74" s="65"/>
      <c r="O74" s="65"/>
      <c r="P74" s="65"/>
      <c r="Q74" s="65"/>
      <c r="R74" s="65"/>
      <c r="S74" s="65"/>
      <c r="T74" s="65"/>
      <c r="U74" s="65"/>
      <c r="V74" s="65"/>
    </row>
    <row r="75" spans="1:22" x14ac:dyDescent="0.35">
      <c r="A75" s="65"/>
      <c r="B75" s="65"/>
      <c r="C75" s="65"/>
      <c r="D75" s="65"/>
      <c r="E75" s="65"/>
      <c r="F75" s="65"/>
      <c r="G75" s="65"/>
      <c r="H75" s="65"/>
      <c r="I75" s="65"/>
      <c r="J75" s="65"/>
      <c r="K75" s="65"/>
      <c r="L75" s="65"/>
      <c r="M75" s="65"/>
      <c r="N75" s="65"/>
      <c r="O75" s="65"/>
      <c r="P75" s="65"/>
      <c r="Q75" s="65"/>
      <c r="R75" s="65"/>
      <c r="S75" s="65"/>
      <c r="T75" s="65"/>
      <c r="U75" s="65"/>
      <c r="V75" s="65"/>
    </row>
    <row r="76" spans="1:22" x14ac:dyDescent="0.35">
      <c r="A76" s="65"/>
      <c r="B76" s="65"/>
      <c r="C76" s="65"/>
      <c r="D76" s="65"/>
      <c r="E76" s="65"/>
      <c r="F76" s="65"/>
      <c r="G76" s="65"/>
      <c r="H76" s="65"/>
      <c r="I76" s="65"/>
      <c r="J76" s="65"/>
      <c r="K76" s="65"/>
      <c r="L76" s="65"/>
      <c r="M76" s="65"/>
      <c r="N76" s="65"/>
      <c r="O76" s="65"/>
      <c r="P76" s="65"/>
      <c r="Q76" s="65"/>
      <c r="R76" s="65"/>
      <c r="S76" s="65"/>
      <c r="T76" s="65"/>
      <c r="U76" s="65"/>
      <c r="V76" s="65"/>
    </row>
    <row r="77" spans="1:22" x14ac:dyDescent="0.35">
      <c r="A77" s="65"/>
      <c r="B77" s="65"/>
      <c r="C77" s="65"/>
      <c r="D77" s="65"/>
      <c r="E77" s="65"/>
      <c r="F77" s="65"/>
      <c r="G77" s="65"/>
      <c r="H77" s="65"/>
      <c r="I77" s="65"/>
      <c r="J77" s="65"/>
      <c r="K77" s="65"/>
      <c r="L77" s="65"/>
      <c r="M77" s="65"/>
      <c r="N77" s="65"/>
      <c r="O77" s="65"/>
      <c r="P77" s="65"/>
      <c r="Q77" s="65"/>
      <c r="R77" s="65"/>
      <c r="S77" s="65"/>
      <c r="T77" s="65"/>
      <c r="U77" s="65"/>
      <c r="V77" s="65"/>
    </row>
    <row r="78" spans="1:22" x14ac:dyDescent="0.35">
      <c r="A78" s="65"/>
      <c r="B78" s="65"/>
      <c r="C78" s="65"/>
      <c r="D78" s="65"/>
      <c r="E78" s="65"/>
      <c r="F78" s="65"/>
      <c r="G78" s="65"/>
      <c r="H78" s="65"/>
      <c r="I78" s="65"/>
      <c r="J78" s="65"/>
      <c r="K78" s="65"/>
      <c r="L78" s="65"/>
      <c r="M78" s="65"/>
      <c r="N78" s="65"/>
      <c r="O78" s="65"/>
      <c r="P78" s="65"/>
      <c r="Q78" s="65"/>
      <c r="R78" s="65"/>
      <c r="S78" s="65"/>
      <c r="T78" s="65"/>
      <c r="U78" s="65"/>
      <c r="V78" s="65"/>
    </row>
    <row r="79" spans="1:22" x14ac:dyDescent="0.35">
      <c r="A79" s="65"/>
      <c r="B79" s="65"/>
      <c r="C79" s="65"/>
      <c r="D79" s="65"/>
      <c r="E79" s="65"/>
      <c r="F79" s="65"/>
      <c r="G79" s="65"/>
      <c r="H79" s="65"/>
      <c r="I79" s="65"/>
      <c r="J79" s="65"/>
      <c r="K79" s="65"/>
      <c r="L79" s="65"/>
      <c r="M79" s="65"/>
      <c r="N79" s="65"/>
      <c r="O79" s="65"/>
      <c r="P79" s="65"/>
      <c r="Q79" s="65"/>
      <c r="R79" s="65"/>
      <c r="S79" s="65"/>
      <c r="T79" s="65"/>
      <c r="U79" s="65"/>
      <c r="V79" s="65"/>
    </row>
    <row r="80" spans="1:22" x14ac:dyDescent="0.35">
      <c r="A80" s="65"/>
      <c r="B80" s="65"/>
      <c r="C80" s="65"/>
      <c r="D80" s="65"/>
      <c r="E80" s="65"/>
      <c r="F80" s="65"/>
      <c r="G80" s="65"/>
      <c r="H80" s="65"/>
      <c r="I80" s="65"/>
      <c r="J80" s="65"/>
      <c r="K80" s="65"/>
      <c r="L80" s="65"/>
      <c r="M80" s="65"/>
      <c r="N80" s="65"/>
      <c r="O80" s="65"/>
      <c r="P80" s="65"/>
      <c r="Q80" s="65"/>
      <c r="R80" s="65"/>
      <c r="S80" s="65"/>
      <c r="T80" s="65"/>
      <c r="U80" s="65"/>
      <c r="V80" s="65"/>
    </row>
    <row r="81" spans="1:22" x14ac:dyDescent="0.35">
      <c r="A81" s="65"/>
      <c r="B81" s="65"/>
      <c r="C81" s="65"/>
      <c r="D81" s="65"/>
      <c r="E81" s="65"/>
      <c r="F81" s="65"/>
      <c r="G81" s="65"/>
      <c r="H81" s="65"/>
      <c r="I81" s="65"/>
      <c r="J81" s="65"/>
      <c r="K81" s="65"/>
      <c r="L81" s="65"/>
      <c r="M81" s="65"/>
      <c r="N81" s="65"/>
      <c r="O81" s="65"/>
      <c r="P81" s="65"/>
      <c r="Q81" s="65"/>
      <c r="R81" s="65"/>
      <c r="S81" s="65"/>
      <c r="T81" s="65"/>
      <c r="U81" s="65"/>
      <c r="V81" s="65"/>
    </row>
    <row r="82" spans="1:22" x14ac:dyDescent="0.35">
      <c r="A82" s="65"/>
      <c r="B82" s="65"/>
      <c r="C82" s="65"/>
      <c r="D82" s="65"/>
      <c r="E82" s="65"/>
      <c r="F82" s="65"/>
      <c r="G82" s="65"/>
      <c r="H82" s="65"/>
      <c r="I82" s="65"/>
      <c r="J82" s="65"/>
      <c r="K82" s="65"/>
      <c r="L82" s="65"/>
      <c r="M82" s="65"/>
      <c r="N82" s="65"/>
      <c r="O82" s="65"/>
      <c r="P82" s="65"/>
      <c r="Q82" s="65"/>
      <c r="R82" s="65"/>
      <c r="S82" s="65"/>
      <c r="T82" s="65"/>
      <c r="U82" s="65"/>
      <c r="V82" s="65"/>
    </row>
    <row r="83" spans="1:22" x14ac:dyDescent="0.35">
      <c r="A83" s="65"/>
      <c r="B83" s="65"/>
      <c r="C83" s="65"/>
      <c r="D83" s="65"/>
      <c r="E83" s="65"/>
      <c r="F83" s="65"/>
      <c r="G83" s="65"/>
      <c r="H83" s="65"/>
      <c r="I83" s="65"/>
      <c r="J83" s="65"/>
      <c r="K83" s="65"/>
      <c r="L83" s="65"/>
      <c r="M83" s="65"/>
      <c r="N83" s="65"/>
      <c r="O83" s="65"/>
      <c r="P83" s="65"/>
      <c r="Q83" s="65"/>
      <c r="R83" s="65"/>
      <c r="S83" s="65"/>
      <c r="T83" s="65"/>
      <c r="U83" s="65"/>
      <c r="V83" s="65"/>
    </row>
    <row r="84" spans="1:22" x14ac:dyDescent="0.35">
      <c r="A84" s="65"/>
      <c r="B84" s="65"/>
      <c r="C84" s="65"/>
      <c r="D84" s="65"/>
      <c r="E84" s="65"/>
      <c r="F84" s="65"/>
      <c r="G84" s="65"/>
      <c r="H84" s="65"/>
      <c r="I84" s="65"/>
      <c r="J84" s="65"/>
      <c r="K84" s="65"/>
      <c r="L84" s="65"/>
      <c r="M84" s="65"/>
      <c r="N84" s="65"/>
      <c r="O84" s="65"/>
      <c r="P84" s="65"/>
      <c r="Q84" s="65"/>
      <c r="R84" s="65"/>
      <c r="S84" s="65"/>
      <c r="T84" s="65"/>
      <c r="U84" s="65"/>
      <c r="V84" s="65"/>
    </row>
    <row r="85" spans="1:22" x14ac:dyDescent="0.35">
      <c r="A85" s="65"/>
      <c r="B85" s="65"/>
      <c r="C85" s="65"/>
      <c r="D85" s="65"/>
      <c r="E85" s="65"/>
      <c r="F85" s="65"/>
      <c r="G85" s="65"/>
      <c r="H85" s="65"/>
      <c r="I85" s="65"/>
      <c r="J85" s="65"/>
      <c r="K85" s="65"/>
      <c r="L85" s="65"/>
      <c r="M85" s="65"/>
      <c r="N85" s="65"/>
      <c r="O85" s="65"/>
      <c r="P85" s="65"/>
      <c r="Q85" s="65"/>
      <c r="R85" s="65"/>
      <c r="S85" s="65"/>
      <c r="T85" s="65"/>
      <c r="U85" s="65"/>
      <c r="V85" s="65"/>
    </row>
    <row r="86" spans="1:22" x14ac:dyDescent="0.35">
      <c r="A86" s="65"/>
      <c r="B86" s="65"/>
      <c r="C86" s="65"/>
      <c r="D86" s="65"/>
      <c r="E86" s="65"/>
      <c r="F86" s="65"/>
      <c r="G86" s="65"/>
      <c r="H86" s="65"/>
      <c r="I86" s="65"/>
      <c r="J86" s="65"/>
      <c r="K86" s="65"/>
      <c r="L86" s="65"/>
      <c r="M86" s="65"/>
      <c r="N86" s="65"/>
      <c r="O86" s="65"/>
      <c r="P86" s="65"/>
      <c r="Q86" s="65"/>
      <c r="R86" s="65"/>
      <c r="S86" s="65"/>
      <c r="T86" s="65"/>
      <c r="U86" s="65"/>
      <c r="V86" s="65"/>
    </row>
    <row r="87" spans="1:22" x14ac:dyDescent="0.35">
      <c r="A87" s="65"/>
      <c r="B87" s="65"/>
      <c r="C87" s="65"/>
      <c r="D87" s="65"/>
      <c r="E87" s="65"/>
      <c r="F87" s="65"/>
      <c r="G87" s="65"/>
      <c r="H87" s="65"/>
      <c r="I87" s="65"/>
      <c r="J87" s="65"/>
      <c r="K87" s="65"/>
      <c r="L87" s="65"/>
      <c r="M87" s="65"/>
      <c r="N87" s="65"/>
      <c r="O87" s="65"/>
      <c r="P87" s="65"/>
      <c r="Q87" s="65"/>
      <c r="R87" s="65"/>
      <c r="S87" s="65"/>
      <c r="T87" s="65"/>
      <c r="U87" s="65"/>
      <c r="V87" s="65"/>
    </row>
    <row r="88" spans="1:22" x14ac:dyDescent="0.35">
      <c r="A88" s="65"/>
      <c r="B88" s="65"/>
      <c r="C88" s="65"/>
      <c r="D88" s="65"/>
      <c r="E88" s="65"/>
      <c r="F88" s="65"/>
      <c r="G88" s="65"/>
      <c r="H88" s="65"/>
      <c r="I88" s="65"/>
      <c r="J88" s="65"/>
      <c r="K88" s="65"/>
      <c r="L88" s="65"/>
      <c r="M88" s="65"/>
      <c r="N88" s="65"/>
      <c r="O88" s="65"/>
      <c r="P88" s="65"/>
      <c r="Q88" s="65"/>
      <c r="R88" s="65"/>
      <c r="S88" s="65"/>
      <c r="T88" s="65"/>
      <c r="U88" s="65"/>
      <c r="V88" s="65"/>
    </row>
    <row r="89" spans="1:22" x14ac:dyDescent="0.35">
      <c r="A89" s="65"/>
      <c r="B89" s="65"/>
      <c r="C89" s="65"/>
      <c r="D89" s="65"/>
      <c r="E89" s="65"/>
      <c r="F89" s="65"/>
      <c r="G89" s="65"/>
      <c r="H89" s="65"/>
      <c r="I89" s="65"/>
      <c r="J89" s="65"/>
      <c r="K89" s="65"/>
      <c r="L89" s="65"/>
      <c r="M89" s="65"/>
      <c r="N89" s="65"/>
      <c r="O89" s="65"/>
      <c r="P89" s="65"/>
      <c r="Q89" s="65"/>
      <c r="R89" s="65"/>
      <c r="S89" s="65"/>
      <c r="T89" s="65"/>
      <c r="U89" s="65"/>
      <c r="V89" s="65"/>
    </row>
    <row r="90" spans="1:22" x14ac:dyDescent="0.35">
      <c r="A90" s="65"/>
      <c r="B90" s="65"/>
      <c r="C90" s="65"/>
      <c r="D90" s="65"/>
      <c r="E90" s="65"/>
      <c r="F90" s="65"/>
      <c r="G90" s="65"/>
      <c r="H90" s="65"/>
      <c r="I90" s="65"/>
      <c r="J90" s="65"/>
      <c r="K90" s="65"/>
      <c r="L90" s="65"/>
      <c r="M90" s="65"/>
      <c r="N90" s="65"/>
      <c r="O90" s="65"/>
      <c r="P90" s="65"/>
      <c r="Q90" s="65"/>
      <c r="R90" s="65"/>
      <c r="S90" s="65"/>
      <c r="T90" s="65"/>
      <c r="U90" s="65"/>
      <c r="V90" s="65"/>
    </row>
    <row r="91" spans="1:22" x14ac:dyDescent="0.35">
      <c r="A91" s="65"/>
      <c r="B91" s="65"/>
      <c r="C91" s="65"/>
      <c r="D91" s="65"/>
      <c r="E91" s="65"/>
      <c r="F91" s="65"/>
      <c r="G91" s="65"/>
      <c r="H91" s="65"/>
      <c r="I91" s="65"/>
      <c r="J91" s="65"/>
      <c r="K91" s="65"/>
      <c r="L91" s="65"/>
      <c r="M91" s="65"/>
      <c r="N91" s="65"/>
      <c r="O91" s="65"/>
      <c r="P91" s="65"/>
      <c r="Q91" s="65"/>
      <c r="R91" s="65"/>
      <c r="S91" s="65"/>
      <c r="T91" s="65"/>
      <c r="U91" s="65"/>
      <c r="V91" s="65"/>
    </row>
    <row r="92" spans="1:22" x14ac:dyDescent="0.35">
      <c r="A92" s="65"/>
      <c r="B92" s="65"/>
      <c r="C92" s="65"/>
      <c r="D92" s="65"/>
      <c r="E92" s="65"/>
      <c r="F92" s="65"/>
      <c r="G92" s="65"/>
      <c r="H92" s="65"/>
      <c r="I92" s="65"/>
      <c r="J92" s="65"/>
      <c r="K92" s="65"/>
      <c r="L92" s="65"/>
      <c r="M92" s="65"/>
      <c r="N92" s="65"/>
      <c r="O92" s="65"/>
      <c r="P92" s="65"/>
      <c r="Q92" s="65"/>
      <c r="R92" s="65"/>
      <c r="S92" s="65"/>
      <c r="T92" s="65"/>
      <c r="U92" s="65"/>
      <c r="V92" s="65"/>
    </row>
    <row r="93" spans="1:22" x14ac:dyDescent="0.35">
      <c r="A93" s="65"/>
      <c r="B93" s="65"/>
      <c r="C93" s="65"/>
      <c r="D93" s="65"/>
      <c r="E93" s="65"/>
      <c r="F93" s="65"/>
      <c r="G93" s="65"/>
      <c r="H93" s="65"/>
      <c r="I93" s="65"/>
      <c r="J93" s="65"/>
      <c r="K93" s="65"/>
      <c r="L93" s="65"/>
      <c r="M93" s="65"/>
      <c r="N93" s="65"/>
      <c r="O93" s="65"/>
      <c r="P93" s="65"/>
      <c r="Q93" s="65"/>
      <c r="R93" s="65"/>
      <c r="S93" s="65"/>
      <c r="T93" s="65"/>
      <c r="U93" s="65"/>
      <c r="V93" s="65"/>
    </row>
    <row r="94" spans="1:22" x14ac:dyDescent="0.35">
      <c r="A94" s="65"/>
      <c r="B94" s="65"/>
      <c r="C94" s="65"/>
      <c r="D94" s="65"/>
      <c r="E94" s="65"/>
      <c r="F94" s="65"/>
      <c r="G94" s="65"/>
      <c r="H94" s="65"/>
      <c r="I94" s="65"/>
      <c r="J94" s="65"/>
      <c r="K94" s="65"/>
      <c r="L94" s="65"/>
      <c r="M94" s="65"/>
      <c r="N94" s="65"/>
      <c r="O94" s="65"/>
      <c r="P94" s="65"/>
      <c r="Q94" s="65"/>
      <c r="R94" s="65"/>
      <c r="S94" s="65"/>
      <c r="T94" s="65"/>
      <c r="U94" s="65"/>
      <c r="V94" s="65"/>
    </row>
    <row r="95" spans="1:22" x14ac:dyDescent="0.35">
      <c r="A95" s="65"/>
      <c r="B95" s="65"/>
      <c r="C95" s="65"/>
      <c r="D95" s="65"/>
      <c r="E95" s="65"/>
      <c r="F95" s="65"/>
      <c r="G95" s="65"/>
      <c r="H95" s="65"/>
      <c r="I95" s="65"/>
      <c r="J95" s="65"/>
      <c r="K95" s="65"/>
      <c r="L95" s="65"/>
      <c r="M95" s="65"/>
      <c r="N95" s="65"/>
      <c r="O95" s="65"/>
      <c r="P95" s="65"/>
      <c r="Q95" s="65"/>
      <c r="R95" s="65"/>
      <c r="S95" s="65"/>
      <c r="T95" s="65"/>
      <c r="U95" s="65"/>
      <c r="V95" s="65"/>
    </row>
    <row r="96" spans="1:22" x14ac:dyDescent="0.35">
      <c r="A96" s="65"/>
      <c r="B96" s="65"/>
      <c r="C96" s="65"/>
      <c r="D96" s="65"/>
      <c r="E96" s="65"/>
      <c r="F96" s="65"/>
      <c r="G96" s="65"/>
      <c r="H96" s="65"/>
      <c r="I96" s="65"/>
      <c r="J96" s="65"/>
      <c r="K96" s="65"/>
      <c r="L96" s="65"/>
      <c r="M96" s="65"/>
      <c r="N96" s="65"/>
      <c r="O96" s="65"/>
      <c r="P96" s="65"/>
      <c r="Q96" s="65"/>
      <c r="R96" s="65"/>
      <c r="S96" s="65"/>
      <c r="T96" s="65"/>
      <c r="U96" s="65"/>
      <c r="V96" s="65"/>
    </row>
    <row r="97" spans="1:22" x14ac:dyDescent="0.35">
      <c r="A97" s="65"/>
      <c r="B97" s="65"/>
      <c r="C97" s="65"/>
      <c r="D97" s="65"/>
      <c r="E97" s="65"/>
      <c r="F97" s="65"/>
      <c r="G97" s="65"/>
      <c r="H97" s="65"/>
      <c r="I97" s="65"/>
      <c r="J97" s="65"/>
      <c r="K97" s="65"/>
      <c r="L97" s="65"/>
      <c r="M97" s="65"/>
      <c r="N97" s="65"/>
      <c r="O97" s="65"/>
      <c r="P97" s="65"/>
      <c r="Q97" s="65"/>
      <c r="R97" s="65"/>
      <c r="S97" s="65"/>
      <c r="T97" s="65"/>
      <c r="U97" s="65"/>
      <c r="V97" s="65"/>
    </row>
    <row r="98" spans="1:22" x14ac:dyDescent="0.35">
      <c r="A98" s="65"/>
      <c r="B98" s="65"/>
      <c r="C98" s="65"/>
      <c r="D98" s="65"/>
      <c r="E98" s="65"/>
      <c r="F98" s="65"/>
      <c r="G98" s="65"/>
      <c r="H98" s="65"/>
      <c r="I98" s="65"/>
      <c r="J98" s="65"/>
      <c r="K98" s="65"/>
      <c r="L98" s="65"/>
      <c r="M98" s="65"/>
      <c r="N98" s="65"/>
      <c r="O98" s="65"/>
      <c r="P98" s="65"/>
      <c r="Q98" s="65"/>
      <c r="R98" s="65"/>
      <c r="S98" s="65"/>
      <c r="T98" s="65"/>
      <c r="U98" s="65"/>
      <c r="V98" s="65"/>
    </row>
    <row r="99" spans="1:22" x14ac:dyDescent="0.35">
      <c r="A99" s="65"/>
      <c r="B99" s="65"/>
      <c r="C99" s="65"/>
      <c r="D99" s="65"/>
      <c r="E99" s="65"/>
      <c r="F99" s="65"/>
      <c r="G99" s="65"/>
      <c r="H99" s="65"/>
      <c r="I99" s="65"/>
      <c r="J99" s="65"/>
      <c r="K99" s="65"/>
      <c r="L99" s="65"/>
      <c r="M99" s="65"/>
      <c r="N99" s="65"/>
      <c r="O99" s="65"/>
      <c r="P99" s="65"/>
      <c r="Q99" s="65"/>
      <c r="R99" s="65"/>
      <c r="S99" s="65"/>
      <c r="T99" s="65"/>
      <c r="U99" s="65"/>
      <c r="V99" s="65"/>
    </row>
    <row r="100" spans="1:22" x14ac:dyDescent="0.35">
      <c r="A100" s="65"/>
      <c r="B100" s="65"/>
      <c r="C100" s="65"/>
      <c r="D100" s="65"/>
      <c r="E100" s="65"/>
      <c r="F100" s="65"/>
      <c r="G100" s="65"/>
      <c r="H100" s="65"/>
      <c r="I100" s="65"/>
      <c r="J100" s="65"/>
      <c r="K100" s="65"/>
      <c r="L100" s="65"/>
      <c r="M100" s="65"/>
      <c r="N100" s="65"/>
      <c r="O100" s="65"/>
      <c r="P100" s="65"/>
      <c r="Q100" s="65"/>
      <c r="R100" s="65"/>
      <c r="S100" s="65"/>
      <c r="T100" s="65"/>
      <c r="U100" s="65"/>
      <c r="V100" s="65"/>
    </row>
    <row r="101" spans="1:22" x14ac:dyDescent="0.35">
      <c r="A101" s="65"/>
      <c r="B101" s="65"/>
      <c r="C101" s="65"/>
      <c r="D101" s="65"/>
      <c r="E101" s="65"/>
      <c r="F101" s="65"/>
      <c r="G101" s="65"/>
      <c r="H101" s="65"/>
      <c r="I101" s="65"/>
      <c r="J101" s="65"/>
      <c r="K101" s="65"/>
      <c r="L101" s="65"/>
      <c r="M101" s="65"/>
      <c r="N101" s="65"/>
      <c r="O101" s="65"/>
      <c r="P101" s="65"/>
      <c r="Q101" s="65"/>
      <c r="R101" s="65"/>
      <c r="S101" s="65"/>
      <c r="T101" s="65"/>
      <c r="U101" s="65"/>
      <c r="V101" s="65"/>
    </row>
    <row r="102" spans="1:22" x14ac:dyDescent="0.35">
      <c r="A102" s="65"/>
      <c r="B102" s="65"/>
      <c r="C102" s="65"/>
      <c r="D102" s="65"/>
      <c r="E102" s="65"/>
      <c r="F102" s="65"/>
      <c r="G102" s="65"/>
      <c r="H102" s="65"/>
      <c r="I102" s="65"/>
      <c r="J102" s="65"/>
      <c r="K102" s="65"/>
      <c r="L102" s="65"/>
      <c r="M102" s="65"/>
      <c r="N102" s="65"/>
      <c r="O102" s="65"/>
      <c r="P102" s="65"/>
      <c r="Q102" s="65"/>
      <c r="R102" s="65"/>
      <c r="S102" s="65"/>
      <c r="T102" s="65"/>
      <c r="U102" s="65"/>
      <c r="V102" s="65"/>
    </row>
    <row r="103" spans="1:22" x14ac:dyDescent="0.35">
      <c r="A103" s="65"/>
      <c r="B103" s="65"/>
      <c r="C103" s="65"/>
      <c r="D103" s="65"/>
      <c r="E103" s="65"/>
      <c r="F103" s="65"/>
      <c r="G103" s="65"/>
      <c r="H103" s="65"/>
      <c r="I103" s="65"/>
      <c r="J103" s="65"/>
      <c r="K103" s="65"/>
      <c r="L103" s="65"/>
      <c r="M103" s="65"/>
      <c r="N103" s="65"/>
      <c r="O103" s="65"/>
      <c r="P103" s="65"/>
      <c r="Q103" s="65"/>
      <c r="R103" s="65"/>
      <c r="S103" s="65"/>
      <c r="T103" s="65"/>
      <c r="U103" s="65"/>
      <c r="V103" s="65"/>
    </row>
    <row r="104" spans="1:22" x14ac:dyDescent="0.35">
      <c r="A104" s="65"/>
      <c r="B104" s="65"/>
      <c r="C104" s="65"/>
      <c r="D104" s="65"/>
      <c r="E104" s="65"/>
      <c r="F104" s="65"/>
      <c r="G104" s="65"/>
      <c r="H104" s="65"/>
      <c r="I104" s="65"/>
      <c r="J104" s="65"/>
      <c r="K104" s="65"/>
      <c r="L104" s="65"/>
      <c r="M104" s="65"/>
      <c r="N104" s="65"/>
      <c r="O104" s="65"/>
      <c r="P104" s="65"/>
      <c r="Q104" s="65"/>
      <c r="R104" s="65"/>
      <c r="S104" s="65"/>
      <c r="T104" s="65"/>
      <c r="U104" s="65"/>
      <c r="V104" s="65"/>
    </row>
    <row r="105" spans="1:22" x14ac:dyDescent="0.35">
      <c r="A105" s="65"/>
      <c r="B105" s="65"/>
      <c r="C105" s="65"/>
      <c r="D105" s="65"/>
      <c r="E105" s="65"/>
      <c r="F105" s="65"/>
      <c r="G105" s="65"/>
      <c r="H105" s="65"/>
      <c r="I105" s="65"/>
      <c r="J105" s="65"/>
      <c r="K105" s="65"/>
      <c r="L105" s="65"/>
      <c r="M105" s="65"/>
      <c r="N105" s="65"/>
      <c r="O105" s="65"/>
      <c r="P105" s="65"/>
      <c r="Q105" s="65"/>
      <c r="R105" s="65"/>
      <c r="S105" s="65"/>
      <c r="T105" s="65"/>
      <c r="U105" s="65"/>
      <c r="V105" s="65"/>
    </row>
    <row r="106" spans="1:22" x14ac:dyDescent="0.35">
      <c r="A106" s="65"/>
      <c r="B106" s="65"/>
      <c r="C106" s="65"/>
      <c r="D106" s="65"/>
      <c r="E106" s="65"/>
      <c r="F106" s="65"/>
      <c r="G106" s="65"/>
      <c r="H106" s="65"/>
      <c r="I106" s="65"/>
      <c r="J106" s="65"/>
      <c r="K106" s="65"/>
      <c r="L106" s="65"/>
      <c r="M106" s="65"/>
      <c r="N106" s="65"/>
      <c r="O106" s="65"/>
      <c r="P106" s="65"/>
      <c r="Q106" s="65"/>
      <c r="R106" s="65"/>
      <c r="S106" s="65"/>
      <c r="T106" s="65"/>
      <c r="U106" s="65"/>
      <c r="V106" s="65"/>
    </row>
    <row r="107" spans="1:22" x14ac:dyDescent="0.35">
      <c r="A107" s="65"/>
      <c r="B107" s="65"/>
      <c r="C107" s="65"/>
      <c r="D107" s="65"/>
      <c r="E107" s="65"/>
      <c r="F107" s="65"/>
      <c r="G107" s="65"/>
      <c r="H107" s="65"/>
      <c r="I107" s="65"/>
      <c r="J107" s="65"/>
      <c r="K107" s="65"/>
      <c r="L107" s="65"/>
      <c r="M107" s="65"/>
      <c r="N107" s="65"/>
      <c r="O107" s="65"/>
      <c r="P107" s="65"/>
      <c r="Q107" s="65"/>
      <c r="R107" s="65"/>
      <c r="S107" s="65"/>
      <c r="T107" s="65"/>
      <c r="U107" s="65"/>
      <c r="V107" s="65"/>
    </row>
    <row r="108" spans="1:22" x14ac:dyDescent="0.35">
      <c r="A108" s="65"/>
      <c r="B108" s="65"/>
      <c r="C108" s="65"/>
      <c r="D108" s="65"/>
      <c r="E108" s="65"/>
      <c r="F108" s="65"/>
      <c r="G108" s="65"/>
      <c r="H108" s="65"/>
      <c r="I108" s="65"/>
      <c r="J108" s="65"/>
      <c r="K108" s="65"/>
      <c r="L108" s="65"/>
      <c r="M108" s="65"/>
      <c r="N108" s="65"/>
      <c r="O108" s="65"/>
      <c r="P108" s="65"/>
      <c r="Q108" s="65"/>
      <c r="R108" s="65"/>
      <c r="S108" s="65"/>
      <c r="T108" s="65"/>
      <c r="U108" s="65"/>
      <c r="V108" s="65"/>
    </row>
    <row r="109" spans="1:22" x14ac:dyDescent="0.35">
      <c r="A109" s="65"/>
      <c r="B109" s="65"/>
      <c r="C109" s="65"/>
      <c r="D109" s="65"/>
      <c r="E109" s="65"/>
      <c r="F109" s="65"/>
      <c r="G109" s="65"/>
      <c r="H109" s="65"/>
      <c r="I109" s="65"/>
      <c r="J109" s="65"/>
      <c r="K109" s="65"/>
      <c r="L109" s="65"/>
      <c r="M109" s="65"/>
      <c r="N109" s="65"/>
      <c r="O109" s="65"/>
      <c r="P109" s="65"/>
      <c r="Q109" s="65"/>
      <c r="R109" s="65"/>
      <c r="S109" s="65"/>
      <c r="T109" s="65"/>
      <c r="U109" s="65"/>
      <c r="V109" s="65"/>
    </row>
    <row r="110" spans="1:22" x14ac:dyDescent="0.35">
      <c r="A110" s="65"/>
      <c r="B110" s="65"/>
      <c r="C110" s="65"/>
      <c r="D110" s="65"/>
      <c r="E110" s="65"/>
      <c r="F110" s="65"/>
      <c r="G110" s="65"/>
      <c r="H110" s="65"/>
      <c r="I110" s="65"/>
      <c r="J110" s="65"/>
      <c r="K110" s="65"/>
      <c r="L110" s="65"/>
      <c r="M110" s="65"/>
      <c r="N110" s="65"/>
      <c r="O110" s="65"/>
      <c r="P110" s="65"/>
      <c r="Q110" s="65"/>
      <c r="R110" s="65"/>
      <c r="S110" s="65"/>
      <c r="T110" s="65"/>
      <c r="U110" s="65"/>
      <c r="V110" s="65"/>
    </row>
    <row r="111" spans="1:22" x14ac:dyDescent="0.35">
      <c r="A111" s="65"/>
      <c r="B111" s="65"/>
      <c r="C111" s="65"/>
      <c r="D111" s="65"/>
      <c r="E111" s="65"/>
      <c r="F111" s="65"/>
      <c r="G111" s="65"/>
      <c r="H111" s="65"/>
      <c r="I111" s="65"/>
      <c r="J111" s="65"/>
      <c r="K111" s="65"/>
      <c r="L111" s="65"/>
      <c r="M111" s="65"/>
      <c r="N111" s="65"/>
      <c r="O111" s="65"/>
      <c r="P111" s="65"/>
      <c r="Q111" s="65"/>
      <c r="R111" s="65"/>
      <c r="S111" s="65"/>
      <c r="T111" s="65"/>
      <c r="U111" s="65"/>
      <c r="V111" s="65"/>
    </row>
    <row r="112" spans="1:22" x14ac:dyDescent="0.35">
      <c r="A112" s="65"/>
      <c r="B112" s="65"/>
      <c r="C112" s="65"/>
      <c r="D112" s="65"/>
      <c r="E112" s="65"/>
      <c r="F112" s="65"/>
      <c r="G112" s="65"/>
      <c r="H112" s="65"/>
      <c r="I112" s="65"/>
      <c r="J112" s="65"/>
      <c r="K112" s="65"/>
      <c r="L112" s="65"/>
      <c r="M112" s="65"/>
      <c r="N112" s="65"/>
      <c r="O112" s="65"/>
      <c r="P112" s="65"/>
      <c r="Q112" s="65"/>
      <c r="R112" s="65"/>
      <c r="S112" s="65"/>
      <c r="T112" s="65"/>
      <c r="U112" s="65"/>
      <c r="V112" s="65"/>
    </row>
    <row r="113" spans="1:22" x14ac:dyDescent="0.35">
      <c r="A113" s="65"/>
      <c r="B113" s="65"/>
      <c r="C113" s="65"/>
      <c r="D113" s="65"/>
      <c r="E113" s="65"/>
      <c r="F113" s="65"/>
      <c r="G113" s="65"/>
      <c r="H113" s="65"/>
      <c r="I113" s="65"/>
      <c r="J113" s="65"/>
      <c r="K113" s="65"/>
      <c r="L113" s="65"/>
      <c r="M113" s="65"/>
      <c r="N113" s="65"/>
      <c r="O113" s="65"/>
      <c r="P113" s="65"/>
      <c r="Q113" s="65"/>
      <c r="R113" s="65"/>
      <c r="S113" s="65"/>
      <c r="T113" s="65"/>
      <c r="U113" s="65"/>
      <c r="V113" s="65"/>
    </row>
    <row r="114" spans="1:22" x14ac:dyDescent="0.35">
      <c r="A114" s="65"/>
      <c r="B114" s="65"/>
      <c r="C114" s="65"/>
      <c r="D114" s="65"/>
      <c r="E114" s="65"/>
      <c r="F114" s="65"/>
      <c r="G114" s="65"/>
      <c r="H114" s="65"/>
      <c r="I114" s="65"/>
      <c r="J114" s="65"/>
      <c r="K114" s="65"/>
      <c r="L114" s="65"/>
      <c r="M114" s="65"/>
      <c r="N114" s="65"/>
      <c r="O114" s="65"/>
      <c r="P114" s="65"/>
      <c r="Q114" s="65"/>
      <c r="R114" s="65"/>
      <c r="S114" s="65"/>
      <c r="T114" s="65"/>
      <c r="U114" s="65"/>
      <c r="V114" s="65"/>
    </row>
    <row r="115" spans="1:22" x14ac:dyDescent="0.35">
      <c r="A115" s="65"/>
      <c r="B115" s="65"/>
      <c r="C115" s="65"/>
      <c r="D115" s="65"/>
      <c r="E115" s="65"/>
      <c r="F115" s="65"/>
      <c r="G115" s="65"/>
      <c r="H115" s="65"/>
      <c r="I115" s="65"/>
      <c r="J115" s="65"/>
      <c r="K115" s="65"/>
      <c r="L115" s="65"/>
      <c r="M115" s="65"/>
      <c r="N115" s="65"/>
      <c r="O115" s="65"/>
      <c r="P115" s="65"/>
      <c r="Q115" s="65"/>
      <c r="R115" s="65"/>
      <c r="S115" s="65"/>
      <c r="T115" s="65"/>
      <c r="U115" s="65"/>
      <c r="V115" s="65"/>
    </row>
    <row r="116" spans="1:22" x14ac:dyDescent="0.35">
      <c r="A116" s="65"/>
      <c r="B116" s="65"/>
      <c r="C116" s="65"/>
      <c r="D116" s="65"/>
      <c r="E116" s="65"/>
      <c r="F116" s="65"/>
      <c r="G116" s="65"/>
      <c r="H116" s="65"/>
      <c r="I116" s="65"/>
      <c r="J116" s="65"/>
      <c r="K116" s="65"/>
      <c r="L116" s="65"/>
      <c r="M116" s="65"/>
      <c r="N116" s="65"/>
      <c r="O116" s="65"/>
      <c r="P116" s="65"/>
      <c r="Q116" s="65"/>
      <c r="R116" s="65"/>
      <c r="S116" s="65"/>
      <c r="T116" s="65"/>
      <c r="U116" s="65"/>
      <c r="V116" s="65"/>
    </row>
    <row r="117" spans="1:22" x14ac:dyDescent="0.35">
      <c r="A117" s="65"/>
      <c r="B117" s="65"/>
      <c r="C117" s="65"/>
      <c r="D117" s="65"/>
      <c r="E117" s="65"/>
      <c r="F117" s="65"/>
      <c r="G117" s="65"/>
      <c r="H117" s="65"/>
      <c r="I117" s="65"/>
      <c r="J117" s="65"/>
      <c r="K117" s="65"/>
      <c r="L117" s="65"/>
      <c r="M117" s="65"/>
      <c r="N117" s="65"/>
      <c r="O117" s="65"/>
      <c r="P117" s="65"/>
      <c r="Q117" s="65"/>
      <c r="R117" s="65"/>
      <c r="S117" s="65"/>
      <c r="T117" s="65"/>
      <c r="U117" s="65"/>
      <c r="V117" s="65"/>
    </row>
    <row r="118" spans="1:22" x14ac:dyDescent="0.35">
      <c r="A118" s="65"/>
      <c r="B118" s="65"/>
      <c r="C118" s="65"/>
      <c r="D118" s="65"/>
      <c r="E118" s="65"/>
      <c r="F118" s="65"/>
      <c r="G118" s="65"/>
      <c r="H118" s="65"/>
      <c r="I118" s="65"/>
      <c r="J118" s="65"/>
      <c r="K118" s="65"/>
      <c r="L118" s="65"/>
      <c r="M118" s="65"/>
      <c r="N118" s="65"/>
      <c r="O118" s="65"/>
      <c r="P118" s="65"/>
      <c r="Q118" s="65"/>
      <c r="R118" s="65"/>
      <c r="S118" s="65"/>
      <c r="T118" s="65"/>
      <c r="U118" s="65"/>
      <c r="V118" s="65"/>
    </row>
    <row r="119" spans="1:22" x14ac:dyDescent="0.35">
      <c r="A119" s="65"/>
      <c r="B119" s="65"/>
      <c r="C119" s="65"/>
      <c r="D119" s="65"/>
      <c r="E119" s="65"/>
      <c r="F119" s="65"/>
      <c r="G119" s="65"/>
      <c r="H119" s="65"/>
      <c r="I119" s="65"/>
      <c r="J119" s="65"/>
      <c r="K119" s="65"/>
      <c r="L119" s="65"/>
      <c r="M119" s="65"/>
      <c r="N119" s="65"/>
      <c r="O119" s="65"/>
      <c r="P119" s="65"/>
      <c r="Q119" s="65"/>
      <c r="R119" s="65"/>
      <c r="S119" s="65"/>
      <c r="T119" s="65"/>
      <c r="U119" s="65"/>
      <c r="V119" s="65"/>
    </row>
    <row r="120" spans="1:22" x14ac:dyDescent="0.35">
      <c r="A120" s="65"/>
      <c r="B120" s="65"/>
      <c r="C120" s="65"/>
      <c r="D120" s="65"/>
      <c r="E120" s="65"/>
      <c r="F120" s="65"/>
      <c r="G120" s="65"/>
      <c r="H120" s="65"/>
      <c r="I120" s="65"/>
      <c r="J120" s="65"/>
      <c r="K120" s="65"/>
      <c r="L120" s="65"/>
      <c r="M120" s="65"/>
      <c r="N120" s="65"/>
      <c r="O120" s="65"/>
      <c r="P120" s="65"/>
      <c r="Q120" s="65"/>
      <c r="R120" s="65"/>
      <c r="S120" s="65"/>
      <c r="T120" s="65"/>
      <c r="U120" s="65"/>
      <c r="V120" s="65"/>
    </row>
    <row r="121" spans="1:22" x14ac:dyDescent="0.35">
      <c r="A121" s="65"/>
      <c r="B121" s="65"/>
      <c r="C121" s="65"/>
      <c r="D121" s="65"/>
      <c r="E121" s="65"/>
      <c r="F121" s="65"/>
      <c r="G121" s="65"/>
      <c r="H121" s="65"/>
      <c r="I121" s="65"/>
      <c r="J121" s="65"/>
      <c r="K121" s="65"/>
      <c r="L121" s="65"/>
      <c r="M121" s="65"/>
      <c r="N121" s="65"/>
      <c r="O121" s="65"/>
      <c r="P121" s="65"/>
      <c r="Q121" s="65"/>
      <c r="R121" s="65"/>
      <c r="S121" s="65"/>
      <c r="T121" s="65"/>
      <c r="U121" s="65"/>
      <c r="V121" s="65"/>
    </row>
    <row r="122" spans="1:22" x14ac:dyDescent="0.35">
      <c r="A122" s="65"/>
      <c r="B122" s="65"/>
      <c r="C122" s="65"/>
      <c r="D122" s="65"/>
      <c r="E122" s="65"/>
      <c r="F122" s="65"/>
      <c r="G122" s="65"/>
      <c r="H122" s="65"/>
      <c r="I122" s="65"/>
      <c r="J122" s="65"/>
      <c r="K122" s="65"/>
      <c r="L122" s="65"/>
      <c r="M122" s="65"/>
      <c r="N122" s="65"/>
      <c r="O122" s="65"/>
      <c r="P122" s="65"/>
      <c r="Q122" s="65"/>
      <c r="R122" s="65"/>
      <c r="S122" s="65"/>
      <c r="T122" s="65"/>
      <c r="U122" s="65"/>
      <c r="V122" s="65"/>
    </row>
    <row r="123" spans="1:22" x14ac:dyDescent="0.35">
      <c r="A123" s="65"/>
      <c r="B123" s="65"/>
      <c r="C123" s="65"/>
      <c r="D123" s="65"/>
      <c r="E123" s="65"/>
      <c r="F123" s="65"/>
      <c r="G123" s="65"/>
      <c r="H123" s="65"/>
      <c r="I123" s="65"/>
      <c r="J123" s="65"/>
      <c r="K123" s="65"/>
      <c r="L123" s="65"/>
      <c r="M123" s="65"/>
      <c r="N123" s="65"/>
      <c r="O123" s="65"/>
      <c r="P123" s="65"/>
      <c r="Q123" s="65"/>
      <c r="R123" s="65"/>
      <c r="S123" s="65"/>
      <c r="T123" s="65"/>
      <c r="U123" s="65"/>
      <c r="V123" s="65"/>
    </row>
    <row r="124" spans="1:22" x14ac:dyDescent="0.35">
      <c r="A124" s="65"/>
      <c r="B124" s="65"/>
      <c r="C124" s="65"/>
      <c r="D124" s="65"/>
      <c r="E124" s="65"/>
      <c r="F124" s="65"/>
      <c r="G124" s="65"/>
      <c r="H124" s="65"/>
      <c r="I124" s="65"/>
      <c r="J124" s="65"/>
      <c r="K124" s="65"/>
      <c r="L124" s="65"/>
      <c r="M124" s="65"/>
      <c r="N124" s="65"/>
      <c r="O124" s="65"/>
      <c r="P124" s="65"/>
      <c r="Q124" s="65"/>
      <c r="R124" s="65"/>
      <c r="S124" s="65"/>
      <c r="T124" s="65"/>
      <c r="U124" s="65"/>
      <c r="V124" s="65"/>
    </row>
    <row r="125" spans="1:22" x14ac:dyDescent="0.35">
      <c r="A125" s="65"/>
      <c r="B125" s="65"/>
      <c r="C125" s="65"/>
      <c r="D125" s="65"/>
      <c r="E125" s="65"/>
      <c r="F125" s="65"/>
      <c r="G125" s="65"/>
      <c r="H125" s="65"/>
      <c r="I125" s="65"/>
      <c r="J125" s="65"/>
      <c r="K125" s="65"/>
      <c r="L125" s="65"/>
      <c r="M125" s="65"/>
      <c r="N125" s="65"/>
      <c r="O125" s="65"/>
      <c r="P125" s="65"/>
      <c r="Q125" s="65"/>
      <c r="R125" s="65"/>
      <c r="S125" s="65"/>
      <c r="T125" s="65"/>
      <c r="U125" s="65"/>
      <c r="V125" s="65"/>
    </row>
    <row r="126" spans="1:22" x14ac:dyDescent="0.35">
      <c r="A126" s="65"/>
      <c r="B126" s="65"/>
      <c r="C126" s="65"/>
      <c r="D126" s="65"/>
      <c r="E126" s="65"/>
      <c r="F126" s="65"/>
      <c r="G126" s="65"/>
      <c r="H126" s="65"/>
      <c r="I126" s="65"/>
      <c r="J126" s="65"/>
      <c r="K126" s="65"/>
      <c r="L126" s="65"/>
      <c r="M126" s="65"/>
      <c r="N126" s="65"/>
      <c r="O126" s="65"/>
      <c r="P126" s="65"/>
      <c r="Q126" s="65"/>
      <c r="R126" s="65"/>
      <c r="S126" s="65"/>
      <c r="T126" s="65"/>
      <c r="U126" s="65"/>
      <c r="V126" s="65"/>
    </row>
    <row r="127" spans="1:22" x14ac:dyDescent="0.35">
      <c r="A127" s="65"/>
      <c r="B127" s="65"/>
      <c r="C127" s="65"/>
      <c r="D127" s="65"/>
      <c r="E127" s="65"/>
      <c r="F127" s="65"/>
      <c r="G127" s="65"/>
      <c r="H127" s="65"/>
      <c r="I127" s="65"/>
      <c r="J127" s="65"/>
      <c r="K127" s="65"/>
      <c r="L127" s="65"/>
      <c r="M127" s="65"/>
      <c r="N127" s="65"/>
      <c r="O127" s="65"/>
      <c r="P127" s="65"/>
      <c r="Q127" s="65"/>
      <c r="R127" s="65"/>
      <c r="S127" s="65"/>
      <c r="T127" s="65"/>
      <c r="U127" s="65"/>
      <c r="V127" s="65"/>
    </row>
    <row r="128" spans="1:22" x14ac:dyDescent="0.35">
      <c r="A128" s="65"/>
      <c r="B128" s="65"/>
      <c r="C128" s="65"/>
      <c r="D128" s="65"/>
      <c r="E128" s="65"/>
      <c r="F128" s="65"/>
      <c r="G128" s="65"/>
      <c r="H128" s="65"/>
      <c r="I128" s="65"/>
      <c r="J128" s="65"/>
      <c r="K128" s="65"/>
      <c r="L128" s="65"/>
      <c r="M128" s="65"/>
      <c r="N128" s="65"/>
      <c r="O128" s="65"/>
      <c r="P128" s="65"/>
      <c r="Q128" s="65"/>
      <c r="R128" s="65"/>
      <c r="S128" s="65"/>
      <c r="T128" s="65"/>
      <c r="U128" s="65"/>
      <c r="V128" s="65"/>
    </row>
    <row r="129" spans="1:22" x14ac:dyDescent="0.35">
      <c r="A129" s="65"/>
      <c r="B129" s="65"/>
      <c r="C129" s="65"/>
      <c r="D129" s="65"/>
      <c r="E129" s="65"/>
      <c r="F129" s="65"/>
      <c r="G129" s="65"/>
      <c r="H129" s="65"/>
      <c r="I129" s="65"/>
      <c r="J129" s="65"/>
      <c r="K129" s="65"/>
      <c r="L129" s="65"/>
      <c r="M129" s="65"/>
      <c r="N129" s="65"/>
      <c r="O129" s="65"/>
      <c r="P129" s="65"/>
      <c r="Q129" s="65"/>
      <c r="R129" s="65"/>
      <c r="S129" s="65"/>
      <c r="T129" s="65"/>
      <c r="U129" s="65"/>
      <c r="V129" s="65"/>
    </row>
    <row r="130" spans="1:22" x14ac:dyDescent="0.35">
      <c r="A130" s="65"/>
      <c r="B130" s="65"/>
      <c r="C130" s="65"/>
      <c r="D130" s="65"/>
      <c r="E130" s="65"/>
      <c r="F130" s="65"/>
      <c r="G130" s="65"/>
      <c r="H130" s="65"/>
      <c r="I130" s="65"/>
      <c r="J130" s="65"/>
      <c r="K130" s="65"/>
      <c r="L130" s="65"/>
      <c r="M130" s="65"/>
      <c r="N130" s="65"/>
      <c r="O130" s="65"/>
      <c r="P130" s="65"/>
      <c r="Q130" s="65"/>
      <c r="R130" s="65"/>
      <c r="S130" s="65"/>
      <c r="T130" s="65"/>
      <c r="U130" s="65"/>
      <c r="V130" s="65"/>
    </row>
    <row r="131" spans="1:22" x14ac:dyDescent="0.35">
      <c r="A131" s="65"/>
      <c r="B131" s="65"/>
      <c r="C131" s="65"/>
      <c r="D131" s="65"/>
      <c r="E131" s="65"/>
      <c r="F131" s="65"/>
      <c r="G131" s="65"/>
      <c r="H131" s="65"/>
      <c r="I131" s="65"/>
      <c r="J131" s="65"/>
      <c r="K131" s="65"/>
      <c r="L131" s="65"/>
      <c r="M131" s="65"/>
      <c r="N131" s="65"/>
      <c r="O131" s="65"/>
      <c r="P131" s="65"/>
      <c r="Q131" s="65"/>
      <c r="R131" s="65"/>
      <c r="S131" s="65"/>
      <c r="T131" s="65"/>
      <c r="U131" s="65"/>
      <c r="V131" s="65"/>
    </row>
    <row r="132" spans="1:22" x14ac:dyDescent="0.35">
      <c r="A132" s="65"/>
      <c r="B132" s="65"/>
      <c r="C132" s="65"/>
      <c r="D132" s="65"/>
      <c r="E132" s="65"/>
      <c r="F132" s="65"/>
      <c r="G132" s="65"/>
      <c r="H132" s="65"/>
      <c r="I132" s="65"/>
      <c r="J132" s="65"/>
      <c r="K132" s="65"/>
      <c r="L132" s="65"/>
      <c r="M132" s="65"/>
      <c r="N132" s="65"/>
      <c r="O132" s="65"/>
      <c r="P132" s="65"/>
      <c r="Q132" s="65"/>
      <c r="R132" s="65"/>
      <c r="S132" s="65"/>
      <c r="T132" s="65"/>
      <c r="U132" s="65"/>
      <c r="V132" s="65"/>
    </row>
    <row r="133" spans="1:22" x14ac:dyDescent="0.35">
      <c r="A133" s="65"/>
      <c r="B133" s="65"/>
      <c r="C133" s="65"/>
      <c r="D133" s="65"/>
      <c r="E133" s="65"/>
      <c r="F133" s="65"/>
      <c r="G133" s="65"/>
      <c r="H133" s="65"/>
      <c r="I133" s="65"/>
      <c r="J133" s="65"/>
      <c r="K133" s="65"/>
      <c r="L133" s="65"/>
      <c r="M133" s="65"/>
      <c r="N133" s="65"/>
      <c r="O133" s="65"/>
      <c r="P133" s="65"/>
      <c r="Q133" s="65"/>
      <c r="R133" s="65"/>
      <c r="S133" s="65"/>
      <c r="T133" s="65"/>
      <c r="U133" s="65"/>
      <c r="V133" s="65"/>
    </row>
    <row r="134" spans="1:22" x14ac:dyDescent="0.35">
      <c r="A134" s="65"/>
      <c r="B134" s="65"/>
      <c r="C134" s="65"/>
      <c r="D134" s="65"/>
      <c r="E134" s="65"/>
      <c r="F134" s="65"/>
      <c r="G134" s="65"/>
      <c r="H134" s="65"/>
      <c r="I134" s="65"/>
      <c r="J134" s="65"/>
      <c r="K134" s="65"/>
      <c r="L134" s="65"/>
      <c r="M134" s="65"/>
      <c r="N134" s="65"/>
      <c r="O134" s="65"/>
      <c r="P134" s="65"/>
      <c r="Q134" s="65"/>
      <c r="R134" s="65"/>
      <c r="S134" s="65"/>
      <c r="T134" s="65"/>
      <c r="U134" s="65"/>
      <c r="V134" s="65"/>
    </row>
    <row r="135" spans="1:22" x14ac:dyDescent="0.35">
      <c r="A135" s="65"/>
      <c r="B135" s="65"/>
      <c r="C135" s="65"/>
      <c r="D135" s="65"/>
      <c r="E135" s="65"/>
      <c r="F135" s="65"/>
      <c r="G135" s="65"/>
      <c r="H135" s="65"/>
      <c r="I135" s="65"/>
      <c r="J135" s="65"/>
      <c r="K135" s="65"/>
      <c r="L135" s="65"/>
      <c r="M135" s="65"/>
      <c r="N135" s="65"/>
      <c r="O135" s="65"/>
      <c r="P135" s="65"/>
      <c r="Q135" s="65"/>
      <c r="R135" s="65"/>
      <c r="S135" s="65"/>
      <c r="T135" s="65"/>
      <c r="U135" s="65"/>
      <c r="V135" s="65"/>
    </row>
    <row r="136" spans="1:22" x14ac:dyDescent="0.35">
      <c r="A136" s="65"/>
      <c r="B136" s="65"/>
      <c r="C136" s="65"/>
      <c r="D136" s="65"/>
      <c r="E136" s="65"/>
      <c r="F136" s="65"/>
      <c r="G136" s="65"/>
      <c r="H136" s="65"/>
      <c r="I136" s="65"/>
      <c r="J136" s="65"/>
      <c r="K136" s="65"/>
      <c r="L136" s="65"/>
      <c r="M136" s="65"/>
      <c r="N136" s="65"/>
      <c r="O136" s="65"/>
      <c r="P136" s="65"/>
      <c r="Q136" s="65"/>
      <c r="R136" s="65"/>
      <c r="S136" s="65"/>
      <c r="T136" s="65"/>
      <c r="U136" s="65"/>
      <c r="V136" s="65"/>
    </row>
    <row r="137" spans="1:22" x14ac:dyDescent="0.35">
      <c r="A137" s="65"/>
      <c r="B137" s="65"/>
      <c r="C137" s="65"/>
      <c r="D137" s="65"/>
      <c r="E137" s="65"/>
      <c r="F137" s="65"/>
      <c r="G137" s="65"/>
      <c r="H137" s="65"/>
      <c r="I137" s="65"/>
      <c r="J137" s="65"/>
      <c r="K137" s="65"/>
      <c r="L137" s="65"/>
      <c r="M137" s="65"/>
      <c r="N137" s="65"/>
      <c r="O137" s="65"/>
      <c r="P137" s="65"/>
      <c r="Q137" s="65"/>
      <c r="R137" s="65"/>
      <c r="S137" s="65"/>
      <c r="T137" s="65"/>
      <c r="U137" s="65"/>
      <c r="V137" s="65"/>
    </row>
    <row r="138" spans="1:22" x14ac:dyDescent="0.35">
      <c r="A138" s="65"/>
      <c r="B138" s="65"/>
      <c r="C138" s="65"/>
      <c r="D138" s="65"/>
      <c r="E138" s="65"/>
      <c r="F138" s="65"/>
      <c r="G138" s="65"/>
      <c r="H138" s="65"/>
      <c r="I138" s="65"/>
      <c r="J138" s="65"/>
      <c r="K138" s="65"/>
      <c r="L138" s="65"/>
      <c r="M138" s="65"/>
      <c r="N138" s="65"/>
      <c r="O138" s="65"/>
      <c r="P138" s="65"/>
      <c r="Q138" s="65"/>
      <c r="R138" s="65"/>
      <c r="S138" s="65"/>
      <c r="T138" s="65"/>
      <c r="U138" s="65"/>
      <c r="V138" s="65"/>
    </row>
    <row r="139" spans="1:22" x14ac:dyDescent="0.35">
      <c r="A139" s="65"/>
      <c r="B139" s="65"/>
      <c r="C139" s="65"/>
      <c r="D139" s="65"/>
      <c r="E139" s="65"/>
      <c r="F139" s="65"/>
      <c r="G139" s="65"/>
      <c r="H139" s="65"/>
      <c r="I139" s="65"/>
      <c r="J139" s="65"/>
      <c r="K139" s="65"/>
      <c r="L139" s="65"/>
      <c r="M139" s="65"/>
      <c r="N139" s="65"/>
      <c r="O139" s="65"/>
      <c r="P139" s="65"/>
      <c r="Q139" s="65"/>
      <c r="R139" s="65"/>
      <c r="S139" s="65"/>
      <c r="T139" s="65"/>
      <c r="U139" s="65"/>
      <c r="V139" s="65"/>
    </row>
    <row r="140" spans="1:22" x14ac:dyDescent="0.35">
      <c r="A140" s="65"/>
      <c r="B140" s="65"/>
      <c r="C140" s="65"/>
      <c r="D140" s="65"/>
      <c r="E140" s="65"/>
      <c r="F140" s="65"/>
      <c r="G140" s="65"/>
      <c r="H140" s="65"/>
      <c r="I140" s="65"/>
      <c r="J140" s="65"/>
      <c r="K140" s="65"/>
      <c r="L140" s="65"/>
      <c r="M140" s="65"/>
      <c r="N140" s="65"/>
      <c r="O140" s="65"/>
      <c r="P140" s="65"/>
      <c r="Q140" s="65"/>
      <c r="R140" s="65"/>
      <c r="S140" s="65"/>
      <c r="T140" s="65"/>
      <c r="U140" s="65"/>
      <c r="V140" s="65"/>
    </row>
    <row r="141" spans="1:22" x14ac:dyDescent="0.35">
      <c r="A141" s="65"/>
      <c r="B141" s="65"/>
      <c r="C141" s="65"/>
      <c r="D141" s="65"/>
      <c r="E141" s="65"/>
      <c r="F141" s="65"/>
      <c r="G141" s="65"/>
      <c r="H141" s="65"/>
      <c r="I141" s="65"/>
      <c r="J141" s="65"/>
      <c r="K141" s="65"/>
      <c r="L141" s="65"/>
      <c r="M141" s="65"/>
      <c r="N141" s="65"/>
      <c r="O141" s="65"/>
      <c r="P141" s="65"/>
      <c r="Q141" s="65"/>
      <c r="R141" s="65"/>
      <c r="S141" s="65"/>
      <c r="T141" s="65"/>
      <c r="U141" s="65"/>
      <c r="V141" s="65"/>
    </row>
    <row r="142" spans="1:22" x14ac:dyDescent="0.35">
      <c r="A142" s="65"/>
      <c r="B142" s="65"/>
      <c r="C142" s="65"/>
      <c r="D142" s="65"/>
      <c r="E142" s="65"/>
      <c r="F142" s="65"/>
      <c r="G142" s="65"/>
      <c r="H142" s="65"/>
      <c r="I142" s="65"/>
      <c r="J142" s="65"/>
      <c r="K142" s="65"/>
      <c r="L142" s="65"/>
      <c r="M142" s="65"/>
      <c r="N142" s="65"/>
      <c r="O142" s="65"/>
      <c r="P142" s="65"/>
      <c r="Q142" s="65"/>
      <c r="R142" s="65"/>
      <c r="S142" s="65"/>
      <c r="T142" s="65"/>
      <c r="U142" s="65"/>
      <c r="V142" s="65"/>
    </row>
    <row r="143" spans="1:22" x14ac:dyDescent="0.35">
      <c r="A143" s="65"/>
      <c r="B143" s="65"/>
      <c r="C143" s="65"/>
      <c r="D143" s="65"/>
      <c r="E143" s="65"/>
      <c r="F143" s="65"/>
      <c r="G143" s="65"/>
      <c r="H143" s="65"/>
      <c r="I143" s="65"/>
      <c r="J143" s="65"/>
      <c r="K143" s="65"/>
      <c r="L143" s="65"/>
      <c r="M143" s="65"/>
      <c r="N143" s="65"/>
      <c r="O143" s="65"/>
      <c r="P143" s="65"/>
      <c r="Q143" s="65"/>
      <c r="R143" s="65"/>
      <c r="S143" s="65"/>
      <c r="T143" s="65"/>
      <c r="U143" s="65"/>
      <c r="V143" s="65"/>
    </row>
    <row r="144" spans="1:22" x14ac:dyDescent="0.35">
      <c r="A144" s="65"/>
      <c r="B144" s="65"/>
      <c r="C144" s="65"/>
      <c r="D144" s="65"/>
      <c r="E144" s="65"/>
      <c r="F144" s="65"/>
      <c r="G144" s="65"/>
      <c r="H144" s="65"/>
      <c r="I144" s="65"/>
      <c r="J144" s="65"/>
      <c r="K144" s="65"/>
      <c r="L144" s="65"/>
      <c r="M144" s="65"/>
      <c r="N144" s="65"/>
      <c r="O144" s="65"/>
      <c r="P144" s="65"/>
      <c r="Q144" s="65"/>
      <c r="R144" s="65"/>
      <c r="S144" s="65"/>
      <c r="T144" s="65"/>
      <c r="U144" s="65"/>
      <c r="V144" s="65"/>
    </row>
    <row r="145" spans="1:22" x14ac:dyDescent="0.35">
      <c r="A145" s="65"/>
      <c r="B145" s="65"/>
      <c r="C145" s="65"/>
      <c r="D145" s="65"/>
      <c r="E145" s="65"/>
      <c r="F145" s="65"/>
      <c r="G145" s="65"/>
      <c r="H145" s="65"/>
      <c r="I145" s="65"/>
      <c r="J145" s="65"/>
      <c r="K145" s="65"/>
      <c r="L145" s="65"/>
      <c r="M145" s="65"/>
      <c r="N145" s="65"/>
      <c r="O145" s="65"/>
      <c r="P145" s="65"/>
      <c r="Q145" s="65"/>
      <c r="R145" s="65"/>
      <c r="S145" s="65"/>
      <c r="T145" s="65"/>
      <c r="U145" s="65"/>
      <c r="V145" s="65"/>
    </row>
    <row r="146" spans="1:22" x14ac:dyDescent="0.35">
      <c r="A146" s="65"/>
      <c r="B146" s="65"/>
      <c r="C146" s="65"/>
      <c r="D146" s="65"/>
      <c r="E146" s="65"/>
      <c r="F146" s="65"/>
      <c r="G146" s="65"/>
      <c r="H146" s="65"/>
      <c r="I146" s="65"/>
      <c r="J146" s="65"/>
      <c r="K146" s="65"/>
      <c r="L146" s="65"/>
      <c r="M146" s="65"/>
      <c r="N146" s="65"/>
      <c r="O146" s="65"/>
      <c r="P146" s="65"/>
      <c r="Q146" s="65"/>
      <c r="R146" s="65"/>
      <c r="S146" s="65"/>
      <c r="T146" s="65"/>
      <c r="U146" s="65"/>
      <c r="V146" s="65"/>
    </row>
    <row r="147" spans="1:22" x14ac:dyDescent="0.35">
      <c r="A147" s="65"/>
      <c r="B147" s="65"/>
      <c r="C147" s="65"/>
      <c r="D147" s="65"/>
      <c r="E147" s="65"/>
      <c r="F147" s="65"/>
      <c r="G147" s="65"/>
      <c r="H147" s="65"/>
      <c r="I147" s="65"/>
      <c r="J147" s="65"/>
      <c r="K147" s="65"/>
      <c r="L147" s="65"/>
      <c r="M147" s="65"/>
      <c r="N147" s="65"/>
      <c r="O147" s="65"/>
      <c r="P147" s="65"/>
      <c r="Q147" s="65"/>
      <c r="R147" s="65"/>
      <c r="S147" s="65"/>
      <c r="T147" s="65"/>
      <c r="U147" s="65"/>
      <c r="V147" s="65"/>
    </row>
    <row r="148" spans="1:22" x14ac:dyDescent="0.35">
      <c r="A148" s="65"/>
      <c r="B148" s="65"/>
      <c r="C148" s="65"/>
      <c r="D148" s="65"/>
      <c r="E148" s="65"/>
      <c r="F148" s="65"/>
      <c r="G148" s="65"/>
      <c r="H148" s="65"/>
      <c r="I148" s="65"/>
      <c r="J148" s="65"/>
      <c r="K148" s="65"/>
      <c r="L148" s="65"/>
      <c r="M148" s="65"/>
      <c r="N148" s="65"/>
      <c r="O148" s="65"/>
      <c r="P148" s="65"/>
      <c r="Q148" s="65"/>
      <c r="R148" s="65"/>
      <c r="S148" s="65"/>
      <c r="T148" s="65"/>
      <c r="U148" s="65"/>
      <c r="V148" s="65"/>
    </row>
    <row r="149" spans="1:22" x14ac:dyDescent="0.35">
      <c r="A149" s="65"/>
      <c r="B149" s="65"/>
      <c r="C149" s="65"/>
      <c r="D149" s="65"/>
      <c r="E149" s="65"/>
      <c r="F149" s="65"/>
      <c r="G149" s="65"/>
      <c r="H149" s="65"/>
      <c r="I149" s="65"/>
      <c r="J149" s="65"/>
      <c r="K149" s="65"/>
      <c r="L149" s="65"/>
      <c r="M149" s="65"/>
      <c r="N149" s="65"/>
      <c r="O149" s="65"/>
      <c r="P149" s="65"/>
      <c r="Q149" s="65"/>
      <c r="R149" s="65"/>
      <c r="S149" s="65"/>
      <c r="T149" s="65"/>
      <c r="U149" s="65"/>
      <c r="V149" s="65"/>
    </row>
    <row r="150" spans="1:22" x14ac:dyDescent="0.35">
      <c r="A150" s="65"/>
      <c r="B150" s="65"/>
      <c r="C150" s="65"/>
      <c r="D150" s="65"/>
      <c r="M150" s="65"/>
      <c r="N150" s="65"/>
      <c r="O150" s="65"/>
      <c r="P150" s="65"/>
      <c r="Q150" s="65"/>
      <c r="R150" s="65"/>
      <c r="S150" s="65"/>
      <c r="T150" s="65"/>
      <c r="U150" s="65"/>
      <c r="V150" s="65"/>
    </row>
    <row r="151" spans="1:22" x14ac:dyDescent="0.35">
      <c r="A151" s="65"/>
      <c r="B151" s="65"/>
      <c r="C151" s="65"/>
      <c r="D151" s="65"/>
      <c r="M151" s="65"/>
      <c r="N151" s="65"/>
      <c r="O151" s="65"/>
      <c r="P151" s="65"/>
      <c r="Q151" s="65"/>
      <c r="R151" s="65"/>
      <c r="S151" s="65"/>
      <c r="T151" s="65"/>
      <c r="U151" s="65"/>
      <c r="V151" s="65"/>
    </row>
    <row r="152" spans="1:22" x14ac:dyDescent="0.35">
      <c r="A152" s="65"/>
      <c r="B152" s="65"/>
      <c r="C152" s="65"/>
      <c r="D152" s="65"/>
      <c r="M152" s="65"/>
      <c r="N152" s="65"/>
      <c r="O152" s="65"/>
      <c r="P152" s="65"/>
      <c r="Q152" s="65"/>
      <c r="R152" s="65"/>
      <c r="S152" s="65"/>
      <c r="T152" s="65"/>
      <c r="U152" s="65"/>
      <c r="V152" s="65"/>
    </row>
  </sheetData>
  <sheetProtection algorithmName="SHA-512" hashValue="hKt3jshKcbcQZGI7uD7bgGoQupGweh0y3zSbjqJzAg2FEFW9vsbFoxfpLbBrlAZLd3omoJArSu1qBFndLf8bRA==" saltValue="Qrf1lXXWgvqL2v9xi6X0ug==" spinCount="100000" sheet="1" objects="1" scenarios="1" selectLockedCells="1" selectUnlockedCells="1"/>
  <mergeCells count="2">
    <mergeCell ref="A2:J2"/>
    <mergeCell ref="A3:J3"/>
  </mergeCells>
  <phoneticPr fontId="4" type="noConversion"/>
  <dataValidations count="6">
    <dataValidation type="decimal" operator="greaterThanOrEqual" allowBlank="1" showInputMessage="1" showErrorMessage="1" sqref="C8:C10" xr:uid="{84F2FE51-8EF3-4A77-837D-B9F6F3E73F74}">
      <formula1>0</formula1>
    </dataValidation>
    <dataValidation type="list" allowBlank="1" showInputMessage="1" showErrorMessage="1" sqref="E19 E9 E14:J14" xr:uid="{E8241541-4C2F-4295-B97D-DE66F0E5CB11}">
      <formula1>raw_material_producer</formula1>
    </dataValidation>
    <dataValidation type="list" allowBlank="1" showInputMessage="1" showErrorMessage="1" sqref="H19 H9" xr:uid="{FC328056-D984-4BBD-BFA6-967CFBDDF285}">
      <formula1>ultimate_destination</formula1>
    </dataValidation>
    <dataValidation type="decimal" operator="greaterThan" allowBlank="1" showInputMessage="1" showErrorMessage="1" sqref="I19 F19 I9:I10 F9:F10" xr:uid="{B71CDCA0-4A77-46B6-9214-E6A7DE74BFAE}">
      <formula1>0</formula1>
    </dataValidation>
    <dataValidation type="list" allowBlank="1" showInputMessage="1" showErrorMessage="1" sqref="G9 G19" xr:uid="{8FE7A263-2573-45A8-8F25-B3A1FF29F4B6}">
      <formula1>INDIRECT(INDEX(A:B,MATCH(E9,A:A,0),2))</formula1>
    </dataValidation>
    <dataValidation type="list" allowBlank="1" showInputMessage="1" showErrorMessage="1" sqref="J9 J19" xr:uid="{B71671CB-28FB-4965-BA25-E615579DDDA2}">
      <formula1>INDIRECT(INDEX(A:B,MATCH(H9,A:A,0),2))</formula1>
    </dataValidation>
  </dataValidations>
  <pageMargins left="0.7" right="0.7" top="0.75" bottom="0.75" header="0.3" footer="0.3"/>
  <pageSetup orientation="portrait"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E6AC02AF-E279-42FE-840A-D5A90583071B}">
          <x14:formula1>
            <xm:f>Notes!$L$3:$L$4</xm:f>
          </x14:formula1>
          <xm:sqref>F7 F17 F12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5404-22B2-44CC-933B-501A4F1FD710}">
  <dimension ref="A1:Q2000"/>
  <sheetViews>
    <sheetView zoomScale="110" zoomScaleNormal="110" workbookViewId="0">
      <selection activeCell="B53" sqref="B53"/>
    </sheetView>
  </sheetViews>
  <sheetFormatPr defaultRowHeight="14.5" x14ac:dyDescent="0.35"/>
  <cols>
    <col min="1" max="3" width="23.81640625" customWidth="1"/>
    <col min="4" max="5" width="16.81640625" customWidth="1"/>
    <col min="6" max="6" width="24.81640625" customWidth="1"/>
    <col min="7" max="9" width="16.81640625" customWidth="1"/>
    <col min="10" max="10" width="25.54296875" customWidth="1"/>
    <col min="11" max="11" width="23.453125" bestFit="1" customWidth="1"/>
  </cols>
  <sheetData>
    <row r="1" spans="1:17" s="30" customFormat="1" ht="21" x14ac:dyDescent="0.5">
      <c r="A1" s="63" t="s">
        <v>1642</v>
      </c>
      <c r="B1" s="64"/>
      <c r="C1" s="64"/>
      <c r="D1" s="65"/>
      <c r="E1" s="65"/>
      <c r="F1" s="65"/>
      <c r="G1" s="65"/>
      <c r="H1" s="65"/>
      <c r="I1" s="65"/>
      <c r="J1" s="65"/>
      <c r="K1" s="21"/>
      <c r="L1" s="21"/>
      <c r="M1" s="21"/>
      <c r="N1" s="21"/>
      <c r="O1" s="21"/>
      <c r="P1" s="21"/>
      <c r="Q1" s="21"/>
    </row>
    <row r="2" spans="1:17" x14ac:dyDescent="0.35">
      <c r="A2" s="157" t="s">
        <v>1644</v>
      </c>
      <c r="B2" s="157"/>
      <c r="C2" s="157"/>
      <c r="D2" s="157"/>
      <c r="E2" s="157"/>
      <c r="F2" s="157"/>
      <c r="G2" s="157"/>
      <c r="H2" s="157"/>
      <c r="I2" s="157"/>
      <c r="J2" s="157"/>
      <c r="K2" s="7"/>
      <c r="L2" s="7"/>
      <c r="M2" s="7"/>
      <c r="N2" s="7"/>
      <c r="O2" s="7"/>
      <c r="P2" s="7"/>
      <c r="Q2" s="7"/>
    </row>
    <row r="3" spans="1:17" x14ac:dyDescent="0.35">
      <c r="A3" s="158" t="s">
        <v>1658</v>
      </c>
      <c r="B3" s="158"/>
      <c r="C3" s="158"/>
      <c r="D3" s="158"/>
      <c r="E3" s="158"/>
      <c r="F3" s="158"/>
      <c r="G3" s="158"/>
      <c r="H3" s="158"/>
      <c r="I3" s="158"/>
      <c r="J3" s="158"/>
      <c r="K3" s="7"/>
      <c r="L3" s="7"/>
      <c r="M3" s="7"/>
      <c r="N3" s="7"/>
      <c r="O3" s="7"/>
      <c r="P3" s="7"/>
      <c r="Q3" s="7"/>
    </row>
    <row r="4" spans="1:17" ht="15" customHeight="1" x14ac:dyDescent="0.5">
      <c r="A4" s="47"/>
      <c r="B4" s="47"/>
      <c r="C4" s="47"/>
      <c r="D4" s="47"/>
      <c r="E4" s="47"/>
      <c r="F4" s="59"/>
      <c r="G4" s="58"/>
      <c r="H4" s="5"/>
      <c r="I4" s="5"/>
      <c r="J4" s="7"/>
      <c r="K4" s="7"/>
      <c r="L4" s="7"/>
      <c r="M4" s="7"/>
      <c r="N4" s="7"/>
      <c r="O4" s="7"/>
      <c r="P4" s="7"/>
      <c r="Q4" s="7"/>
    </row>
    <row r="5" spans="1:17" ht="21" x14ac:dyDescent="0.5">
      <c r="A5" s="159" t="s">
        <v>228</v>
      </c>
      <c r="B5" s="159"/>
      <c r="C5" s="159"/>
      <c r="D5" s="159"/>
      <c r="E5" s="159"/>
      <c r="F5" s="159"/>
      <c r="G5" s="159"/>
      <c r="H5" s="159"/>
      <c r="I5" s="159"/>
      <c r="J5" s="7"/>
      <c r="K5" s="7"/>
      <c r="L5" s="7"/>
      <c r="M5" s="7"/>
      <c r="N5" s="7"/>
      <c r="O5" s="7"/>
      <c r="P5" s="7"/>
      <c r="Q5" s="7"/>
    </row>
    <row r="6" spans="1:17" ht="29.15" customHeight="1" x14ac:dyDescent="0.5">
      <c r="A6" s="51" t="s">
        <v>230</v>
      </c>
      <c r="B6" s="52"/>
      <c r="C6" s="49"/>
      <c r="D6" s="54" t="s">
        <v>229</v>
      </c>
      <c r="E6" s="49"/>
      <c r="F6" s="49"/>
      <c r="G6" s="49"/>
      <c r="H6" s="49"/>
      <c r="I6" s="55" t="s">
        <v>1663</v>
      </c>
      <c r="J6" s="7"/>
      <c r="K6" s="7"/>
      <c r="L6" s="7"/>
      <c r="M6" s="7"/>
      <c r="N6" s="7"/>
      <c r="O6" s="7"/>
      <c r="P6" s="7"/>
      <c r="Q6" s="7"/>
    </row>
    <row r="7" spans="1:17" x14ac:dyDescent="0.35">
      <c r="A7" s="48" t="s">
        <v>25</v>
      </c>
      <c r="B7" s="48" t="s">
        <v>35</v>
      </c>
      <c r="C7" s="48" t="s">
        <v>31</v>
      </c>
      <c r="D7" s="53" t="s">
        <v>24</v>
      </c>
      <c r="E7" s="53" t="s">
        <v>36</v>
      </c>
      <c r="F7" s="53" t="s">
        <v>44</v>
      </c>
      <c r="G7" s="53" t="s">
        <v>194</v>
      </c>
      <c r="H7" s="53" t="s">
        <v>45</v>
      </c>
      <c r="I7" s="50" t="s">
        <v>46</v>
      </c>
      <c r="J7" s="50" t="s">
        <v>1664</v>
      </c>
      <c r="K7" s="50" t="s">
        <v>109</v>
      </c>
      <c r="L7" s="7"/>
      <c r="M7" s="7"/>
      <c r="N7" s="7"/>
      <c r="O7" s="7"/>
      <c r="P7" s="7"/>
      <c r="Q7" s="7"/>
    </row>
    <row r="8" spans="1:17" x14ac:dyDescent="0.35">
      <c r="A8" s="7" t="str">
        <f>IF(Notes!BY4="","",Notes!BY4)</f>
        <v>processor</v>
      </c>
      <c r="B8" s="7" t="str">
        <f>IF(Notes!BZ4="","",Notes!BZ4)</f>
        <v>cand_HEFA_FOG</v>
      </c>
      <c r="C8" s="7" t="str">
        <f>IF(Notes!CA4="","",Notes!CA4)</f>
        <v>makeSAF</v>
      </c>
      <c r="D8" s="7">
        <f>IF(Notes!CB4="","",Notes!CB4)</f>
        <v>1142151.7654722061</v>
      </c>
      <c r="E8" s="7" t="str">
        <f>IF(Notes!CC4="","",Notes!CC4)</f>
        <v>tons</v>
      </c>
      <c r="F8" s="7">
        <f>IF(Notes!CD4="","",Notes!CD4)</f>
        <v>571075.88273610303</v>
      </c>
      <c r="G8" s="7">
        <f>IF(Notes!CE4="","",Notes!CE4)</f>
        <v>114215.17654722062</v>
      </c>
      <c r="H8" s="7">
        <f>IF(Notes!CF4="","",Notes!CF4)</f>
        <v>32231836.200000003</v>
      </c>
      <c r="I8" s="7"/>
      <c r="J8" s="7"/>
      <c r="K8" s="7"/>
      <c r="L8" s="7"/>
      <c r="M8" s="7"/>
      <c r="N8" s="7"/>
      <c r="O8" s="7"/>
      <c r="P8" s="7"/>
      <c r="Q8" s="7"/>
    </row>
    <row r="9" spans="1:17" x14ac:dyDescent="0.35">
      <c r="A9" s="7" t="str">
        <f>IF(Notes!BY5="","",Notes!BY5)</f>
        <v>processor</v>
      </c>
      <c r="B9" s="7" t="str">
        <f>IF(Notes!BZ5="","",Notes!BZ5)</f>
        <v>Ergon Asphalt &amp; Emulsions Inc 2</v>
      </c>
      <c r="C9" s="7" t="str">
        <f>IF(Notes!CA5="","",Notes!CA5)</f>
        <v>blendSAF</v>
      </c>
      <c r="D9" s="7" t="str">
        <f>IF(Notes!CB5="","",Notes!CB5)</f>
        <v/>
      </c>
      <c r="E9" s="7" t="str">
        <f>IF(Notes!CC5="","",Notes!CC5)</f>
        <v/>
      </c>
      <c r="F9" s="7" t="str">
        <f>IF(Notes!CD5="","",Notes!CD5)</f>
        <v/>
      </c>
      <c r="G9" s="7" t="str">
        <f>IF(Notes!CE5="","",Notes!CE5)</f>
        <v/>
      </c>
      <c r="H9" s="7" t="str">
        <f>IF(Notes!CF5="","",Notes!CF5)</f>
        <v/>
      </c>
      <c r="I9" s="7"/>
      <c r="J9" s="7"/>
      <c r="K9" s="7"/>
      <c r="L9" s="7"/>
      <c r="M9" s="7"/>
      <c r="N9" s="7"/>
      <c r="O9" s="7"/>
      <c r="P9" s="7"/>
      <c r="Q9" s="7"/>
    </row>
    <row r="10" spans="1:17" x14ac:dyDescent="0.35">
      <c r="A10" s="7" t="str">
        <f>IF(Notes!BY6="","",Notes!BY6)</f>
        <v>processor</v>
      </c>
      <c r="B10" s="7" t="str">
        <f>IF(Notes!BZ6="","",Notes!BZ6)</f>
        <v>Sinclair Oil Corp 1</v>
      </c>
      <c r="C10" s="7" t="str">
        <f>IF(Notes!CA6="","",Notes!CA6)</f>
        <v>blendSAF</v>
      </c>
      <c r="D10" s="7" t="str">
        <f>IF(Notes!CB6="","",Notes!CB6)</f>
        <v/>
      </c>
      <c r="E10" s="7" t="str">
        <f>IF(Notes!CC6="","",Notes!CC6)</f>
        <v/>
      </c>
      <c r="F10" s="7" t="str">
        <f>IF(Notes!CD6="","",Notes!CD6)</f>
        <v/>
      </c>
      <c r="G10" s="7" t="str">
        <f>IF(Notes!CE6="","",Notes!CE6)</f>
        <v/>
      </c>
      <c r="H10" s="7" t="str">
        <f>IF(Notes!CF6="","",Notes!CF6)</f>
        <v/>
      </c>
      <c r="I10" s="7"/>
      <c r="J10" s="7"/>
      <c r="K10" s="7"/>
      <c r="L10" s="7"/>
      <c r="M10" s="7"/>
      <c r="N10" s="7"/>
      <c r="O10" s="7"/>
      <c r="P10" s="7"/>
      <c r="Q10" s="7"/>
    </row>
    <row r="11" spans="1:17" x14ac:dyDescent="0.35">
      <c r="A11" s="7" t="str">
        <f>IF(Notes!BY7="","",Notes!BY7)</f>
        <v>processor</v>
      </c>
      <c r="B11" s="7" t="str">
        <f>IF(Notes!BZ7="","",Notes!BZ7)</f>
        <v>Sinclair Oil Corp 3</v>
      </c>
      <c r="C11" s="7" t="str">
        <f>IF(Notes!CA7="","",Notes!CA7)</f>
        <v>blendSAF</v>
      </c>
      <c r="D11" s="7" t="str">
        <f>IF(Notes!CB7="","",Notes!CB7)</f>
        <v/>
      </c>
      <c r="E11" s="7" t="str">
        <f>IF(Notes!CC7="","",Notes!CC7)</f>
        <v/>
      </c>
      <c r="F11" s="7" t="str">
        <f>IF(Notes!CD7="","",Notes!CD7)</f>
        <v/>
      </c>
      <c r="G11" s="7" t="str">
        <f>IF(Notes!CE7="","",Notes!CE7)</f>
        <v/>
      </c>
      <c r="H11" s="7" t="str">
        <f>IF(Notes!CF7="","",Notes!CF7)</f>
        <v/>
      </c>
      <c r="I11" s="7"/>
      <c r="J11" s="7"/>
      <c r="K11" s="7"/>
      <c r="L11" s="7"/>
      <c r="M11" s="7"/>
      <c r="N11" s="7"/>
      <c r="O11" s="7"/>
      <c r="P11" s="7"/>
      <c r="Q11" s="7"/>
    </row>
    <row r="12" spans="1:17" x14ac:dyDescent="0.35">
      <c r="A12" s="7" t="str">
        <f>IF(Notes!BY8="","",Notes!BY8)</f>
        <v>processor</v>
      </c>
      <c r="B12" s="7" t="str">
        <f>IF(Notes!BZ8="","",Notes!BZ8)</f>
        <v>Sinclair Oil Corp 2</v>
      </c>
      <c r="C12" s="7" t="str">
        <f>IF(Notes!CA8="","",Notes!CA8)</f>
        <v>blendSAF</v>
      </c>
      <c r="D12" s="7" t="str">
        <f>IF(Notes!CB8="","",Notes!CB8)</f>
        <v/>
      </c>
      <c r="E12" s="7" t="str">
        <f>IF(Notes!CC8="","",Notes!CC8)</f>
        <v/>
      </c>
      <c r="F12" s="7" t="str">
        <f>IF(Notes!CD8="","",Notes!CD8)</f>
        <v/>
      </c>
      <c r="G12" s="7" t="str">
        <f>IF(Notes!CE8="","",Notes!CE8)</f>
        <v/>
      </c>
      <c r="H12" s="7" t="str">
        <f>IF(Notes!CF8="","",Notes!CF8)</f>
        <v/>
      </c>
      <c r="I12" s="7"/>
      <c r="J12" s="7"/>
      <c r="K12" s="7"/>
      <c r="L12" s="7"/>
      <c r="M12" s="7"/>
      <c r="N12" s="7"/>
      <c r="O12" s="7"/>
      <c r="P12" s="7"/>
      <c r="Q12" s="7"/>
    </row>
    <row r="13" spans="1:17" x14ac:dyDescent="0.35">
      <c r="A13" s="7" t="str">
        <f>IF(Notes!BY9="","",Notes!BY9)</f>
        <v>processor</v>
      </c>
      <c r="B13" s="7" t="str">
        <f>IF(Notes!BZ9="","",Notes!BZ9)</f>
        <v>Andeavor Logistics Lp 7</v>
      </c>
      <c r="C13" s="7" t="str">
        <f>IF(Notes!CA9="","",Notes!CA9)</f>
        <v>blendSAF</v>
      </c>
      <c r="D13" s="7" t="str">
        <f>IF(Notes!CB9="","",Notes!CB9)</f>
        <v/>
      </c>
      <c r="E13" s="7" t="str">
        <f>IF(Notes!CC9="","",Notes!CC9)</f>
        <v/>
      </c>
      <c r="F13" s="7" t="str">
        <f>IF(Notes!CD9="","",Notes!CD9)</f>
        <v/>
      </c>
      <c r="G13" s="7" t="str">
        <f>IF(Notes!CE9="","",Notes!CE9)</f>
        <v/>
      </c>
      <c r="H13" s="7" t="str">
        <f>IF(Notes!CF9="","",Notes!CF9)</f>
        <v/>
      </c>
      <c r="I13" s="7"/>
      <c r="J13" s="7"/>
      <c r="K13" s="7"/>
      <c r="L13" s="7"/>
      <c r="M13" s="7"/>
      <c r="N13" s="7"/>
      <c r="O13" s="7"/>
      <c r="P13" s="7"/>
      <c r="Q13" s="7"/>
    </row>
    <row r="14" spans="1:17" x14ac:dyDescent="0.35">
      <c r="A14" s="7" t="str">
        <f>IF(Notes!BY10="","",Notes!BY10)</f>
        <v>processor</v>
      </c>
      <c r="B14" s="7" t="str">
        <f>IF(Notes!BZ10="","",Notes!BZ10)</f>
        <v>Andeavor Logistics Lp 6</v>
      </c>
      <c r="C14" s="7" t="str">
        <f>IF(Notes!CA10="","",Notes!CA10)</f>
        <v>blendSAF</v>
      </c>
      <c r="D14" s="7" t="str">
        <f>IF(Notes!CB10="","",Notes!CB10)</f>
        <v/>
      </c>
      <c r="E14" s="7" t="str">
        <f>IF(Notes!CC10="","",Notes!CC10)</f>
        <v/>
      </c>
      <c r="F14" s="7" t="str">
        <f>IF(Notes!CD10="","",Notes!CD10)</f>
        <v/>
      </c>
      <c r="G14" s="7" t="str">
        <f>IF(Notes!CE10="","",Notes!CE10)</f>
        <v/>
      </c>
      <c r="H14" s="7" t="str">
        <f>IF(Notes!CF10="","",Notes!CF10)</f>
        <v/>
      </c>
      <c r="I14" s="7"/>
      <c r="J14" s="7"/>
      <c r="K14" s="7"/>
      <c r="L14" s="7"/>
      <c r="M14" s="7"/>
      <c r="N14" s="7"/>
      <c r="O14" s="7"/>
      <c r="P14" s="7"/>
      <c r="Q14" s="7"/>
    </row>
    <row r="15" spans="1:17" x14ac:dyDescent="0.35">
      <c r="A15" s="7" t="str">
        <f>IF(Notes!BY11="","",Notes!BY11)</f>
        <v>processor</v>
      </c>
      <c r="B15" s="7" t="str">
        <f>IF(Notes!BZ11="","",Notes!BZ11)</f>
        <v>Andeavor Logistics Lp 18</v>
      </c>
      <c r="C15" s="7" t="str">
        <f>IF(Notes!CA11="","",Notes!CA11)</f>
        <v>blendSAF</v>
      </c>
      <c r="D15" s="7" t="str">
        <f>IF(Notes!CB11="","",Notes!CB11)</f>
        <v/>
      </c>
      <c r="E15" s="7" t="str">
        <f>IF(Notes!CC11="","",Notes!CC11)</f>
        <v/>
      </c>
      <c r="F15" s="7" t="str">
        <f>IF(Notes!CD11="","",Notes!CD11)</f>
        <v/>
      </c>
      <c r="G15" s="7" t="str">
        <f>IF(Notes!CE11="","",Notes!CE11)</f>
        <v/>
      </c>
      <c r="H15" s="7" t="str">
        <f>IF(Notes!CF11="","",Notes!CF11)</f>
        <v/>
      </c>
      <c r="I15" s="7"/>
      <c r="J15" s="7"/>
      <c r="K15" s="7"/>
      <c r="L15" s="7"/>
      <c r="M15" s="7"/>
      <c r="N15" s="7"/>
      <c r="O15" s="7"/>
      <c r="P15" s="7"/>
      <c r="Q15" s="7"/>
    </row>
    <row r="16" spans="1:17" x14ac:dyDescent="0.35">
      <c r="A16" s="7" t="str">
        <f>IF(Notes!BY12="","",Notes!BY12)</f>
        <v>processor</v>
      </c>
      <c r="B16" s="7" t="str">
        <f>IF(Notes!BZ12="","",Notes!BZ12)</f>
        <v>Christensen Inc</v>
      </c>
      <c r="C16" s="7" t="str">
        <f>IF(Notes!CA12="","",Notes!CA12)</f>
        <v>blendSAF</v>
      </c>
      <c r="D16" s="7" t="str">
        <f>IF(Notes!CB12="","",Notes!CB12)</f>
        <v/>
      </c>
      <c r="E16" s="7" t="str">
        <f>IF(Notes!CC12="","",Notes!CC12)</f>
        <v/>
      </c>
      <c r="F16" s="7" t="str">
        <f>IF(Notes!CD12="","",Notes!CD12)</f>
        <v/>
      </c>
      <c r="G16" s="7" t="str">
        <f>IF(Notes!CE12="","",Notes!CE12)</f>
        <v/>
      </c>
      <c r="H16" s="7" t="str">
        <f>IF(Notes!CF12="","",Notes!CF12)</f>
        <v/>
      </c>
      <c r="I16" s="7"/>
      <c r="J16" s="7"/>
      <c r="K16" s="7"/>
      <c r="L16" s="7"/>
      <c r="M16" s="7"/>
      <c r="N16" s="7"/>
      <c r="O16" s="7"/>
      <c r="P16" s="7"/>
      <c r="Q16" s="7"/>
    </row>
    <row r="17" spans="1:17" x14ac:dyDescent="0.35">
      <c r="A17" s="7" t="str">
        <f>IF(Notes!BY13="","",Notes!BY13)</f>
        <v>processor</v>
      </c>
      <c r="B17" s="7" t="str">
        <f>IF(Notes!BZ13="","",Notes!BZ13)</f>
        <v>Chevron Usa Inc Willbridge</v>
      </c>
      <c r="C17" s="7" t="str">
        <f>IF(Notes!CA13="","",Notes!CA13)</f>
        <v>blendSAF</v>
      </c>
      <c r="D17" s="7" t="str">
        <f>IF(Notes!CB13="","",Notes!CB13)</f>
        <v/>
      </c>
      <c r="E17" s="7" t="str">
        <f>IF(Notes!CC13="","",Notes!CC13)</f>
        <v/>
      </c>
      <c r="F17" s="7" t="str">
        <f>IF(Notes!CD13="","",Notes!CD13)</f>
        <v/>
      </c>
      <c r="G17" s="7" t="str">
        <f>IF(Notes!CE13="","",Notes!CE13)</f>
        <v/>
      </c>
      <c r="H17" s="7" t="str">
        <f>IF(Notes!CF13="","",Notes!CF13)</f>
        <v/>
      </c>
      <c r="I17" s="7"/>
      <c r="J17" s="7"/>
      <c r="K17" s="7"/>
      <c r="L17" s="7"/>
      <c r="M17" s="7"/>
      <c r="N17" s="7"/>
      <c r="O17" s="7"/>
      <c r="P17" s="7"/>
      <c r="Q17" s="7"/>
    </row>
    <row r="18" spans="1:17" x14ac:dyDescent="0.35">
      <c r="A18" s="7" t="str">
        <f>IF(Notes!BY14="","",Notes!BY14)</f>
        <v>processor</v>
      </c>
      <c r="B18" s="7" t="str">
        <f>IF(Notes!BZ14="","",Notes!BZ14)</f>
        <v>Tlp Management Services Llc 3</v>
      </c>
      <c r="C18" s="7" t="str">
        <f>IF(Notes!CA14="","",Notes!CA14)</f>
        <v>blendSAF</v>
      </c>
      <c r="D18" s="7" t="str">
        <f>IF(Notes!CB14="","",Notes!CB14)</f>
        <v/>
      </c>
      <c r="E18" s="7" t="str">
        <f>IF(Notes!CC14="","",Notes!CC14)</f>
        <v/>
      </c>
      <c r="F18" s="7" t="str">
        <f>IF(Notes!CD14="","",Notes!CD14)</f>
        <v/>
      </c>
      <c r="G18" s="7" t="str">
        <f>IF(Notes!CE14="","",Notes!CE14)</f>
        <v/>
      </c>
      <c r="H18" s="7" t="str">
        <f>IF(Notes!CF14="","",Notes!CF14)</f>
        <v/>
      </c>
      <c r="I18" s="7"/>
      <c r="J18" s="7"/>
      <c r="K18" s="7"/>
      <c r="L18" s="7"/>
      <c r="M18" s="7"/>
      <c r="N18" s="7"/>
      <c r="O18" s="7"/>
      <c r="P18" s="7"/>
      <c r="Q18" s="7"/>
    </row>
    <row r="19" spans="1:17" x14ac:dyDescent="0.35">
      <c r="A19" s="7" t="str">
        <f>IF(Notes!BY15="","",Notes!BY15)</f>
        <v>processor</v>
      </c>
      <c r="B19" s="7" t="str">
        <f>IF(Notes!BZ15="","",Notes!BZ15)</f>
        <v>Phillips 66 Company 16</v>
      </c>
      <c r="C19" s="7" t="str">
        <f>IF(Notes!CA15="","",Notes!CA15)</f>
        <v>blendSAF</v>
      </c>
      <c r="D19" s="7" t="str">
        <f>IF(Notes!CB15="","",Notes!CB15)</f>
        <v/>
      </c>
      <c r="E19" s="7" t="str">
        <f>IF(Notes!CC15="","",Notes!CC15)</f>
        <v/>
      </c>
      <c r="F19" s="7" t="str">
        <f>IF(Notes!CD15="","",Notes!CD15)</f>
        <v/>
      </c>
      <c r="G19" s="7" t="str">
        <f>IF(Notes!CE15="","",Notes!CE15)</f>
        <v/>
      </c>
      <c r="H19" s="7" t="str">
        <f>IF(Notes!CF15="","",Notes!CF15)</f>
        <v/>
      </c>
      <c r="I19" s="7"/>
      <c r="J19" s="7"/>
      <c r="K19" s="7"/>
      <c r="L19" s="7"/>
      <c r="M19" s="7"/>
      <c r="N19" s="7"/>
      <c r="O19" s="7"/>
      <c r="P19" s="7"/>
      <c r="Q19" s="7"/>
    </row>
    <row r="20" spans="1:17" x14ac:dyDescent="0.35">
      <c r="A20" s="7" t="str">
        <f>IF(Notes!BY16="","",Notes!BY16)</f>
        <v>processor</v>
      </c>
      <c r="B20" s="7" t="str">
        <f>IF(Notes!BZ16="","",Notes!BZ16)</f>
        <v>Phillips 66 3</v>
      </c>
      <c r="C20" s="7" t="str">
        <f>IF(Notes!CA16="","",Notes!CA16)</f>
        <v>blendSAF</v>
      </c>
      <c r="D20" s="7" t="str">
        <f>IF(Notes!CB16="","",Notes!CB16)</f>
        <v/>
      </c>
      <c r="E20" s="7" t="str">
        <f>IF(Notes!CC16="","",Notes!CC16)</f>
        <v/>
      </c>
      <c r="F20" s="7" t="str">
        <f>IF(Notes!CD16="","",Notes!CD16)</f>
        <v/>
      </c>
      <c r="G20" s="7" t="str">
        <f>IF(Notes!CE16="","",Notes!CE16)</f>
        <v/>
      </c>
      <c r="H20" s="7" t="str">
        <f>IF(Notes!CF16="","",Notes!CF16)</f>
        <v/>
      </c>
      <c r="I20" s="7"/>
      <c r="J20" s="7"/>
      <c r="K20" s="7"/>
      <c r="L20" s="7"/>
      <c r="M20" s="7"/>
      <c r="N20" s="7"/>
      <c r="O20" s="7"/>
      <c r="P20" s="7"/>
      <c r="Q20" s="7"/>
    </row>
    <row r="21" spans="1:17" x14ac:dyDescent="0.35">
      <c r="A21" s="7" t="str">
        <f>IF(Notes!BY17="","",Notes!BY17)</f>
        <v>processor</v>
      </c>
      <c r="B21" s="7" t="str">
        <f>IF(Notes!BZ17="","",Notes!BZ17)</f>
        <v>Global Co Llc 4</v>
      </c>
      <c r="C21" s="7" t="str">
        <f>IF(Notes!CA17="","",Notes!CA17)</f>
        <v>blendSAF</v>
      </c>
      <c r="D21" s="7" t="str">
        <f>IF(Notes!CB17="","",Notes!CB17)</f>
        <v/>
      </c>
      <c r="E21" s="7" t="str">
        <f>IF(Notes!CC17="","",Notes!CC17)</f>
        <v/>
      </c>
      <c r="F21" s="7" t="str">
        <f>IF(Notes!CD17="","",Notes!CD17)</f>
        <v/>
      </c>
      <c r="G21" s="7" t="str">
        <f>IF(Notes!CE17="","",Notes!CE17)</f>
        <v/>
      </c>
      <c r="H21" s="7" t="str">
        <f>IF(Notes!CF17="","",Notes!CF17)</f>
        <v/>
      </c>
      <c r="I21" s="7"/>
      <c r="J21" s="7"/>
      <c r="K21" s="7"/>
      <c r="L21" s="7"/>
      <c r="M21" s="7"/>
      <c r="N21" s="7"/>
      <c r="O21" s="7"/>
      <c r="P21" s="7"/>
      <c r="Q21" s="7"/>
    </row>
    <row r="22" spans="1:17" x14ac:dyDescent="0.35">
      <c r="A22" s="7" t="str">
        <f>IF(Notes!BY18="","",Notes!BY18)</f>
        <v>processor</v>
      </c>
      <c r="B22" s="7" t="str">
        <f>IF(Notes!BZ18="","",Notes!BZ18)</f>
        <v>Pacific Terminal Services Inc</v>
      </c>
      <c r="C22" s="7" t="str">
        <f>IF(Notes!CA18="","",Notes!CA18)</f>
        <v>blendSAF</v>
      </c>
      <c r="D22" s="7" t="str">
        <f>IF(Notes!CB18="","",Notes!CB18)</f>
        <v/>
      </c>
      <c r="E22" s="7" t="str">
        <f>IF(Notes!CC18="","",Notes!CC18)</f>
        <v/>
      </c>
      <c r="F22" s="7" t="str">
        <f>IF(Notes!CD18="","",Notes!CD18)</f>
        <v/>
      </c>
      <c r="G22" s="7" t="str">
        <f>IF(Notes!CE18="","",Notes!CE18)</f>
        <v/>
      </c>
      <c r="H22" s="7" t="str">
        <f>IF(Notes!CF18="","",Notes!CF18)</f>
        <v/>
      </c>
      <c r="I22" s="7"/>
      <c r="J22" s="7"/>
      <c r="K22" s="7"/>
      <c r="L22" s="7"/>
      <c r="M22" s="7"/>
      <c r="N22" s="7"/>
      <c r="O22" s="7"/>
      <c r="P22" s="7"/>
      <c r="Q22" s="7"/>
    </row>
    <row r="23" spans="1:17" x14ac:dyDescent="0.35">
      <c r="A23" s="7" t="str">
        <f>IF(Notes!BY19="","",Notes!BY19)</f>
        <v>processor</v>
      </c>
      <c r="B23" s="7" t="str">
        <f>IF(Notes!BZ19="","",Notes!BZ19)</f>
        <v>Sfpp Lp 4</v>
      </c>
      <c r="C23" s="7" t="str">
        <f>IF(Notes!CA19="","",Notes!CA19)</f>
        <v>blendSAF</v>
      </c>
      <c r="D23" s="7" t="str">
        <f>IF(Notes!CB19="","",Notes!CB19)</f>
        <v/>
      </c>
      <c r="E23" s="7" t="str">
        <f>IF(Notes!CC19="","",Notes!CC19)</f>
        <v/>
      </c>
      <c r="F23" s="7" t="str">
        <f>IF(Notes!CD19="","",Notes!CD19)</f>
        <v/>
      </c>
      <c r="G23" s="7" t="str">
        <f>IF(Notes!CE19="","",Notes!CE19)</f>
        <v/>
      </c>
      <c r="H23" s="7" t="str">
        <f>IF(Notes!CF19="","",Notes!CF19)</f>
        <v/>
      </c>
      <c r="I23" s="7"/>
      <c r="J23" s="7"/>
      <c r="K23" s="7"/>
      <c r="L23" s="7"/>
      <c r="M23" s="7"/>
      <c r="N23" s="7"/>
      <c r="O23" s="7"/>
      <c r="P23" s="7"/>
      <c r="Q23" s="7"/>
    </row>
    <row r="24" spans="1:17" x14ac:dyDescent="0.35">
      <c r="A24" s="7" t="str">
        <f>IF(Notes!BY20="","",Notes!BY20)</f>
        <v>processor</v>
      </c>
      <c r="B24" s="7" t="str">
        <f>IF(Notes!BZ20="","",Notes!BZ20)</f>
        <v>Kinder Morgan Portland Liquids Termi</v>
      </c>
      <c r="C24" s="7" t="str">
        <f>IF(Notes!CA20="","",Notes!CA20)</f>
        <v>blendSAF</v>
      </c>
      <c r="D24" s="7" t="str">
        <f>IF(Notes!CB20="","",Notes!CB20)</f>
        <v/>
      </c>
      <c r="E24" s="7" t="str">
        <f>IF(Notes!CC20="","",Notes!CC20)</f>
        <v/>
      </c>
      <c r="F24" s="7" t="str">
        <f>IF(Notes!CD20="","",Notes!CD20)</f>
        <v/>
      </c>
      <c r="G24" s="7" t="str">
        <f>IF(Notes!CE20="","",Notes!CE20)</f>
        <v/>
      </c>
      <c r="H24" s="7" t="str">
        <f>IF(Notes!CF20="","",Notes!CF20)</f>
        <v/>
      </c>
      <c r="I24" s="7"/>
      <c r="J24" s="7"/>
      <c r="K24" s="7"/>
      <c r="L24" s="7"/>
      <c r="M24" s="7"/>
      <c r="N24" s="7"/>
      <c r="O24" s="7"/>
      <c r="P24" s="7"/>
      <c r="Q24" s="7"/>
    </row>
    <row r="25" spans="1:17" x14ac:dyDescent="0.35">
      <c r="A25" s="7" t="str">
        <f>IF(Notes!BY21="","",Notes!BY21)</f>
        <v>processor</v>
      </c>
      <c r="B25" s="7" t="str">
        <f>IF(Notes!BZ21="","",Notes!BZ21)</f>
        <v>Mccall Oil &amp; Chemical</v>
      </c>
      <c r="C25" s="7" t="str">
        <f>IF(Notes!CA21="","",Notes!CA21)</f>
        <v>blendSAF</v>
      </c>
      <c r="D25" s="7" t="str">
        <f>IF(Notes!CB21="","",Notes!CB21)</f>
        <v/>
      </c>
      <c r="E25" s="7" t="str">
        <f>IF(Notes!CC21="","",Notes!CC21)</f>
        <v/>
      </c>
      <c r="F25" s="7" t="str">
        <f>IF(Notes!CD21="","",Notes!CD21)</f>
        <v/>
      </c>
      <c r="G25" s="7" t="str">
        <f>IF(Notes!CE21="","",Notes!CE21)</f>
        <v/>
      </c>
      <c r="H25" s="7" t="str">
        <f>IF(Notes!CF21="","",Notes!CF21)</f>
        <v/>
      </c>
      <c r="I25" s="7"/>
      <c r="J25" s="7"/>
      <c r="K25" s="7"/>
      <c r="L25" s="7"/>
      <c r="M25" s="7"/>
      <c r="N25" s="7"/>
      <c r="O25" s="7"/>
      <c r="P25" s="7"/>
      <c r="Q25" s="7"/>
    </row>
    <row r="26" spans="1:17" x14ac:dyDescent="0.35">
      <c r="A26" s="7" t="str">
        <f>IF(Notes!BY22="","",Notes!BY22)</f>
        <v>processor</v>
      </c>
      <c r="B26" s="7" t="str">
        <f>IF(Notes!BZ22="","",Notes!BZ22)</f>
        <v>Nustar Energy Lp 33</v>
      </c>
      <c r="C26" s="7" t="str">
        <f>IF(Notes!CA22="","",Notes!CA22)</f>
        <v>blendSAF</v>
      </c>
      <c r="D26" s="7" t="str">
        <f>IF(Notes!CB22="","",Notes!CB22)</f>
        <v/>
      </c>
      <c r="E26" s="7" t="str">
        <f>IF(Notes!CC22="","",Notes!CC22)</f>
        <v/>
      </c>
      <c r="F26" s="7" t="str">
        <f>IF(Notes!CD22="","",Notes!CD22)</f>
        <v/>
      </c>
      <c r="G26" s="7" t="str">
        <f>IF(Notes!CE22="","",Notes!CE22)</f>
        <v/>
      </c>
      <c r="H26" s="7" t="str">
        <f>IF(Notes!CF22="","",Notes!CF22)</f>
        <v/>
      </c>
      <c r="I26" s="7"/>
      <c r="J26" s="7"/>
      <c r="K26" s="7"/>
      <c r="L26" s="7"/>
      <c r="M26" s="7"/>
      <c r="N26" s="7"/>
      <c r="O26" s="7"/>
      <c r="P26" s="7"/>
      <c r="Q26" s="7"/>
    </row>
    <row r="27" spans="1:17" x14ac:dyDescent="0.35">
      <c r="A27" s="7" t="str">
        <f>IF(Notes!BY23="","",Notes!BY23)</f>
        <v>processor</v>
      </c>
      <c r="B27" s="7" t="str">
        <f>IF(Notes!BZ23="","",Notes!BZ23)</f>
        <v>Equilon Enterprises Llc 3</v>
      </c>
      <c r="C27" s="7" t="str">
        <f>IF(Notes!CA23="","",Notes!CA23)</f>
        <v>blendSAF</v>
      </c>
      <c r="D27" s="7" t="str">
        <f>IF(Notes!CB23="","",Notes!CB23)</f>
        <v/>
      </c>
      <c r="E27" s="7" t="str">
        <f>IF(Notes!CC23="","",Notes!CC23)</f>
        <v/>
      </c>
      <c r="F27" s="7" t="str">
        <f>IF(Notes!CD23="","",Notes!CD23)</f>
        <v/>
      </c>
      <c r="G27" s="7" t="str">
        <f>IF(Notes!CE23="","",Notes!CE23)</f>
        <v/>
      </c>
      <c r="H27" s="7" t="str">
        <f>IF(Notes!CF23="","",Notes!CF23)</f>
        <v/>
      </c>
      <c r="I27" s="7"/>
      <c r="J27" s="7"/>
      <c r="K27" s="7"/>
      <c r="L27" s="7"/>
      <c r="M27" s="7"/>
      <c r="N27" s="7"/>
      <c r="O27" s="7"/>
      <c r="P27" s="7"/>
      <c r="Q27" s="7"/>
    </row>
    <row r="28" spans="1:17" x14ac:dyDescent="0.35">
      <c r="A28" s="7" t="str">
        <f>IF(Notes!BY24="","",Notes!BY24)</f>
        <v>processor</v>
      </c>
      <c r="B28" s="7" t="str">
        <f>IF(Notes!BZ24="","",Notes!BZ24)</f>
        <v>Tidewater Terminal Co 2</v>
      </c>
      <c r="C28" s="7" t="str">
        <f>IF(Notes!CA24="","",Notes!CA24)</f>
        <v>blendSAF</v>
      </c>
      <c r="D28" s="7" t="str">
        <f>IF(Notes!CB24="","",Notes!CB24)</f>
        <v/>
      </c>
      <c r="E28" s="7" t="str">
        <f>IF(Notes!CC24="","",Notes!CC24)</f>
        <v/>
      </c>
      <c r="F28" s="7" t="str">
        <f>IF(Notes!CD24="","",Notes!CD24)</f>
        <v/>
      </c>
      <c r="G28" s="7" t="str">
        <f>IF(Notes!CE24="","",Notes!CE24)</f>
        <v/>
      </c>
      <c r="H28" s="7" t="str">
        <f>IF(Notes!CF24="","",Notes!CF24)</f>
        <v/>
      </c>
      <c r="I28" s="7"/>
      <c r="J28" s="7"/>
      <c r="K28" s="7"/>
      <c r="L28" s="7"/>
      <c r="M28" s="7"/>
      <c r="N28" s="7"/>
      <c r="O28" s="7"/>
      <c r="P28" s="7"/>
      <c r="Q28" s="7"/>
    </row>
    <row r="29" spans="1:17" x14ac:dyDescent="0.35">
      <c r="A29" s="7" t="str">
        <f>IF(Notes!BY25="","",Notes!BY25)</f>
        <v>processor</v>
      </c>
      <c r="B29" s="7" t="str">
        <f>IF(Notes!BZ25="","",Notes!BZ25)</f>
        <v>Owens Corning 11</v>
      </c>
      <c r="C29" s="7" t="str">
        <f>IF(Notes!CA25="","",Notes!CA25)</f>
        <v>blendSAF</v>
      </c>
      <c r="D29" s="7" t="str">
        <f>IF(Notes!CB25="","",Notes!CB25)</f>
        <v/>
      </c>
      <c r="E29" s="7" t="str">
        <f>IF(Notes!CC25="","",Notes!CC25)</f>
        <v/>
      </c>
      <c r="F29" s="7" t="str">
        <f>IF(Notes!CD25="","",Notes!CD25)</f>
        <v/>
      </c>
      <c r="G29" s="7" t="str">
        <f>IF(Notes!CE25="","",Notes!CE25)</f>
        <v/>
      </c>
      <c r="H29" s="7" t="str">
        <f>IF(Notes!CF25="","",Notes!CF25)</f>
        <v/>
      </c>
      <c r="I29" s="7"/>
      <c r="J29" s="7"/>
      <c r="K29" s="7"/>
      <c r="L29" s="7"/>
      <c r="M29" s="7"/>
      <c r="N29" s="7"/>
      <c r="O29" s="7"/>
      <c r="P29" s="7"/>
      <c r="Q29" s="7"/>
    </row>
    <row r="30" spans="1:17" x14ac:dyDescent="0.35">
      <c r="A30" s="7" t="str">
        <f>IF(Notes!BY26="","",Notes!BY26)</f>
        <v>processor</v>
      </c>
      <c r="B30" s="7" t="str">
        <f>IF(Notes!BZ26="","",Notes!BZ26)</f>
        <v>Zenith Energy Terminals Holdings Llc</v>
      </c>
      <c r="C30" s="7" t="str">
        <f>IF(Notes!CA26="","",Notes!CA26)</f>
        <v>blendSAF</v>
      </c>
      <c r="D30" s="7" t="str">
        <f>IF(Notes!CB26="","",Notes!CB26)</f>
        <v/>
      </c>
      <c r="E30" s="7" t="str">
        <f>IF(Notes!CC26="","",Notes!CC26)</f>
        <v/>
      </c>
      <c r="F30" s="7" t="str">
        <f>IF(Notes!CD26="","",Notes!CD26)</f>
        <v/>
      </c>
      <c r="G30" s="7" t="str">
        <f>IF(Notes!CE26="","",Notes!CE26)</f>
        <v/>
      </c>
      <c r="H30" s="7" t="str">
        <f>IF(Notes!CF26="","",Notes!CF26)</f>
        <v/>
      </c>
      <c r="I30" s="7"/>
      <c r="J30" s="7"/>
      <c r="K30" s="7"/>
      <c r="L30" s="7"/>
      <c r="M30" s="7"/>
      <c r="N30" s="7"/>
      <c r="O30" s="7"/>
      <c r="P30" s="7"/>
      <c r="Q30" s="7"/>
    </row>
    <row r="31" spans="1:17" x14ac:dyDescent="0.35">
      <c r="A31" s="7" t="str">
        <f>IF(Notes!BY27="","",Notes!BY27)</f>
        <v>processor</v>
      </c>
      <c r="B31" s="7" t="str">
        <f>IF(Notes!BZ27="","",Notes!BZ27)</f>
        <v>Reg Grays Harbor Llc</v>
      </c>
      <c r="C31" s="7" t="str">
        <f>IF(Notes!CA27="","",Notes!CA27)</f>
        <v>blendSAF</v>
      </c>
      <c r="D31" s="7" t="str">
        <f>IF(Notes!CB27="","",Notes!CB27)</f>
        <v/>
      </c>
      <c r="E31" s="7" t="str">
        <f>IF(Notes!CC27="","",Notes!CC27)</f>
        <v/>
      </c>
      <c r="F31" s="7" t="str">
        <f>IF(Notes!CD27="","",Notes!CD27)</f>
        <v/>
      </c>
      <c r="G31" s="7" t="str">
        <f>IF(Notes!CE27="","",Notes!CE27)</f>
        <v/>
      </c>
      <c r="H31" s="7" t="str">
        <f>IF(Notes!CF27="","",Notes!CF27)</f>
        <v/>
      </c>
      <c r="I31" s="7"/>
      <c r="J31" s="7"/>
      <c r="K31" s="7"/>
      <c r="L31" s="7"/>
      <c r="M31" s="7"/>
      <c r="N31" s="7"/>
      <c r="O31" s="7"/>
      <c r="P31" s="7"/>
      <c r="Q31" s="7"/>
    </row>
    <row r="32" spans="1:17" x14ac:dyDescent="0.35">
      <c r="A32" s="7" t="str">
        <f>IF(Notes!BY28="","",Notes!BY28)</f>
        <v>processor</v>
      </c>
      <c r="B32" s="7" t="str">
        <f>IF(Notes!BZ28="","",Notes!BZ28)</f>
        <v>Ergon Asphalt &amp; Emulsions Inc 11</v>
      </c>
      <c r="C32" s="7" t="str">
        <f>IF(Notes!CA28="","",Notes!CA28)</f>
        <v>blendSAF</v>
      </c>
      <c r="D32" s="7" t="str">
        <f>IF(Notes!CB28="","",Notes!CB28)</f>
        <v/>
      </c>
      <c r="E32" s="7" t="str">
        <f>IF(Notes!CC28="","",Notes!CC28)</f>
        <v/>
      </c>
      <c r="F32" s="7" t="str">
        <f>IF(Notes!CD28="","",Notes!CD28)</f>
        <v/>
      </c>
      <c r="G32" s="7" t="str">
        <f>IF(Notes!CE28="","",Notes!CE28)</f>
        <v/>
      </c>
      <c r="H32" s="7" t="str">
        <f>IF(Notes!CF28="","",Notes!CF28)</f>
        <v/>
      </c>
      <c r="I32" s="7"/>
      <c r="J32" s="7"/>
      <c r="K32" s="7"/>
      <c r="L32" s="7"/>
      <c r="M32" s="7"/>
      <c r="N32" s="7"/>
      <c r="O32" s="7"/>
      <c r="P32" s="7"/>
      <c r="Q32" s="7"/>
    </row>
    <row r="33" spans="1:17" x14ac:dyDescent="0.35">
      <c r="A33" s="7" t="str">
        <f>IF(Notes!BY29="","",Notes!BY29)</f>
        <v>processor</v>
      </c>
      <c r="B33" s="7" t="str">
        <f>IF(Notes!BZ29="","",Notes!BZ29)</f>
        <v>Ergon Asphalt 7 Emulsions Inc</v>
      </c>
      <c r="C33" s="7" t="str">
        <f>IF(Notes!CA29="","",Notes!CA29)</f>
        <v>blendSAF</v>
      </c>
      <c r="D33" s="7" t="str">
        <f>IF(Notes!CB29="","",Notes!CB29)</f>
        <v/>
      </c>
      <c r="E33" s="7" t="str">
        <f>IF(Notes!CC29="","",Notes!CC29)</f>
        <v/>
      </c>
      <c r="F33" s="7" t="str">
        <f>IF(Notes!CD29="","",Notes!CD29)</f>
        <v/>
      </c>
      <c r="G33" s="7" t="str">
        <f>IF(Notes!CE29="","",Notes!CE29)</f>
        <v/>
      </c>
      <c r="H33" s="7" t="str">
        <f>IF(Notes!CF29="","",Notes!CF29)</f>
        <v/>
      </c>
      <c r="I33" s="7"/>
      <c r="J33" s="7"/>
      <c r="K33" s="7"/>
      <c r="L33" s="7"/>
      <c r="M33" s="7"/>
      <c r="N33" s="7"/>
      <c r="O33" s="7"/>
      <c r="P33" s="7"/>
      <c r="Q33" s="7"/>
    </row>
    <row r="34" spans="1:17" x14ac:dyDescent="0.35">
      <c r="A34" s="7" t="str">
        <f>IF(Notes!BY30="","",Notes!BY30)</f>
        <v>processor</v>
      </c>
      <c r="B34" s="7" t="str">
        <f>IF(Notes!BZ30="","",Notes!BZ30)</f>
        <v>Ergon Asphalt &amp; Emulsions Inc 14</v>
      </c>
      <c r="C34" s="7" t="str">
        <f>IF(Notes!CA30="","",Notes!CA30)</f>
        <v>blendSAF</v>
      </c>
      <c r="D34" s="7" t="str">
        <f>IF(Notes!CB30="","",Notes!CB30)</f>
        <v/>
      </c>
      <c r="E34" s="7" t="str">
        <f>IF(Notes!CC30="","",Notes!CC30)</f>
        <v/>
      </c>
      <c r="F34" s="7" t="str">
        <f>IF(Notes!CD30="","",Notes!CD30)</f>
        <v/>
      </c>
      <c r="G34" s="7" t="str">
        <f>IF(Notes!CE30="","",Notes!CE30)</f>
        <v/>
      </c>
      <c r="H34" s="7" t="str">
        <f>IF(Notes!CF30="","",Notes!CF30)</f>
        <v/>
      </c>
      <c r="I34" s="7"/>
      <c r="J34" s="7"/>
      <c r="K34" s="7"/>
      <c r="L34" s="7"/>
      <c r="M34" s="7"/>
      <c r="N34" s="7"/>
      <c r="O34" s="7"/>
      <c r="P34" s="7"/>
      <c r="Q34" s="7"/>
    </row>
    <row r="35" spans="1:17" x14ac:dyDescent="0.35">
      <c r="A35" s="7" t="str">
        <f>IF(Notes!BY31="","",Notes!BY31)</f>
        <v>processor</v>
      </c>
      <c r="B35" s="7" t="str">
        <f>IF(Notes!BZ31="","",Notes!BZ31)</f>
        <v>Tlp Management Services Llc 4</v>
      </c>
      <c r="C35" s="7" t="str">
        <f>IF(Notes!CA31="","",Notes!CA31)</f>
        <v>blendSAF</v>
      </c>
      <c r="D35" s="7" t="str">
        <f>IF(Notes!CB31="","",Notes!CB31)</f>
        <v/>
      </c>
      <c r="E35" s="7" t="str">
        <f>IF(Notes!CC31="","",Notes!CC31)</f>
        <v/>
      </c>
      <c r="F35" s="7" t="str">
        <f>IF(Notes!CD31="","",Notes!CD31)</f>
        <v/>
      </c>
      <c r="G35" s="7" t="str">
        <f>IF(Notes!CE31="","",Notes!CE31)</f>
        <v/>
      </c>
      <c r="H35" s="7" t="str">
        <f>IF(Notes!CF31="","",Notes!CF31)</f>
        <v/>
      </c>
      <c r="I35" s="7"/>
      <c r="J35" s="7"/>
      <c r="K35" s="7"/>
      <c r="L35" s="7"/>
      <c r="M35" s="7"/>
      <c r="N35" s="7"/>
      <c r="O35" s="7"/>
      <c r="P35" s="7"/>
      <c r="Q35" s="7"/>
    </row>
    <row r="36" spans="1:17" x14ac:dyDescent="0.35">
      <c r="A36" s="7" t="str">
        <f>IF(Notes!BY32="","",Notes!BY32)</f>
        <v>processor</v>
      </c>
      <c r="B36" s="7" t="str">
        <f>IF(Notes!BZ32="","",Notes!BZ32)</f>
        <v>Seaport Sound Terminal Llc</v>
      </c>
      <c r="C36" s="7" t="str">
        <f>IF(Notes!CA32="","",Notes!CA32)</f>
        <v>blendSAF</v>
      </c>
      <c r="D36" s="7" t="str">
        <f>IF(Notes!CB32="","",Notes!CB32)</f>
        <v/>
      </c>
      <c r="E36" s="7" t="str">
        <f>IF(Notes!CC32="","",Notes!CC32)</f>
        <v/>
      </c>
      <c r="F36" s="7" t="str">
        <f>IF(Notes!CD32="","",Notes!CD32)</f>
        <v/>
      </c>
      <c r="G36" s="7" t="str">
        <f>IF(Notes!CE32="","",Notes!CE32)</f>
        <v/>
      </c>
      <c r="H36" s="7" t="str">
        <f>IF(Notes!CF32="","",Notes!CF32)</f>
        <v/>
      </c>
      <c r="I36" s="7"/>
      <c r="J36" s="7"/>
      <c r="K36" s="7"/>
      <c r="L36" s="7"/>
      <c r="M36" s="7"/>
      <c r="N36" s="7"/>
      <c r="O36" s="7"/>
      <c r="P36" s="7"/>
      <c r="Q36" s="7"/>
    </row>
    <row r="37" spans="1:17" x14ac:dyDescent="0.35">
      <c r="A37" s="7" t="str">
        <f>IF(Notes!BY33="","",Notes!BY33)</f>
        <v>processor</v>
      </c>
      <c r="B37" s="7" t="str">
        <f>IF(Notes!BZ33="","",Notes!BZ33)</f>
        <v>Phillips 66 Company 23</v>
      </c>
      <c r="C37" s="7" t="str">
        <f>IF(Notes!CA33="","",Notes!CA33)</f>
        <v>blendSAF</v>
      </c>
      <c r="D37" s="7" t="str">
        <f>IF(Notes!CB33="","",Notes!CB33)</f>
        <v/>
      </c>
      <c r="E37" s="7" t="str">
        <f>IF(Notes!CC33="","",Notes!CC33)</f>
        <v/>
      </c>
      <c r="F37" s="7" t="str">
        <f>IF(Notes!CD33="","",Notes!CD33)</f>
        <v/>
      </c>
      <c r="G37" s="7" t="str">
        <f>IF(Notes!CE33="","",Notes!CE33)</f>
        <v/>
      </c>
      <c r="H37" s="7" t="str">
        <f>IF(Notes!CF33="","",Notes!CF33)</f>
        <v/>
      </c>
      <c r="I37" s="7"/>
      <c r="J37" s="7"/>
      <c r="K37" s="7"/>
      <c r="L37" s="7"/>
      <c r="M37" s="7"/>
      <c r="N37" s="7"/>
      <c r="O37" s="7"/>
      <c r="P37" s="7"/>
      <c r="Q37" s="7"/>
    </row>
    <row r="38" spans="1:17" x14ac:dyDescent="0.35">
      <c r="A38" s="7" t="str">
        <f>IF(Notes!BY34="","",Notes!BY34)</f>
        <v>processor</v>
      </c>
      <c r="B38" s="7" t="str">
        <f>IF(Notes!BZ34="","",Notes!BZ34)</f>
        <v>Phillips 66 Company 24</v>
      </c>
      <c r="C38" s="7" t="str">
        <f>IF(Notes!CA34="","",Notes!CA34)</f>
        <v>blendSAF</v>
      </c>
      <c r="D38" s="7" t="str">
        <f>IF(Notes!CB34="","",Notes!CB34)</f>
        <v/>
      </c>
      <c r="E38" s="7" t="str">
        <f>IF(Notes!CC34="","",Notes!CC34)</f>
        <v/>
      </c>
      <c r="F38" s="7" t="str">
        <f>IF(Notes!CD34="","",Notes!CD34)</f>
        <v/>
      </c>
      <c r="G38" s="7" t="str">
        <f>IF(Notes!CE34="","",Notes!CE34)</f>
        <v/>
      </c>
      <c r="H38" s="7" t="str">
        <f>IF(Notes!CF34="","",Notes!CF34)</f>
        <v/>
      </c>
      <c r="I38" s="7"/>
      <c r="J38" s="7"/>
      <c r="K38" s="7"/>
      <c r="L38" s="7"/>
      <c r="M38" s="7"/>
      <c r="N38" s="7"/>
      <c r="O38" s="7"/>
      <c r="P38" s="7"/>
      <c r="Q38" s="7"/>
    </row>
    <row r="39" spans="1:17" x14ac:dyDescent="0.35">
      <c r="A39" s="7" t="str">
        <f>IF(Notes!BY35="","",Notes!BY35)</f>
        <v>processor</v>
      </c>
      <c r="B39" s="7" t="str">
        <f>IF(Notes!BZ35="","",Notes!BZ35)</f>
        <v>Phillips 66 Company 17</v>
      </c>
      <c r="C39" s="7" t="str">
        <f>IF(Notes!CA35="","",Notes!CA35)</f>
        <v>blendSAF</v>
      </c>
      <c r="D39" s="7" t="str">
        <f>IF(Notes!CB35="","",Notes!CB35)</f>
        <v/>
      </c>
      <c r="E39" s="7" t="str">
        <f>IF(Notes!CC35="","",Notes!CC35)</f>
        <v/>
      </c>
      <c r="F39" s="7" t="str">
        <f>IF(Notes!CD35="","",Notes!CD35)</f>
        <v/>
      </c>
      <c r="G39" s="7" t="str">
        <f>IF(Notes!CE35="","",Notes!CE35)</f>
        <v/>
      </c>
      <c r="H39" s="7" t="str">
        <f>IF(Notes!CF35="","",Notes!CF35)</f>
        <v/>
      </c>
      <c r="I39" s="7"/>
      <c r="J39" s="7"/>
      <c r="K39" s="7"/>
      <c r="L39" s="7"/>
      <c r="M39" s="7"/>
      <c r="N39" s="7"/>
      <c r="O39" s="7"/>
      <c r="P39" s="7"/>
      <c r="Q39" s="7"/>
    </row>
    <row r="40" spans="1:17" x14ac:dyDescent="0.35">
      <c r="A40" s="7" t="str">
        <f>IF(Notes!BY36="","",Notes!BY36)</f>
        <v>processor</v>
      </c>
      <c r="B40" s="7" t="str">
        <f>IF(Notes!BZ36="","",Notes!BZ36)</f>
        <v>Holly Energy Partners Oper Lp 6</v>
      </c>
      <c r="C40" s="7" t="str">
        <f>IF(Notes!CA36="","",Notes!CA36)</f>
        <v>blendSAF</v>
      </c>
      <c r="D40" s="7" t="str">
        <f>IF(Notes!CB36="","",Notes!CB36)</f>
        <v/>
      </c>
      <c r="E40" s="7" t="str">
        <f>IF(Notes!CC36="","",Notes!CC36)</f>
        <v/>
      </c>
      <c r="F40" s="7" t="str">
        <f>IF(Notes!CD36="","",Notes!CD36)</f>
        <v/>
      </c>
      <c r="G40" s="7" t="str">
        <f>IF(Notes!CE36="","",Notes!CE36)</f>
        <v/>
      </c>
      <c r="H40" s="7" t="str">
        <f>IF(Notes!CF36="","",Notes!CF36)</f>
        <v/>
      </c>
      <c r="I40" s="7"/>
      <c r="J40" s="7"/>
      <c r="K40" s="7"/>
      <c r="L40" s="7"/>
      <c r="M40" s="7"/>
      <c r="N40" s="7"/>
      <c r="O40" s="7"/>
      <c r="P40" s="7"/>
      <c r="Q40" s="7"/>
    </row>
    <row r="41" spans="1:17" x14ac:dyDescent="0.35">
      <c r="A41" s="7" t="str">
        <f>IF(Notes!BY37="","",Notes!BY37)</f>
        <v>processor</v>
      </c>
      <c r="B41" s="7" t="str">
        <f>IF(Notes!BZ37="","",Notes!BZ37)</f>
        <v>Kinder Morgan Energy Partner Lp</v>
      </c>
      <c r="C41" s="7" t="str">
        <f>IF(Notes!CA37="","",Notes!CA37)</f>
        <v>blendSAF</v>
      </c>
      <c r="D41" s="7" t="str">
        <f>IF(Notes!CB37="","",Notes!CB37)</f>
        <v/>
      </c>
      <c r="E41" s="7" t="str">
        <f>IF(Notes!CC37="","",Notes!CC37)</f>
        <v/>
      </c>
      <c r="F41" s="7" t="str">
        <f>IF(Notes!CD37="","",Notes!CD37)</f>
        <v/>
      </c>
      <c r="G41" s="7" t="str">
        <f>IF(Notes!CE37="","",Notes!CE37)</f>
        <v/>
      </c>
      <c r="H41" s="7" t="str">
        <f>IF(Notes!CF37="","",Notes!CF37)</f>
        <v/>
      </c>
      <c r="I41" s="7"/>
      <c r="J41" s="7"/>
      <c r="K41" s="7"/>
      <c r="L41" s="7"/>
      <c r="M41" s="7"/>
      <c r="N41" s="7"/>
      <c r="O41" s="7"/>
      <c r="P41" s="7"/>
      <c r="Q41" s="7"/>
    </row>
    <row r="42" spans="1:17" x14ac:dyDescent="0.35">
      <c r="A42" s="7" t="str">
        <f>IF(Notes!BY38="","",Notes!BY38)</f>
        <v>processor</v>
      </c>
      <c r="B42" s="7" t="str">
        <f>IF(Notes!BZ38="","",Notes!BZ38)</f>
        <v>Tesoro Refining &amp; Marketing 8</v>
      </c>
      <c r="C42" s="7" t="str">
        <f>IF(Notes!CA38="","",Notes!CA38)</f>
        <v>blendSAF</v>
      </c>
      <c r="D42" s="7" t="str">
        <f>IF(Notes!CB38="","",Notes!CB38)</f>
        <v/>
      </c>
      <c r="E42" s="7" t="str">
        <f>IF(Notes!CC38="","",Notes!CC38)</f>
        <v/>
      </c>
      <c r="F42" s="7" t="str">
        <f>IF(Notes!CD38="","",Notes!CD38)</f>
        <v/>
      </c>
      <c r="G42" s="7" t="str">
        <f>IF(Notes!CE38="","",Notes!CE38)</f>
        <v/>
      </c>
      <c r="H42" s="7" t="str">
        <f>IF(Notes!CF38="","",Notes!CF38)</f>
        <v/>
      </c>
      <c r="I42" s="7"/>
      <c r="J42" s="7"/>
      <c r="K42" s="7"/>
      <c r="L42" s="7"/>
      <c r="M42" s="7"/>
      <c r="N42" s="7"/>
      <c r="O42" s="7"/>
      <c r="P42" s="7"/>
      <c r="Q42" s="7"/>
    </row>
    <row r="43" spans="1:17" x14ac:dyDescent="0.35">
      <c r="A43" s="7" t="str">
        <f>IF(Notes!BY39="","",Notes!BY39)</f>
        <v>processor</v>
      </c>
      <c r="B43" s="7" t="str">
        <f>IF(Notes!BZ39="","",Notes!BZ39)</f>
        <v>Andeavor Logistics Lp 23</v>
      </c>
      <c r="C43" s="7" t="str">
        <f>IF(Notes!CA39="","",Notes!CA39)</f>
        <v>blendSAF</v>
      </c>
      <c r="D43" s="7" t="str">
        <f>IF(Notes!CB39="","",Notes!CB39)</f>
        <v/>
      </c>
      <c r="E43" s="7" t="str">
        <f>IF(Notes!CC39="","",Notes!CC39)</f>
        <v/>
      </c>
      <c r="F43" s="7" t="str">
        <f>IF(Notes!CD39="","",Notes!CD39)</f>
        <v/>
      </c>
      <c r="G43" s="7" t="str">
        <f>IF(Notes!CE39="","",Notes!CE39)</f>
        <v/>
      </c>
      <c r="H43" s="7" t="str">
        <f>IF(Notes!CF39="","",Notes!CF39)</f>
        <v/>
      </c>
      <c r="I43" s="7"/>
      <c r="J43" s="7"/>
      <c r="K43" s="7"/>
      <c r="L43" s="7"/>
      <c r="M43" s="7"/>
      <c r="N43" s="7"/>
      <c r="O43" s="7"/>
      <c r="P43" s="7"/>
      <c r="Q43" s="7"/>
    </row>
    <row r="44" spans="1:17" x14ac:dyDescent="0.35">
      <c r="A44" s="7" t="str">
        <f>IF(Notes!BY40="","",Notes!BY40)</f>
        <v>processor</v>
      </c>
      <c r="B44" s="7" t="str">
        <f>IF(Notes!BZ40="","",Notes!BZ40)</f>
        <v>Andeavor Logistics Lp 16</v>
      </c>
      <c r="C44" s="7" t="str">
        <f>IF(Notes!CA40="","",Notes!CA40)</f>
        <v>blendSAF</v>
      </c>
      <c r="D44" s="7" t="str">
        <f>IF(Notes!CB40="","",Notes!CB40)</f>
        <v/>
      </c>
      <c r="E44" s="7" t="str">
        <f>IF(Notes!CC40="","",Notes!CC40)</f>
        <v/>
      </c>
      <c r="F44" s="7" t="str">
        <f>IF(Notes!CD40="","",Notes!CD40)</f>
        <v/>
      </c>
      <c r="G44" s="7" t="str">
        <f>IF(Notes!CE40="","",Notes!CE40)</f>
        <v/>
      </c>
      <c r="H44" s="7" t="str">
        <f>IF(Notes!CF40="","",Notes!CF40)</f>
        <v/>
      </c>
      <c r="I44" s="7"/>
      <c r="J44" s="7"/>
      <c r="K44" s="7"/>
      <c r="L44" s="7"/>
      <c r="M44" s="7"/>
      <c r="N44" s="7"/>
      <c r="O44" s="7"/>
      <c r="P44" s="7"/>
      <c r="Q44" s="7"/>
    </row>
    <row r="45" spans="1:17" x14ac:dyDescent="0.35">
      <c r="A45" s="7" t="str">
        <f>IF(Notes!BY41="","",Notes!BY41)</f>
        <v>processor</v>
      </c>
      <c r="B45" s="7" t="str">
        <f>IF(Notes!BZ41="","",Notes!BZ41)</f>
        <v>Nustar Energy Lp 43</v>
      </c>
      <c r="C45" s="7" t="str">
        <f>IF(Notes!CA41="","",Notes!CA41)</f>
        <v>blendSAF</v>
      </c>
      <c r="D45" s="7" t="str">
        <f>IF(Notes!CB41="","",Notes!CB41)</f>
        <v/>
      </c>
      <c r="E45" s="7" t="str">
        <f>IF(Notes!CC41="","",Notes!CC41)</f>
        <v/>
      </c>
      <c r="F45" s="7" t="str">
        <f>IF(Notes!CD41="","",Notes!CD41)</f>
        <v/>
      </c>
      <c r="G45" s="7" t="str">
        <f>IF(Notes!CE41="","",Notes!CE41)</f>
        <v/>
      </c>
      <c r="H45" s="7" t="str">
        <f>IF(Notes!CF41="","",Notes!CF41)</f>
        <v/>
      </c>
      <c r="I45" s="7"/>
      <c r="J45" s="7"/>
      <c r="K45" s="7"/>
      <c r="L45" s="7"/>
      <c r="M45" s="7"/>
      <c r="N45" s="7"/>
      <c r="O45" s="7"/>
      <c r="P45" s="7"/>
      <c r="Q45" s="7"/>
    </row>
    <row r="46" spans="1:17" x14ac:dyDescent="0.35">
      <c r="A46" s="7" t="str">
        <f>IF(Notes!BY42="","",Notes!BY42)</f>
        <v>processor</v>
      </c>
      <c r="B46" s="7" t="str">
        <f>IF(Notes!BZ42="","",Notes!BZ42)</f>
        <v>Nustar Energy Lp 44</v>
      </c>
      <c r="C46" s="7" t="str">
        <f>IF(Notes!CA42="","",Notes!CA42)</f>
        <v>blendSAF</v>
      </c>
      <c r="D46" s="7" t="str">
        <f>IF(Notes!CB42="","",Notes!CB42)</f>
        <v/>
      </c>
      <c r="E46" s="7" t="str">
        <f>IF(Notes!CC42="","",Notes!CC42)</f>
        <v/>
      </c>
      <c r="F46" s="7" t="str">
        <f>IF(Notes!CD42="","",Notes!CD42)</f>
        <v/>
      </c>
      <c r="G46" s="7" t="str">
        <f>IF(Notes!CE42="","",Notes!CE42)</f>
        <v/>
      </c>
      <c r="H46" s="7" t="str">
        <f>IF(Notes!CF42="","",Notes!CF42)</f>
        <v/>
      </c>
      <c r="I46" s="7"/>
      <c r="J46" s="7"/>
      <c r="K46" s="7"/>
      <c r="L46" s="7"/>
      <c r="M46" s="7"/>
      <c r="N46" s="7"/>
      <c r="O46" s="7"/>
      <c r="P46" s="7"/>
      <c r="Q46" s="7"/>
    </row>
    <row r="47" spans="1:17" x14ac:dyDescent="0.35">
      <c r="A47" s="7" t="str">
        <f>IF(Notes!BY43="","",Notes!BY43)</f>
        <v>processor</v>
      </c>
      <c r="B47" s="7" t="str">
        <f>IF(Notes!BZ43="","",Notes!BZ43)</f>
        <v>Par Montana Llc 9</v>
      </c>
      <c r="C47" s="7" t="str">
        <f>IF(Notes!CA43="","",Notes!CA43)</f>
        <v>blendSAF</v>
      </c>
      <c r="D47" s="7" t="str">
        <f>IF(Notes!CB43="","",Notes!CB43)</f>
        <v/>
      </c>
      <c r="E47" s="7" t="str">
        <f>IF(Notes!CC43="","",Notes!CC43)</f>
        <v/>
      </c>
      <c r="F47" s="7" t="str">
        <f>IF(Notes!CD43="","",Notes!CD43)</f>
        <v/>
      </c>
      <c r="G47" s="7" t="str">
        <f>IF(Notes!CE43="","",Notes!CE43)</f>
        <v/>
      </c>
      <c r="H47" s="7" t="str">
        <f>IF(Notes!CF43="","",Notes!CF43)</f>
        <v/>
      </c>
      <c r="I47" s="7"/>
      <c r="J47" s="7"/>
      <c r="K47" s="7"/>
      <c r="L47" s="7"/>
      <c r="M47" s="7"/>
      <c r="N47" s="7"/>
      <c r="O47" s="7"/>
      <c r="P47" s="7"/>
      <c r="Q47" s="7"/>
    </row>
    <row r="48" spans="1:17" x14ac:dyDescent="0.35">
      <c r="A48" s="7" t="str">
        <f>IF(Notes!BY44="","",Notes!BY44)</f>
        <v>processor</v>
      </c>
      <c r="B48" s="7" t="str">
        <f>IF(Notes!BZ44="","",Notes!BZ44)</f>
        <v>Par Montana Llc 10</v>
      </c>
      <c r="C48" s="7" t="str">
        <f>IF(Notes!CA44="","",Notes!CA44)</f>
        <v>blendSAF</v>
      </c>
      <c r="D48" s="7" t="str">
        <f>IF(Notes!CB44="","",Notes!CB44)</f>
        <v/>
      </c>
      <c r="E48" s="7" t="str">
        <f>IF(Notes!CC44="","",Notes!CC44)</f>
        <v/>
      </c>
      <c r="F48" s="7" t="str">
        <f>IF(Notes!CD44="","",Notes!CD44)</f>
        <v/>
      </c>
      <c r="G48" s="7" t="str">
        <f>IF(Notes!CE44="","",Notes!CE44)</f>
        <v/>
      </c>
      <c r="H48" s="7" t="str">
        <f>IF(Notes!CF44="","",Notes!CF44)</f>
        <v/>
      </c>
      <c r="I48" s="7"/>
      <c r="J48" s="7"/>
      <c r="K48" s="7"/>
      <c r="L48" s="7"/>
      <c r="M48" s="7"/>
      <c r="N48" s="7"/>
      <c r="O48" s="7"/>
      <c r="P48" s="7"/>
      <c r="Q48" s="7"/>
    </row>
    <row r="49" spans="1:17" x14ac:dyDescent="0.35">
      <c r="A49" s="7" t="str">
        <f>IF(Notes!BY45="","",Notes!BY45)</f>
        <v>processor</v>
      </c>
      <c r="B49" s="7" t="str">
        <f>IF(Notes!BZ45="","",Notes!BZ45)</f>
        <v>Petrogas West Llc</v>
      </c>
      <c r="C49" s="7" t="str">
        <f>IF(Notes!CA45="","",Notes!CA45)</f>
        <v>blendSAF</v>
      </c>
      <c r="D49" s="7" t="str">
        <f>IF(Notes!CB45="","",Notes!CB45)</f>
        <v/>
      </c>
      <c r="E49" s="7" t="str">
        <f>IF(Notes!CC45="","",Notes!CC45)</f>
        <v/>
      </c>
      <c r="F49" s="7" t="str">
        <f>IF(Notes!CD45="","",Notes!CD45)</f>
        <v/>
      </c>
      <c r="G49" s="7" t="str">
        <f>IF(Notes!CE45="","",Notes!CE45)</f>
        <v/>
      </c>
      <c r="H49" s="7" t="str">
        <f>IF(Notes!CF45="","",Notes!CF45)</f>
        <v/>
      </c>
      <c r="I49" s="7"/>
      <c r="J49" s="7"/>
      <c r="K49" s="7"/>
      <c r="L49" s="7"/>
      <c r="M49" s="7"/>
      <c r="N49" s="7"/>
      <c r="O49" s="7"/>
      <c r="P49" s="7"/>
      <c r="Q49" s="7"/>
    </row>
    <row r="50" spans="1:17" x14ac:dyDescent="0.35">
      <c r="A50" s="7" t="str">
        <f>IF(Notes!BY46="","",Notes!BY46)</f>
        <v>processor</v>
      </c>
      <c r="B50" s="7" t="str">
        <f>IF(Notes!BZ46="","",Notes!BZ46)</f>
        <v>Equilon Enterprises Llc 5</v>
      </c>
      <c r="C50" s="7" t="str">
        <f>IF(Notes!CA46="","",Notes!CA46)</f>
        <v>blendSAF</v>
      </c>
      <c r="D50" s="7" t="str">
        <f>IF(Notes!CB46="","",Notes!CB46)</f>
        <v/>
      </c>
      <c r="E50" s="7" t="str">
        <f>IF(Notes!CC46="","",Notes!CC46)</f>
        <v/>
      </c>
      <c r="F50" s="7" t="str">
        <f>IF(Notes!CD46="","",Notes!CD46)</f>
        <v/>
      </c>
      <c r="G50" s="7" t="str">
        <f>IF(Notes!CE46="","",Notes!CE46)</f>
        <v/>
      </c>
      <c r="H50" s="7" t="str">
        <f>IF(Notes!CF46="","",Notes!CF46)</f>
        <v/>
      </c>
      <c r="I50" s="7"/>
      <c r="J50" s="7"/>
      <c r="K50" s="7"/>
      <c r="L50" s="7"/>
      <c r="M50" s="7"/>
      <c r="N50" s="7"/>
      <c r="O50" s="7"/>
      <c r="P50" s="7"/>
      <c r="Q50" s="7"/>
    </row>
    <row r="51" spans="1:17" x14ac:dyDescent="0.35">
      <c r="A51" s="7" t="str">
        <f>IF(Notes!BY47="","",Notes!BY47)</f>
        <v>processor</v>
      </c>
      <c r="B51" s="7" t="str">
        <f>IF(Notes!BZ47="","",Notes!BZ47)</f>
        <v>Tidewater Terminal Co 1</v>
      </c>
      <c r="C51" s="7" t="str">
        <f>IF(Notes!CA47="","",Notes!CA47)</f>
        <v>blendSAF</v>
      </c>
      <c r="D51" s="7" t="str">
        <f>IF(Notes!CB47="","",Notes!CB47)</f>
        <v/>
      </c>
      <c r="E51" s="7" t="str">
        <f>IF(Notes!CC47="","",Notes!CC47)</f>
        <v/>
      </c>
      <c r="F51" s="7" t="str">
        <f>IF(Notes!CD47="","",Notes!CD47)</f>
        <v/>
      </c>
      <c r="G51" s="7" t="str">
        <f>IF(Notes!CE47="","",Notes!CE47)</f>
        <v/>
      </c>
      <c r="H51" s="7" t="str">
        <f>IF(Notes!CF47="","",Notes!CF47)</f>
        <v/>
      </c>
      <c r="I51" s="7"/>
      <c r="J51" s="7"/>
      <c r="K51" s="7"/>
      <c r="L51" s="7"/>
      <c r="M51" s="7"/>
      <c r="N51" s="7"/>
      <c r="O51" s="7"/>
      <c r="P51" s="7"/>
      <c r="Q51" s="7"/>
    </row>
    <row r="52" spans="1:17" x14ac:dyDescent="0.35">
      <c r="A52" s="7" t="str">
        <f>IF(Notes!BY48="","",Notes!BY48)</f>
        <v>processor</v>
      </c>
      <c r="B52" s="7" t="str">
        <f>IF(Notes!BZ48="","",Notes!BZ48)</f>
        <v>Tidewater Terminal Co 3</v>
      </c>
      <c r="C52" s="7" t="str">
        <f>IF(Notes!CA48="","",Notes!CA48)</f>
        <v>blendSAF</v>
      </c>
      <c r="D52" s="7" t="str">
        <f>IF(Notes!CB48="","",Notes!CB48)</f>
        <v/>
      </c>
      <c r="E52" s="7" t="str">
        <f>IF(Notes!CC48="","",Notes!CC48)</f>
        <v/>
      </c>
      <c r="F52" s="7" t="str">
        <f>IF(Notes!CD48="","",Notes!CD48)</f>
        <v/>
      </c>
      <c r="G52" s="7" t="str">
        <f>IF(Notes!CE48="","",Notes!CE48)</f>
        <v/>
      </c>
      <c r="H52" s="7" t="str">
        <f>IF(Notes!CF48="","",Notes!CF48)</f>
        <v/>
      </c>
      <c r="I52" s="7"/>
      <c r="J52" s="7"/>
      <c r="K52" s="7"/>
      <c r="L52" s="7"/>
      <c r="M52" s="7"/>
      <c r="N52" s="7"/>
      <c r="O52" s="7"/>
      <c r="P52" s="7"/>
      <c r="Q52" s="7"/>
    </row>
    <row r="53" spans="1:17" x14ac:dyDescent="0.35">
      <c r="A53" s="7" t="str">
        <f>IF(Notes!BY49="","",Notes!BY49)</f>
        <v>ultimate_destination</v>
      </c>
      <c r="B53" s="7" t="str">
        <f>IF(Notes!BZ49="","",Notes!BZ49)</f>
        <v>SEA</v>
      </c>
      <c r="C53" s="7" t="str">
        <f>IF(Notes!CA49="","",Notes!CA49)</f>
        <v>fuel_blend</v>
      </c>
      <c r="D53" s="7">
        <f>IF(Notes!CB49="","",Notes!CB49)</f>
        <v>710000000</v>
      </c>
      <c r="E53" s="7" t="str">
        <f>IF(Notes!CC49="","",Notes!CC49)</f>
        <v>gallons</v>
      </c>
      <c r="F53" s="7" t="str">
        <f>IF(Notes!CD49="","",Notes!CD49)</f>
        <v/>
      </c>
      <c r="G53" s="7" t="str">
        <f>IF(Notes!CE49="","",Notes!CE49)</f>
        <v/>
      </c>
      <c r="H53" s="7" t="str">
        <f>IF(Notes!CF49="","",Notes!CF49)</f>
        <v/>
      </c>
      <c r="I53" s="7"/>
      <c r="J53" s="7"/>
      <c r="K53" s="7"/>
      <c r="L53" s="7"/>
      <c r="M53" s="7"/>
      <c r="N53" s="7"/>
      <c r="O53" s="7"/>
      <c r="P53" s="7"/>
      <c r="Q53" s="7"/>
    </row>
    <row r="54" spans="1:17" x14ac:dyDescent="0.35">
      <c r="A54" s="7" t="str">
        <f>IF(Notes!BY50="","",Notes!BY50)</f>
        <v>processor</v>
      </c>
      <c r="B54" s="7" t="str">
        <f>IF(Notes!BZ50="","",Notes!BZ50)</f>
        <v>Montana Renewables (Calumet)</v>
      </c>
      <c r="C54" s="7" t="str">
        <f>IF(Notes!CA50="","",Notes!CA50)</f>
        <v>makeSAF_Existing</v>
      </c>
      <c r="D54" s="7">
        <f>IF(Notes!CB50="","",Notes!CB50)</f>
        <v>1808015.6183272291</v>
      </c>
      <c r="E54" s="7" t="str">
        <f>IF(Notes!CC50="","",Notes!CC50)</f>
        <v>tons</v>
      </c>
      <c r="F54" s="7" t="str">
        <f>IF(Notes!CD50="","",Notes!CD50)</f>
        <v/>
      </c>
      <c r="G54" s="7" t="str">
        <f>IF(Notes!CE50="","",Notes!CE50)</f>
        <v/>
      </c>
      <c r="H54" s="7" t="str">
        <f>IF(Notes!CF50="","",Notes!CF50)</f>
        <v/>
      </c>
      <c r="I54" s="7"/>
      <c r="J54" s="7"/>
      <c r="K54" s="7"/>
      <c r="L54" s="7"/>
      <c r="M54" s="7"/>
      <c r="N54" s="7"/>
      <c r="O54" s="7"/>
      <c r="P54" s="7"/>
      <c r="Q54" s="7"/>
    </row>
    <row r="55" spans="1:17" x14ac:dyDescent="0.35">
      <c r="A55" s="7" t="str">
        <f>IF(Notes!BY51="","",Notes!BY51)</f>
        <v>processor</v>
      </c>
      <c r="B55" s="7" t="str">
        <f>IF(Notes!BZ51="","",Notes!BZ51)</f>
        <v>Next Renewable Fuels Inc.</v>
      </c>
      <c r="C55" s="7" t="str">
        <f>IF(Notes!CA51="","",Notes!CA51)</f>
        <v>makeSAF_Existing</v>
      </c>
      <c r="D55" s="7">
        <f>IF(Notes!CB51="","",Notes!CB51)</f>
        <v>4700840.607650795</v>
      </c>
      <c r="E55" s="7" t="str">
        <f>IF(Notes!CC51="","",Notes!CC51)</f>
        <v>tons</v>
      </c>
      <c r="F55" s="7" t="str">
        <f>IF(Notes!CD51="","",Notes!CD51)</f>
        <v/>
      </c>
      <c r="G55" s="7" t="str">
        <f>IF(Notes!CE51="","",Notes!CE51)</f>
        <v/>
      </c>
      <c r="H55" s="7" t="str">
        <f>IF(Notes!CF51="","",Notes!CF51)</f>
        <v/>
      </c>
      <c r="I55" s="7"/>
      <c r="J55" s="7"/>
      <c r="K55" s="7"/>
      <c r="L55" s="7"/>
      <c r="M55" s="7"/>
      <c r="N55" s="7"/>
      <c r="O55" s="7"/>
      <c r="P55" s="7"/>
      <c r="Q55" s="7"/>
    </row>
    <row r="56" spans="1:17" x14ac:dyDescent="0.35">
      <c r="A56" s="7" t="str">
        <f>IF(Notes!BY52="","",Notes!BY52)</f>
        <v/>
      </c>
      <c r="B56" s="7" t="str">
        <f>IF(Notes!BZ52="","",Notes!BZ52)</f>
        <v/>
      </c>
      <c r="C56" s="7" t="str">
        <f>IF(Notes!CA52="","",Notes!CA52)</f>
        <v/>
      </c>
      <c r="D56" s="7" t="str">
        <f>IF(Notes!CB52="","",Notes!CB52)</f>
        <v/>
      </c>
      <c r="E56" s="7" t="str">
        <f>IF(Notes!CC52="","",Notes!CC52)</f>
        <v/>
      </c>
      <c r="F56" s="7" t="str">
        <f>IF(Notes!CD52="","",Notes!CD52)</f>
        <v/>
      </c>
      <c r="G56" s="7" t="str">
        <f>IF(Notes!CE52="","",Notes!CE52)</f>
        <v/>
      </c>
      <c r="H56" s="7" t="str">
        <f>IF(Notes!CF52="","",Notes!CF52)</f>
        <v/>
      </c>
      <c r="I56" s="7"/>
      <c r="J56" s="7"/>
      <c r="K56" s="7"/>
      <c r="L56" s="7"/>
      <c r="M56" s="7"/>
      <c r="N56" s="7"/>
      <c r="O56" s="7"/>
      <c r="P56" s="7"/>
      <c r="Q56" s="7"/>
    </row>
    <row r="57" spans="1:17" x14ac:dyDescent="0.35">
      <c r="A57" s="7" t="str">
        <f>IF(Notes!BY53="","",Notes!BY53)</f>
        <v/>
      </c>
      <c r="B57" s="7" t="str">
        <f>IF(Notes!BZ53="","",Notes!BZ53)</f>
        <v/>
      </c>
      <c r="C57" s="7" t="str">
        <f>IF(Notes!CA53="","",Notes!CA53)</f>
        <v/>
      </c>
      <c r="D57" s="7" t="str">
        <f>IF(Notes!CB53="","",Notes!CB53)</f>
        <v/>
      </c>
      <c r="E57" s="7" t="str">
        <f>IF(Notes!CC53="","",Notes!CC53)</f>
        <v/>
      </c>
      <c r="F57" s="7" t="str">
        <f>IF(Notes!CD53="","",Notes!CD53)</f>
        <v/>
      </c>
      <c r="G57" s="7" t="str">
        <f>IF(Notes!CE53="","",Notes!CE53)</f>
        <v/>
      </c>
      <c r="H57" s="7" t="str">
        <f>IF(Notes!CF53="","",Notes!CF53)</f>
        <v/>
      </c>
      <c r="I57" s="7"/>
      <c r="J57" s="7"/>
      <c r="K57" s="7"/>
      <c r="L57" s="7"/>
      <c r="M57" s="7"/>
      <c r="N57" s="7"/>
      <c r="O57" s="7"/>
      <c r="P57" s="7"/>
      <c r="Q57" s="7"/>
    </row>
    <row r="58" spans="1:17" x14ac:dyDescent="0.35">
      <c r="A58" s="7" t="str">
        <f>IF(Notes!BY54="","",Notes!BY54)</f>
        <v/>
      </c>
      <c r="B58" s="7" t="str">
        <f>IF(Notes!BZ54="","",Notes!BZ54)</f>
        <v/>
      </c>
      <c r="C58" s="7" t="str">
        <f>IF(Notes!CA54="","",Notes!CA54)</f>
        <v/>
      </c>
      <c r="D58" s="7" t="str">
        <f>IF(Notes!CB54="","",Notes!CB54)</f>
        <v/>
      </c>
      <c r="E58" s="7" t="str">
        <f>IF(Notes!CC54="","",Notes!CC54)</f>
        <v/>
      </c>
      <c r="F58" s="7" t="str">
        <f>IF(Notes!CD54="","",Notes!CD54)</f>
        <v/>
      </c>
      <c r="G58" s="7" t="str">
        <f>IF(Notes!CE54="","",Notes!CE54)</f>
        <v/>
      </c>
      <c r="H58" s="7" t="str">
        <f>IF(Notes!CF54="","",Notes!CF54)</f>
        <v/>
      </c>
      <c r="I58" s="7"/>
      <c r="J58" s="7"/>
      <c r="K58" s="7"/>
      <c r="L58" s="7"/>
      <c r="M58" s="7"/>
      <c r="N58" s="7"/>
      <c r="O58" s="7"/>
      <c r="P58" s="7"/>
      <c r="Q58" s="7"/>
    </row>
    <row r="59" spans="1:17" x14ac:dyDescent="0.35">
      <c r="A59" s="7" t="str">
        <f>IF(Notes!BY55="","",Notes!BY55)</f>
        <v/>
      </c>
      <c r="B59" s="7" t="str">
        <f>IF(Notes!BZ55="","",Notes!BZ55)</f>
        <v/>
      </c>
      <c r="C59" s="7" t="str">
        <f>IF(Notes!CA55="","",Notes!CA55)</f>
        <v/>
      </c>
      <c r="D59" s="7" t="str">
        <f>IF(Notes!CB55="","",Notes!CB55)</f>
        <v/>
      </c>
      <c r="E59" s="7" t="str">
        <f>IF(Notes!CC55="","",Notes!CC55)</f>
        <v/>
      </c>
      <c r="F59" s="7" t="str">
        <f>IF(Notes!CD55="","",Notes!CD55)</f>
        <v/>
      </c>
      <c r="G59" s="7" t="str">
        <f>IF(Notes!CE55="","",Notes!CE55)</f>
        <v/>
      </c>
      <c r="H59" s="7" t="str">
        <f>IF(Notes!CF55="","",Notes!CF55)</f>
        <v/>
      </c>
      <c r="I59" s="7"/>
      <c r="J59" s="7"/>
      <c r="K59" s="7"/>
      <c r="L59" s="7"/>
      <c r="M59" s="7"/>
      <c r="N59" s="7"/>
      <c r="O59" s="7"/>
      <c r="P59" s="7"/>
      <c r="Q59" s="7"/>
    </row>
    <row r="60" spans="1:17" x14ac:dyDescent="0.35">
      <c r="A60" s="7" t="str">
        <f>IF(Notes!BY56="","",Notes!BY56)</f>
        <v/>
      </c>
      <c r="B60" s="7" t="str">
        <f>IF(Notes!BZ56="","",Notes!BZ56)</f>
        <v/>
      </c>
      <c r="C60" s="7" t="str">
        <f>IF(Notes!CA56="","",Notes!CA56)</f>
        <v/>
      </c>
      <c r="D60" s="7" t="str">
        <f>IF(Notes!CB56="","",Notes!CB56)</f>
        <v/>
      </c>
      <c r="E60" s="7" t="str">
        <f>IF(Notes!CC56="","",Notes!CC56)</f>
        <v/>
      </c>
      <c r="F60" s="7" t="str">
        <f>IF(Notes!CD56="","",Notes!CD56)</f>
        <v/>
      </c>
      <c r="G60" s="7" t="str">
        <f>IF(Notes!CE56="","",Notes!CE56)</f>
        <v/>
      </c>
      <c r="H60" s="7" t="str">
        <f>IF(Notes!CF56="","",Notes!CF56)</f>
        <v/>
      </c>
      <c r="I60" s="7"/>
      <c r="J60" s="7"/>
      <c r="K60" s="7"/>
      <c r="L60" s="7"/>
      <c r="M60" s="7"/>
      <c r="N60" s="7"/>
      <c r="O60" s="7"/>
      <c r="P60" s="7"/>
      <c r="Q60" s="7"/>
    </row>
    <row r="61" spans="1:17" x14ac:dyDescent="0.35">
      <c r="A61" s="7" t="str">
        <f>IF(Notes!BY57="","",Notes!BY57)</f>
        <v/>
      </c>
      <c r="B61" s="7" t="str">
        <f>IF(Notes!BZ57="","",Notes!BZ57)</f>
        <v/>
      </c>
      <c r="C61" s="7" t="str">
        <f>IF(Notes!CA57="","",Notes!CA57)</f>
        <v/>
      </c>
      <c r="D61" s="7" t="str">
        <f>IF(Notes!CB57="","",Notes!CB57)</f>
        <v/>
      </c>
      <c r="E61" s="7" t="str">
        <f>IF(Notes!CC57="","",Notes!CC57)</f>
        <v/>
      </c>
      <c r="F61" s="7" t="str">
        <f>IF(Notes!CD57="","",Notes!CD57)</f>
        <v/>
      </c>
      <c r="G61" s="7" t="str">
        <f>IF(Notes!CE57="","",Notes!CE57)</f>
        <v/>
      </c>
      <c r="H61" s="7" t="str">
        <f>IF(Notes!CF57="","",Notes!CF57)</f>
        <v/>
      </c>
      <c r="I61" s="7"/>
      <c r="J61" s="7"/>
      <c r="K61" s="7"/>
      <c r="L61" s="7"/>
      <c r="M61" s="7"/>
      <c r="N61" s="7"/>
      <c r="O61" s="7"/>
      <c r="P61" s="7"/>
      <c r="Q61" s="7"/>
    </row>
    <row r="62" spans="1:17" x14ac:dyDescent="0.35">
      <c r="A62" s="7" t="str">
        <f>IF(Notes!BY58="","",Notes!BY58)</f>
        <v/>
      </c>
      <c r="B62" s="7" t="str">
        <f>IF(Notes!BZ58="","",Notes!BZ58)</f>
        <v/>
      </c>
      <c r="C62" s="7" t="str">
        <f>IF(Notes!CA58="","",Notes!CA58)</f>
        <v/>
      </c>
      <c r="D62" s="7" t="str">
        <f>IF(Notes!CB58="","",Notes!CB58)</f>
        <v/>
      </c>
      <c r="E62" s="7" t="str">
        <f>IF(Notes!CC58="","",Notes!CC58)</f>
        <v/>
      </c>
      <c r="F62" s="7" t="str">
        <f>IF(Notes!CD58="","",Notes!CD58)</f>
        <v/>
      </c>
      <c r="G62" s="7" t="str">
        <f>IF(Notes!CE58="","",Notes!CE58)</f>
        <v/>
      </c>
      <c r="H62" s="7" t="str">
        <f>IF(Notes!CF58="","",Notes!CF58)</f>
        <v/>
      </c>
      <c r="I62" s="7"/>
      <c r="J62" s="7"/>
      <c r="K62" s="7"/>
      <c r="L62" s="7"/>
      <c r="M62" s="7"/>
      <c r="N62" s="7"/>
      <c r="O62" s="7"/>
      <c r="P62" s="7"/>
      <c r="Q62" s="7"/>
    </row>
    <row r="63" spans="1:17" x14ac:dyDescent="0.35">
      <c r="A63" s="7" t="str">
        <f>IF(Notes!BY59="","",Notes!BY59)</f>
        <v/>
      </c>
      <c r="B63" s="7" t="str">
        <f>IF(Notes!BZ59="","",Notes!BZ59)</f>
        <v/>
      </c>
      <c r="C63" s="7" t="str">
        <f>IF(Notes!CA59="","",Notes!CA59)</f>
        <v/>
      </c>
      <c r="D63" s="7" t="str">
        <f>IF(Notes!CB59="","",Notes!CB59)</f>
        <v/>
      </c>
      <c r="E63" s="7" t="str">
        <f>IF(Notes!CC59="","",Notes!CC59)</f>
        <v/>
      </c>
      <c r="F63" s="7" t="str">
        <f>IF(Notes!CD59="","",Notes!CD59)</f>
        <v/>
      </c>
      <c r="G63" s="7" t="str">
        <f>IF(Notes!CE59="","",Notes!CE59)</f>
        <v/>
      </c>
      <c r="H63" s="7" t="str">
        <f>IF(Notes!CF59="","",Notes!CF59)</f>
        <v/>
      </c>
      <c r="I63" s="7"/>
      <c r="J63" s="7"/>
      <c r="K63" s="7"/>
      <c r="L63" s="7"/>
      <c r="M63" s="7"/>
      <c r="N63" s="7"/>
      <c r="O63" s="7"/>
      <c r="P63" s="7"/>
      <c r="Q63" s="7"/>
    </row>
    <row r="64" spans="1:17" x14ac:dyDescent="0.35">
      <c r="A64" s="7" t="str">
        <f>IF(Notes!BY60="","",Notes!BY60)</f>
        <v/>
      </c>
      <c r="B64" s="7" t="str">
        <f>IF(Notes!BZ60="","",Notes!BZ60)</f>
        <v/>
      </c>
      <c r="C64" s="7" t="str">
        <f>IF(Notes!CA60="","",Notes!CA60)</f>
        <v/>
      </c>
      <c r="D64" s="7" t="str">
        <f>IF(Notes!CB60="","",Notes!CB60)</f>
        <v/>
      </c>
      <c r="E64" s="7" t="str">
        <f>IF(Notes!CC60="","",Notes!CC60)</f>
        <v/>
      </c>
      <c r="F64" s="7" t="str">
        <f>IF(Notes!CD60="","",Notes!CD60)</f>
        <v/>
      </c>
      <c r="G64" s="7" t="str">
        <f>IF(Notes!CE60="","",Notes!CE60)</f>
        <v/>
      </c>
      <c r="H64" s="7" t="str">
        <f>IF(Notes!CF60="","",Notes!CF60)</f>
        <v/>
      </c>
      <c r="I64" s="7"/>
      <c r="J64" s="7"/>
      <c r="K64" s="7"/>
      <c r="L64" s="7"/>
      <c r="M64" s="7"/>
      <c r="N64" s="7"/>
      <c r="O64" s="7"/>
      <c r="P64" s="7"/>
      <c r="Q64" s="7"/>
    </row>
    <row r="65" spans="1:17" x14ac:dyDescent="0.35">
      <c r="A65" s="7" t="str">
        <f>IF(Notes!BY61="","",Notes!BY61)</f>
        <v/>
      </c>
      <c r="B65" s="7" t="str">
        <f>IF(Notes!BZ61="","",Notes!BZ61)</f>
        <v/>
      </c>
      <c r="C65" s="7" t="str">
        <f>IF(Notes!CA61="","",Notes!CA61)</f>
        <v/>
      </c>
      <c r="D65" s="7" t="str">
        <f>IF(Notes!CB61="","",Notes!CB61)</f>
        <v/>
      </c>
      <c r="E65" s="7" t="str">
        <f>IF(Notes!CC61="","",Notes!CC61)</f>
        <v/>
      </c>
      <c r="F65" s="7" t="str">
        <f>IF(Notes!CD61="","",Notes!CD61)</f>
        <v/>
      </c>
      <c r="G65" s="7" t="str">
        <f>IF(Notes!CE61="","",Notes!CE61)</f>
        <v/>
      </c>
      <c r="H65" s="7" t="str">
        <f>IF(Notes!CF61="","",Notes!CF61)</f>
        <v/>
      </c>
      <c r="I65" s="7"/>
      <c r="J65" s="7"/>
      <c r="K65" s="7"/>
      <c r="L65" s="7"/>
      <c r="M65" s="7"/>
      <c r="N65" s="7"/>
      <c r="O65" s="7"/>
      <c r="P65" s="7"/>
      <c r="Q65" s="7"/>
    </row>
    <row r="66" spans="1:17" x14ac:dyDescent="0.35">
      <c r="A66" s="7" t="str">
        <f>IF(Notes!BY62="","",Notes!BY62)</f>
        <v/>
      </c>
      <c r="B66" s="7" t="str">
        <f>IF(Notes!BZ62="","",Notes!BZ62)</f>
        <v/>
      </c>
      <c r="C66" s="7" t="str">
        <f>IF(Notes!CA62="","",Notes!CA62)</f>
        <v/>
      </c>
      <c r="D66" s="7" t="str">
        <f>IF(Notes!CB62="","",Notes!CB62)</f>
        <v/>
      </c>
      <c r="E66" s="7" t="str">
        <f>IF(Notes!CC62="","",Notes!CC62)</f>
        <v/>
      </c>
      <c r="F66" s="7" t="str">
        <f>IF(Notes!CD62="","",Notes!CD62)</f>
        <v/>
      </c>
      <c r="G66" s="7" t="str">
        <f>IF(Notes!CE62="","",Notes!CE62)</f>
        <v/>
      </c>
      <c r="H66" s="7" t="str">
        <f>IF(Notes!CF62="","",Notes!CF62)</f>
        <v/>
      </c>
      <c r="I66" s="7"/>
      <c r="J66" s="7"/>
      <c r="K66" s="7"/>
      <c r="L66" s="7"/>
      <c r="M66" s="7"/>
      <c r="N66" s="7"/>
      <c r="O66" s="7"/>
      <c r="P66" s="7"/>
      <c r="Q66" s="7"/>
    </row>
    <row r="67" spans="1:17" x14ac:dyDescent="0.35">
      <c r="A67" s="7" t="str">
        <f>IF(Notes!BY63="","",Notes!BY63)</f>
        <v/>
      </c>
      <c r="B67" s="7" t="str">
        <f>IF(Notes!BZ63="","",Notes!BZ63)</f>
        <v/>
      </c>
      <c r="C67" s="7" t="str">
        <f>IF(Notes!CA63="","",Notes!CA63)</f>
        <v/>
      </c>
      <c r="D67" s="7" t="str">
        <f>IF(Notes!CB63="","",Notes!CB63)</f>
        <v/>
      </c>
      <c r="E67" s="7" t="str">
        <f>IF(Notes!CC63="","",Notes!CC63)</f>
        <v/>
      </c>
      <c r="F67" s="7" t="str">
        <f>IF(Notes!CD63="","",Notes!CD63)</f>
        <v/>
      </c>
      <c r="G67" s="7" t="str">
        <f>IF(Notes!CE63="","",Notes!CE63)</f>
        <v/>
      </c>
      <c r="H67" s="7" t="str">
        <f>IF(Notes!CF63="","",Notes!CF63)</f>
        <v/>
      </c>
      <c r="I67" s="7"/>
      <c r="J67" s="7"/>
      <c r="K67" s="7"/>
      <c r="L67" s="7"/>
      <c r="M67" s="7"/>
      <c r="N67" s="7"/>
      <c r="O67" s="7"/>
      <c r="P67" s="7"/>
      <c r="Q67" s="7"/>
    </row>
    <row r="68" spans="1:17" x14ac:dyDescent="0.35">
      <c r="A68" s="7" t="str">
        <f>IF(Notes!BY64="","",Notes!BY64)</f>
        <v/>
      </c>
      <c r="B68" s="7" t="str">
        <f>IF(Notes!BZ64="","",Notes!BZ64)</f>
        <v/>
      </c>
      <c r="C68" s="7" t="str">
        <f>IF(Notes!CA64="","",Notes!CA64)</f>
        <v/>
      </c>
      <c r="D68" s="7" t="str">
        <f>IF(Notes!CB64="","",Notes!CB64)</f>
        <v/>
      </c>
      <c r="E68" s="7" t="str">
        <f>IF(Notes!CC64="","",Notes!CC64)</f>
        <v/>
      </c>
      <c r="F68" s="7" t="str">
        <f>IF(Notes!CD64="","",Notes!CD64)</f>
        <v/>
      </c>
      <c r="G68" s="7" t="str">
        <f>IF(Notes!CE64="","",Notes!CE64)</f>
        <v/>
      </c>
      <c r="H68" s="7" t="str">
        <f>IF(Notes!CF64="","",Notes!CF64)</f>
        <v/>
      </c>
      <c r="I68" s="7"/>
      <c r="J68" s="7"/>
      <c r="K68" s="7"/>
      <c r="L68" s="7"/>
      <c r="M68" s="7"/>
      <c r="N68" s="7"/>
      <c r="O68" s="7"/>
      <c r="P68" s="7"/>
      <c r="Q68" s="7"/>
    </row>
    <row r="69" spans="1:17" x14ac:dyDescent="0.35">
      <c r="A69" s="7" t="str">
        <f>IF(Notes!BY65="","",Notes!BY65)</f>
        <v/>
      </c>
      <c r="B69" s="7" t="str">
        <f>IF(Notes!BZ65="","",Notes!BZ65)</f>
        <v/>
      </c>
      <c r="C69" s="7" t="str">
        <f>IF(Notes!CA65="","",Notes!CA65)</f>
        <v/>
      </c>
      <c r="D69" s="7" t="str">
        <f>IF(Notes!CB65="","",Notes!CB65)</f>
        <v/>
      </c>
      <c r="E69" s="7" t="str">
        <f>IF(Notes!CC65="","",Notes!CC65)</f>
        <v/>
      </c>
      <c r="F69" s="7" t="str">
        <f>IF(Notes!CD65="","",Notes!CD65)</f>
        <v/>
      </c>
      <c r="G69" s="7" t="str">
        <f>IF(Notes!CE65="","",Notes!CE65)</f>
        <v/>
      </c>
      <c r="H69" s="7" t="str">
        <f>IF(Notes!CF65="","",Notes!CF65)</f>
        <v/>
      </c>
      <c r="I69" s="7"/>
      <c r="J69" s="7"/>
      <c r="K69" s="7"/>
      <c r="L69" s="7"/>
      <c r="M69" s="7"/>
      <c r="N69" s="7"/>
      <c r="O69" s="7"/>
      <c r="P69" s="7"/>
      <c r="Q69" s="7"/>
    </row>
    <row r="70" spans="1:17" x14ac:dyDescent="0.35">
      <c r="A70" s="7" t="str">
        <f>IF(Notes!BY66="","",Notes!BY66)</f>
        <v/>
      </c>
      <c r="B70" s="7" t="str">
        <f>IF(Notes!BZ66="","",Notes!BZ66)</f>
        <v/>
      </c>
      <c r="C70" s="7" t="str">
        <f>IF(Notes!CA66="","",Notes!CA66)</f>
        <v/>
      </c>
      <c r="D70" s="7" t="str">
        <f>IF(Notes!CB66="","",Notes!CB66)</f>
        <v/>
      </c>
      <c r="E70" s="7" t="str">
        <f>IF(Notes!CC66="","",Notes!CC66)</f>
        <v/>
      </c>
      <c r="F70" s="7" t="str">
        <f>IF(Notes!CD66="","",Notes!CD66)</f>
        <v/>
      </c>
      <c r="G70" s="7" t="str">
        <f>IF(Notes!CE66="","",Notes!CE66)</f>
        <v/>
      </c>
      <c r="H70" s="7" t="str">
        <f>IF(Notes!CF66="","",Notes!CF66)</f>
        <v/>
      </c>
      <c r="I70" s="7"/>
      <c r="J70" s="7"/>
      <c r="K70" s="7"/>
      <c r="L70" s="7"/>
      <c r="M70" s="7"/>
      <c r="N70" s="7"/>
      <c r="O70" s="7"/>
      <c r="P70" s="7"/>
      <c r="Q70" s="7"/>
    </row>
    <row r="71" spans="1:17" x14ac:dyDescent="0.35">
      <c r="A71" s="7" t="str">
        <f>IF(Notes!BY67="","",Notes!BY67)</f>
        <v/>
      </c>
      <c r="B71" s="7" t="str">
        <f>IF(Notes!BZ67="","",Notes!BZ67)</f>
        <v/>
      </c>
      <c r="C71" s="7" t="str">
        <f>IF(Notes!CA67="","",Notes!CA67)</f>
        <v/>
      </c>
      <c r="D71" s="7" t="str">
        <f>IF(Notes!CB67="","",Notes!CB67)</f>
        <v/>
      </c>
      <c r="E71" s="7" t="str">
        <f>IF(Notes!CC67="","",Notes!CC67)</f>
        <v/>
      </c>
      <c r="F71" s="7" t="str">
        <f>IF(Notes!CD67="","",Notes!CD67)</f>
        <v/>
      </c>
      <c r="G71" s="7" t="str">
        <f>IF(Notes!CE67="","",Notes!CE67)</f>
        <v/>
      </c>
      <c r="H71" s="7" t="str">
        <f>IF(Notes!CF67="","",Notes!CF67)</f>
        <v/>
      </c>
      <c r="I71" s="7"/>
      <c r="J71" s="7"/>
      <c r="K71" s="7"/>
      <c r="L71" s="7"/>
      <c r="M71" s="7"/>
      <c r="N71" s="7"/>
      <c r="O71" s="7"/>
      <c r="P71" s="7"/>
      <c r="Q71" s="7"/>
    </row>
    <row r="72" spans="1:17" x14ac:dyDescent="0.35">
      <c r="A72" s="7" t="str">
        <f>IF(Notes!BY68="","",Notes!BY68)</f>
        <v/>
      </c>
      <c r="B72" s="7" t="str">
        <f>IF(Notes!BZ68="","",Notes!BZ68)</f>
        <v/>
      </c>
      <c r="C72" s="7" t="str">
        <f>IF(Notes!CA68="","",Notes!CA68)</f>
        <v/>
      </c>
      <c r="D72" s="7" t="str">
        <f>IF(Notes!CB68="","",Notes!CB68)</f>
        <v/>
      </c>
      <c r="E72" s="7" t="str">
        <f>IF(Notes!CC68="","",Notes!CC68)</f>
        <v/>
      </c>
      <c r="F72" s="7" t="str">
        <f>IF(Notes!CD68="","",Notes!CD68)</f>
        <v/>
      </c>
      <c r="G72" s="7" t="str">
        <f>IF(Notes!CE68="","",Notes!CE68)</f>
        <v/>
      </c>
      <c r="H72" s="7" t="str">
        <f>IF(Notes!CF68="","",Notes!CF68)</f>
        <v/>
      </c>
      <c r="I72" s="7"/>
      <c r="J72" s="7"/>
      <c r="K72" s="7"/>
      <c r="L72" s="7"/>
      <c r="M72" s="7"/>
      <c r="N72" s="7"/>
      <c r="O72" s="7"/>
      <c r="P72" s="7"/>
      <c r="Q72" s="7"/>
    </row>
    <row r="73" spans="1:17" x14ac:dyDescent="0.35">
      <c r="A73" s="7" t="str">
        <f>IF(Notes!BY69="","",Notes!BY69)</f>
        <v/>
      </c>
      <c r="B73" s="7" t="str">
        <f>IF(Notes!BZ69="","",Notes!BZ69)</f>
        <v/>
      </c>
      <c r="C73" s="7" t="str">
        <f>IF(Notes!CA69="","",Notes!CA69)</f>
        <v/>
      </c>
      <c r="D73" s="7" t="str">
        <f>IF(Notes!CB69="","",Notes!CB69)</f>
        <v/>
      </c>
      <c r="E73" s="7" t="str">
        <f>IF(Notes!CC69="","",Notes!CC69)</f>
        <v/>
      </c>
      <c r="F73" s="7" t="str">
        <f>IF(Notes!CD69="","",Notes!CD69)</f>
        <v/>
      </c>
      <c r="G73" s="7" t="str">
        <f>IF(Notes!CE69="","",Notes!CE69)</f>
        <v/>
      </c>
      <c r="H73" s="7" t="str">
        <f>IF(Notes!CF69="","",Notes!CF69)</f>
        <v/>
      </c>
      <c r="I73" s="7"/>
      <c r="J73" s="7"/>
      <c r="K73" s="7"/>
      <c r="L73" s="7"/>
      <c r="M73" s="7"/>
      <c r="N73" s="7"/>
      <c r="O73" s="7"/>
      <c r="P73" s="7"/>
      <c r="Q73" s="7"/>
    </row>
    <row r="74" spans="1:17" x14ac:dyDescent="0.35">
      <c r="A74" s="7" t="str">
        <f>IF(Notes!BY70="","",Notes!BY70)</f>
        <v/>
      </c>
      <c r="B74" s="7" t="str">
        <f>IF(Notes!BZ70="","",Notes!BZ70)</f>
        <v/>
      </c>
      <c r="C74" s="7" t="str">
        <f>IF(Notes!CA70="","",Notes!CA70)</f>
        <v/>
      </c>
      <c r="D74" s="7" t="str">
        <f>IF(Notes!CB70="","",Notes!CB70)</f>
        <v/>
      </c>
      <c r="E74" s="7" t="str">
        <f>IF(Notes!CC70="","",Notes!CC70)</f>
        <v/>
      </c>
      <c r="F74" s="7" t="str">
        <f>IF(Notes!CD70="","",Notes!CD70)</f>
        <v/>
      </c>
      <c r="G74" s="7" t="str">
        <f>IF(Notes!CE70="","",Notes!CE70)</f>
        <v/>
      </c>
      <c r="H74" s="7" t="str">
        <f>IF(Notes!CF70="","",Notes!CF70)</f>
        <v/>
      </c>
      <c r="I74" s="7"/>
      <c r="J74" s="7"/>
      <c r="K74" s="7"/>
      <c r="L74" s="7"/>
      <c r="M74" s="7"/>
      <c r="N74" s="7"/>
      <c r="O74" s="7"/>
      <c r="P74" s="7"/>
      <c r="Q74" s="7"/>
    </row>
    <row r="75" spans="1:17" x14ac:dyDescent="0.35">
      <c r="A75" s="7" t="str">
        <f>IF(Notes!BY71="","",Notes!BY71)</f>
        <v/>
      </c>
      <c r="B75" s="7" t="str">
        <f>IF(Notes!BZ71="","",Notes!BZ71)</f>
        <v/>
      </c>
      <c r="C75" s="7" t="str">
        <f>IF(Notes!CA71="","",Notes!CA71)</f>
        <v/>
      </c>
      <c r="D75" s="7" t="str">
        <f>IF(Notes!CB71="","",Notes!CB71)</f>
        <v/>
      </c>
      <c r="E75" s="7" t="str">
        <f>IF(Notes!CC71="","",Notes!CC71)</f>
        <v/>
      </c>
      <c r="F75" s="7" t="str">
        <f>IF(Notes!CD71="","",Notes!CD71)</f>
        <v/>
      </c>
      <c r="G75" s="7" t="str">
        <f>IF(Notes!CE71="","",Notes!CE71)</f>
        <v/>
      </c>
      <c r="H75" s="7" t="str">
        <f>IF(Notes!CF71="","",Notes!CF71)</f>
        <v/>
      </c>
      <c r="I75" s="7"/>
      <c r="J75" s="7"/>
      <c r="K75" s="7"/>
      <c r="L75" s="7"/>
      <c r="M75" s="7"/>
      <c r="N75" s="7"/>
      <c r="O75" s="7"/>
      <c r="P75" s="7"/>
      <c r="Q75" s="7"/>
    </row>
    <row r="76" spans="1:17" x14ac:dyDescent="0.35">
      <c r="A76" s="7" t="str">
        <f>IF(Notes!BY72="","",Notes!BY72)</f>
        <v/>
      </c>
      <c r="B76" s="7" t="str">
        <f>IF(Notes!BZ72="","",Notes!BZ72)</f>
        <v/>
      </c>
      <c r="C76" s="7" t="str">
        <f>IF(Notes!CA72="","",Notes!CA72)</f>
        <v/>
      </c>
      <c r="D76" s="7" t="str">
        <f>IF(Notes!CB72="","",Notes!CB72)</f>
        <v/>
      </c>
      <c r="E76" s="7" t="str">
        <f>IF(Notes!CC72="","",Notes!CC72)</f>
        <v/>
      </c>
      <c r="F76" s="7" t="str">
        <f>IF(Notes!CD72="","",Notes!CD72)</f>
        <v/>
      </c>
      <c r="G76" s="7" t="str">
        <f>IF(Notes!CE72="","",Notes!CE72)</f>
        <v/>
      </c>
      <c r="H76" s="7" t="str">
        <f>IF(Notes!CF72="","",Notes!CF72)</f>
        <v/>
      </c>
      <c r="I76" s="7"/>
      <c r="J76" s="7"/>
      <c r="K76" s="7"/>
      <c r="L76" s="7"/>
      <c r="M76" s="7"/>
      <c r="N76" s="7"/>
      <c r="O76" s="7"/>
      <c r="P76" s="7"/>
      <c r="Q76" s="7"/>
    </row>
    <row r="77" spans="1:17" x14ac:dyDescent="0.35">
      <c r="A77" s="7" t="str">
        <f>IF(Notes!BY73="","",Notes!BY73)</f>
        <v/>
      </c>
      <c r="B77" s="7" t="str">
        <f>IF(Notes!BZ73="","",Notes!BZ73)</f>
        <v/>
      </c>
      <c r="C77" s="7" t="str">
        <f>IF(Notes!CA73="","",Notes!CA73)</f>
        <v/>
      </c>
      <c r="D77" s="7" t="str">
        <f>IF(Notes!CB73="","",Notes!CB73)</f>
        <v/>
      </c>
      <c r="E77" s="7" t="str">
        <f>IF(Notes!CC73="","",Notes!CC73)</f>
        <v/>
      </c>
      <c r="F77" s="7" t="str">
        <f>IF(Notes!CD73="","",Notes!CD73)</f>
        <v/>
      </c>
      <c r="G77" s="7" t="str">
        <f>IF(Notes!CE73="","",Notes!CE73)</f>
        <v/>
      </c>
      <c r="H77" s="7" t="str">
        <f>IF(Notes!CF73="","",Notes!CF73)</f>
        <v/>
      </c>
      <c r="I77" s="7"/>
      <c r="J77" s="7"/>
      <c r="K77" s="7"/>
      <c r="L77" s="7"/>
      <c r="M77" s="7"/>
      <c r="N77" s="7"/>
      <c r="O77" s="7"/>
      <c r="P77" s="7"/>
      <c r="Q77" s="7"/>
    </row>
    <row r="78" spans="1:17" x14ac:dyDescent="0.35">
      <c r="A78" s="7" t="str">
        <f>IF(Notes!BY74="","",Notes!BY74)</f>
        <v/>
      </c>
      <c r="B78" s="7" t="str">
        <f>IF(Notes!BZ74="","",Notes!BZ74)</f>
        <v/>
      </c>
      <c r="C78" s="7" t="str">
        <f>IF(Notes!CA74="","",Notes!CA74)</f>
        <v/>
      </c>
      <c r="D78" s="7" t="str">
        <f>IF(Notes!CB74="","",Notes!CB74)</f>
        <v/>
      </c>
      <c r="E78" s="7" t="str">
        <f>IF(Notes!CC74="","",Notes!CC74)</f>
        <v/>
      </c>
      <c r="F78" s="7" t="str">
        <f>IF(Notes!CD74="","",Notes!CD74)</f>
        <v/>
      </c>
      <c r="G78" s="7" t="str">
        <f>IF(Notes!CE74="","",Notes!CE74)</f>
        <v/>
      </c>
      <c r="H78" s="7" t="str">
        <f>IF(Notes!CF74="","",Notes!CF74)</f>
        <v/>
      </c>
      <c r="I78" s="7"/>
      <c r="J78" s="7"/>
      <c r="K78" s="7"/>
      <c r="L78" s="7"/>
      <c r="M78" s="7"/>
      <c r="N78" s="7"/>
      <c r="O78" s="7"/>
      <c r="P78" s="7"/>
      <c r="Q78" s="7"/>
    </row>
    <row r="79" spans="1:17" x14ac:dyDescent="0.35">
      <c r="A79" s="7" t="str">
        <f>IF(Notes!BY75="","",Notes!BY75)</f>
        <v/>
      </c>
      <c r="B79" s="7" t="str">
        <f>IF(Notes!BZ75="","",Notes!BZ75)</f>
        <v/>
      </c>
      <c r="C79" s="7" t="str">
        <f>IF(Notes!CA75="","",Notes!CA75)</f>
        <v/>
      </c>
      <c r="D79" s="7" t="str">
        <f>IF(Notes!CB75="","",Notes!CB75)</f>
        <v/>
      </c>
      <c r="E79" s="7" t="str">
        <f>IF(Notes!CC75="","",Notes!CC75)</f>
        <v/>
      </c>
      <c r="F79" s="7" t="str">
        <f>IF(Notes!CD75="","",Notes!CD75)</f>
        <v/>
      </c>
      <c r="G79" s="7" t="str">
        <f>IF(Notes!CE75="","",Notes!CE75)</f>
        <v/>
      </c>
      <c r="H79" s="7" t="str">
        <f>IF(Notes!CF75="","",Notes!CF75)</f>
        <v/>
      </c>
      <c r="I79" s="7"/>
      <c r="J79" s="7"/>
      <c r="K79" s="7"/>
      <c r="L79" s="7"/>
      <c r="M79" s="7"/>
      <c r="N79" s="7"/>
      <c r="O79" s="7"/>
      <c r="P79" s="7"/>
      <c r="Q79" s="7"/>
    </row>
    <row r="80" spans="1:17" x14ac:dyDescent="0.35">
      <c r="A80" s="7" t="str">
        <f>IF(Notes!BY76="","",Notes!BY76)</f>
        <v/>
      </c>
      <c r="B80" s="7" t="str">
        <f>IF(Notes!BZ76="","",Notes!BZ76)</f>
        <v/>
      </c>
      <c r="C80" s="7" t="str">
        <f>IF(Notes!CA76="","",Notes!CA76)</f>
        <v/>
      </c>
      <c r="D80" s="7" t="str">
        <f>IF(Notes!CB76="","",Notes!CB76)</f>
        <v/>
      </c>
      <c r="E80" s="7" t="str">
        <f>IF(Notes!CC76="","",Notes!CC76)</f>
        <v/>
      </c>
      <c r="F80" s="7" t="str">
        <f>IF(Notes!CD76="","",Notes!CD76)</f>
        <v/>
      </c>
      <c r="G80" s="7" t="str">
        <f>IF(Notes!CE76="","",Notes!CE76)</f>
        <v/>
      </c>
      <c r="H80" s="7" t="str">
        <f>IF(Notes!CF76="","",Notes!CF76)</f>
        <v/>
      </c>
      <c r="I80" s="7"/>
      <c r="J80" s="7"/>
      <c r="K80" s="7"/>
      <c r="L80" s="7"/>
      <c r="M80" s="7"/>
      <c r="N80" s="7"/>
      <c r="O80" s="7"/>
      <c r="P80" s="7"/>
      <c r="Q80" s="7"/>
    </row>
    <row r="81" spans="1:11" x14ac:dyDescent="0.35">
      <c r="A81" s="7" t="str">
        <f>IF(Notes!BY77="","",Notes!BY77)</f>
        <v/>
      </c>
      <c r="B81" s="7" t="str">
        <f>IF(Notes!BZ77="","",Notes!BZ77)</f>
        <v/>
      </c>
      <c r="C81" s="7" t="str">
        <f>IF(Notes!CA77="","",Notes!CA77)</f>
        <v/>
      </c>
      <c r="D81" s="7" t="str">
        <f>IF(Notes!CB77="","",Notes!CB77)</f>
        <v/>
      </c>
      <c r="E81" s="7" t="str">
        <f>IF(Notes!CC77="","",Notes!CC77)</f>
        <v/>
      </c>
      <c r="F81" s="7" t="str">
        <f>IF(Notes!CD77="","",Notes!CD77)</f>
        <v/>
      </c>
      <c r="G81" s="7" t="str">
        <f>IF(Notes!CE77="","",Notes!CE77)</f>
        <v/>
      </c>
      <c r="H81" s="7" t="str">
        <f>IF(Notes!CF77="","",Notes!CF77)</f>
        <v/>
      </c>
      <c r="I81" s="7"/>
      <c r="J81" s="7"/>
      <c r="K81" s="7"/>
    </row>
    <row r="82" spans="1:11" x14ac:dyDescent="0.35">
      <c r="A82" s="7" t="str">
        <f>IF(Notes!BY78="","",Notes!BY78)</f>
        <v/>
      </c>
      <c r="B82" s="7" t="str">
        <f>IF(Notes!BZ78="","",Notes!BZ78)</f>
        <v/>
      </c>
      <c r="C82" s="7" t="str">
        <f>IF(Notes!CA78="","",Notes!CA78)</f>
        <v/>
      </c>
      <c r="D82" s="7" t="str">
        <f>IF(Notes!CB78="","",Notes!CB78)</f>
        <v/>
      </c>
      <c r="E82" s="7" t="str">
        <f>IF(Notes!CC78="","",Notes!CC78)</f>
        <v/>
      </c>
      <c r="F82" s="7" t="str">
        <f>IF(Notes!CD78="","",Notes!CD78)</f>
        <v/>
      </c>
      <c r="G82" s="7" t="str">
        <f>IF(Notes!CE78="","",Notes!CE78)</f>
        <v/>
      </c>
      <c r="H82" s="7" t="str">
        <f>IF(Notes!CF78="","",Notes!CF78)</f>
        <v/>
      </c>
      <c r="I82" s="7"/>
      <c r="J82" s="7"/>
      <c r="K82" s="7"/>
    </row>
    <row r="83" spans="1:11" x14ac:dyDescent="0.35">
      <c r="A83" s="7" t="str">
        <f>IF(Notes!BY79="","",Notes!BY79)</f>
        <v/>
      </c>
      <c r="B83" s="7" t="str">
        <f>IF(Notes!BZ79="","",Notes!BZ79)</f>
        <v/>
      </c>
      <c r="C83" s="7" t="str">
        <f>IF(Notes!CA79="","",Notes!CA79)</f>
        <v/>
      </c>
      <c r="D83" s="7" t="str">
        <f>IF(Notes!CB79="","",Notes!CB79)</f>
        <v/>
      </c>
      <c r="E83" s="7" t="str">
        <f>IF(Notes!CC79="","",Notes!CC79)</f>
        <v/>
      </c>
      <c r="F83" s="7" t="str">
        <f>IF(Notes!CD79="","",Notes!CD79)</f>
        <v/>
      </c>
      <c r="G83" s="7" t="str">
        <f>IF(Notes!CE79="","",Notes!CE79)</f>
        <v/>
      </c>
      <c r="H83" s="7" t="str">
        <f>IF(Notes!CF79="","",Notes!CF79)</f>
        <v/>
      </c>
      <c r="I83" s="7"/>
      <c r="J83" s="7"/>
      <c r="K83" s="7"/>
    </row>
    <row r="84" spans="1:11" x14ac:dyDescent="0.35">
      <c r="A84" s="7" t="str">
        <f>IF(Notes!BY80="","",Notes!BY80)</f>
        <v/>
      </c>
      <c r="B84" s="7" t="str">
        <f>IF(Notes!BZ80="","",Notes!BZ80)</f>
        <v/>
      </c>
      <c r="C84" s="7" t="str">
        <f>IF(Notes!CA80="","",Notes!CA80)</f>
        <v/>
      </c>
      <c r="D84" s="7" t="str">
        <f>IF(Notes!CB80="","",Notes!CB80)</f>
        <v/>
      </c>
      <c r="E84" s="7" t="str">
        <f>IF(Notes!CC80="","",Notes!CC80)</f>
        <v/>
      </c>
      <c r="F84" s="7" t="str">
        <f>IF(Notes!CD80="","",Notes!CD80)</f>
        <v/>
      </c>
      <c r="G84" s="7" t="str">
        <f>IF(Notes!CE80="","",Notes!CE80)</f>
        <v/>
      </c>
      <c r="H84" s="7" t="str">
        <f>IF(Notes!CF80="","",Notes!CF80)</f>
        <v/>
      </c>
      <c r="I84" s="7"/>
      <c r="J84" s="7"/>
      <c r="K84" s="7"/>
    </row>
    <row r="85" spans="1:11" x14ac:dyDescent="0.35">
      <c r="A85" s="7" t="str">
        <f>IF(Notes!BY81="","",Notes!BY81)</f>
        <v/>
      </c>
      <c r="B85" s="7" t="str">
        <f>IF(Notes!BZ81="","",Notes!BZ81)</f>
        <v/>
      </c>
      <c r="C85" s="7" t="str">
        <f>IF(Notes!CA81="","",Notes!CA81)</f>
        <v/>
      </c>
      <c r="D85" s="7" t="str">
        <f>IF(Notes!CB81="","",Notes!CB81)</f>
        <v/>
      </c>
      <c r="E85" s="7" t="str">
        <f>IF(Notes!CC81="","",Notes!CC81)</f>
        <v/>
      </c>
      <c r="F85" s="7" t="str">
        <f>IF(Notes!CD81="","",Notes!CD81)</f>
        <v/>
      </c>
      <c r="G85" s="7" t="str">
        <f>IF(Notes!CE81="","",Notes!CE81)</f>
        <v/>
      </c>
      <c r="H85" s="7" t="str">
        <f>IF(Notes!CF81="","",Notes!CF81)</f>
        <v/>
      </c>
      <c r="I85" s="7"/>
      <c r="J85" s="7"/>
      <c r="K85" s="7"/>
    </row>
    <row r="86" spans="1:11" x14ac:dyDescent="0.35">
      <c r="A86" s="7" t="str">
        <f>IF(Notes!BY82="","",Notes!BY82)</f>
        <v/>
      </c>
      <c r="B86" s="7" t="str">
        <f>IF(Notes!BZ82="","",Notes!BZ82)</f>
        <v/>
      </c>
      <c r="C86" s="7" t="str">
        <f>IF(Notes!CA82="","",Notes!CA82)</f>
        <v/>
      </c>
      <c r="D86" s="7" t="str">
        <f>IF(Notes!CB82="","",Notes!CB82)</f>
        <v/>
      </c>
      <c r="E86" s="7" t="str">
        <f>IF(Notes!CC82="","",Notes!CC82)</f>
        <v/>
      </c>
      <c r="F86" s="7" t="str">
        <f>IF(Notes!CD82="","",Notes!CD82)</f>
        <v/>
      </c>
      <c r="G86" s="7" t="str">
        <f>IF(Notes!CE82="","",Notes!CE82)</f>
        <v/>
      </c>
      <c r="H86" s="7" t="str">
        <f>IF(Notes!CF82="","",Notes!CF82)</f>
        <v/>
      </c>
      <c r="I86" s="7"/>
      <c r="J86" s="7"/>
      <c r="K86" s="7"/>
    </row>
    <row r="87" spans="1:11" x14ac:dyDescent="0.35">
      <c r="A87" s="7" t="str">
        <f>IF(Notes!BY83="","",Notes!BY83)</f>
        <v/>
      </c>
      <c r="B87" s="7" t="str">
        <f>IF(Notes!BZ83="","",Notes!BZ83)</f>
        <v/>
      </c>
      <c r="C87" s="7" t="str">
        <f>IF(Notes!CA83="","",Notes!CA83)</f>
        <v/>
      </c>
      <c r="D87" s="7" t="str">
        <f>IF(Notes!CB83="","",Notes!CB83)</f>
        <v/>
      </c>
      <c r="E87" s="7" t="str">
        <f>IF(Notes!CC83="","",Notes!CC83)</f>
        <v/>
      </c>
      <c r="F87" s="7" t="str">
        <f>IF(Notes!CD83="","",Notes!CD83)</f>
        <v/>
      </c>
      <c r="G87" s="7" t="str">
        <f>IF(Notes!CE83="","",Notes!CE83)</f>
        <v/>
      </c>
      <c r="H87" s="7" t="str">
        <f>IF(Notes!CF83="","",Notes!CF83)</f>
        <v/>
      </c>
      <c r="I87" s="7"/>
      <c r="J87" s="7"/>
      <c r="K87" s="7"/>
    </row>
    <row r="88" spans="1:11" x14ac:dyDescent="0.35">
      <c r="A88" s="7" t="str">
        <f>IF(Notes!BY84="","",Notes!BY84)</f>
        <v/>
      </c>
      <c r="B88" s="7" t="str">
        <f>IF(Notes!BZ84="","",Notes!BZ84)</f>
        <v/>
      </c>
      <c r="C88" s="7" t="str">
        <f>IF(Notes!CA84="","",Notes!CA84)</f>
        <v/>
      </c>
      <c r="D88" s="7" t="str">
        <f>IF(Notes!CB84="","",Notes!CB84)</f>
        <v/>
      </c>
      <c r="E88" s="7" t="str">
        <f>IF(Notes!CC84="","",Notes!CC84)</f>
        <v/>
      </c>
      <c r="F88" s="7" t="str">
        <f>IF(Notes!CD84="","",Notes!CD84)</f>
        <v/>
      </c>
      <c r="G88" s="7" t="str">
        <f>IF(Notes!CE84="","",Notes!CE84)</f>
        <v/>
      </c>
      <c r="H88" s="7" t="str">
        <f>IF(Notes!CF84="","",Notes!CF84)</f>
        <v/>
      </c>
      <c r="I88" s="7"/>
      <c r="J88" s="7"/>
      <c r="K88" s="7"/>
    </row>
    <row r="89" spans="1:11" x14ac:dyDescent="0.35">
      <c r="A89" s="7" t="str">
        <f>IF(Notes!BY85="","",Notes!BY85)</f>
        <v/>
      </c>
      <c r="B89" s="7" t="str">
        <f>IF(Notes!BZ85="","",Notes!BZ85)</f>
        <v/>
      </c>
      <c r="C89" s="7" t="str">
        <f>IF(Notes!CA85="","",Notes!CA85)</f>
        <v/>
      </c>
      <c r="D89" s="7" t="str">
        <f>IF(Notes!CB85="","",Notes!CB85)</f>
        <v/>
      </c>
      <c r="E89" s="7" t="str">
        <f>IF(Notes!CC85="","",Notes!CC85)</f>
        <v/>
      </c>
      <c r="F89" s="7" t="str">
        <f>IF(Notes!CD85="","",Notes!CD85)</f>
        <v/>
      </c>
      <c r="G89" s="7" t="str">
        <f>IF(Notes!CE85="","",Notes!CE85)</f>
        <v/>
      </c>
      <c r="H89" s="7" t="str">
        <f>IF(Notes!CF85="","",Notes!CF85)</f>
        <v/>
      </c>
      <c r="I89" s="7"/>
      <c r="J89" s="7"/>
      <c r="K89" s="7"/>
    </row>
    <row r="90" spans="1:11" x14ac:dyDescent="0.35">
      <c r="A90" s="7" t="str">
        <f>IF(Notes!BY86="","",Notes!BY86)</f>
        <v/>
      </c>
      <c r="B90" s="7" t="str">
        <f>IF(Notes!BZ86="","",Notes!BZ86)</f>
        <v/>
      </c>
      <c r="C90" s="7" t="str">
        <f>IF(Notes!CA86="","",Notes!CA86)</f>
        <v/>
      </c>
      <c r="D90" s="7" t="str">
        <f>IF(Notes!CB86="","",Notes!CB86)</f>
        <v/>
      </c>
      <c r="E90" s="7" t="str">
        <f>IF(Notes!CC86="","",Notes!CC86)</f>
        <v/>
      </c>
      <c r="F90" s="7" t="str">
        <f>IF(Notes!CD86="","",Notes!CD86)</f>
        <v/>
      </c>
      <c r="G90" s="7" t="str">
        <f>IF(Notes!CE86="","",Notes!CE86)</f>
        <v/>
      </c>
      <c r="H90" s="7" t="str">
        <f>IF(Notes!CF86="","",Notes!CF86)</f>
        <v/>
      </c>
      <c r="I90" s="7"/>
      <c r="J90" s="7"/>
      <c r="K90" s="7"/>
    </row>
    <row r="91" spans="1:11" x14ac:dyDescent="0.35">
      <c r="A91" s="7" t="str">
        <f>IF(Notes!BY87="","",Notes!BY87)</f>
        <v/>
      </c>
      <c r="B91" s="7" t="str">
        <f>IF(Notes!BZ87="","",Notes!BZ87)</f>
        <v/>
      </c>
      <c r="C91" s="7" t="str">
        <f>IF(Notes!CA87="","",Notes!CA87)</f>
        <v/>
      </c>
      <c r="D91" s="7" t="str">
        <f>IF(Notes!CB87="","",Notes!CB87)</f>
        <v/>
      </c>
      <c r="E91" s="7" t="str">
        <f>IF(Notes!CC87="","",Notes!CC87)</f>
        <v/>
      </c>
      <c r="F91" s="7" t="str">
        <f>IF(Notes!CD87="","",Notes!CD87)</f>
        <v/>
      </c>
      <c r="G91" s="7" t="str">
        <f>IF(Notes!CE87="","",Notes!CE87)</f>
        <v/>
      </c>
      <c r="H91" s="7" t="str">
        <f>IF(Notes!CF87="","",Notes!CF87)</f>
        <v/>
      </c>
      <c r="I91" s="7"/>
      <c r="J91" s="7"/>
      <c r="K91" s="7"/>
    </row>
    <row r="92" spans="1:11" x14ac:dyDescent="0.35">
      <c r="A92" s="7" t="str">
        <f>IF(Notes!BY88="","",Notes!BY88)</f>
        <v/>
      </c>
      <c r="B92" s="7" t="str">
        <f>IF(Notes!BZ88="","",Notes!BZ88)</f>
        <v/>
      </c>
      <c r="C92" s="7" t="str">
        <f>IF(Notes!CA88="","",Notes!CA88)</f>
        <v/>
      </c>
      <c r="D92" s="7" t="str">
        <f>IF(Notes!CB88="","",Notes!CB88)</f>
        <v/>
      </c>
      <c r="E92" s="7" t="str">
        <f>IF(Notes!CC88="","",Notes!CC88)</f>
        <v/>
      </c>
      <c r="F92" s="7" t="str">
        <f>IF(Notes!CD88="","",Notes!CD88)</f>
        <v/>
      </c>
      <c r="G92" s="7" t="str">
        <f>IF(Notes!CE88="","",Notes!CE88)</f>
        <v/>
      </c>
      <c r="H92" s="7" t="str">
        <f>IF(Notes!CF88="","",Notes!CF88)</f>
        <v/>
      </c>
      <c r="I92" s="7"/>
      <c r="J92" s="7"/>
      <c r="K92" s="7"/>
    </row>
    <row r="93" spans="1:11" x14ac:dyDescent="0.35">
      <c r="A93" s="7" t="str">
        <f>IF(Notes!BY89="","",Notes!BY89)</f>
        <v/>
      </c>
      <c r="B93" s="7" t="str">
        <f>IF(Notes!BZ89="","",Notes!BZ89)</f>
        <v/>
      </c>
      <c r="C93" s="7" t="str">
        <f>IF(Notes!CA89="","",Notes!CA89)</f>
        <v/>
      </c>
      <c r="D93" s="7" t="str">
        <f>IF(Notes!CB89="","",Notes!CB89)</f>
        <v/>
      </c>
      <c r="E93" s="7" t="str">
        <f>IF(Notes!CC89="","",Notes!CC89)</f>
        <v/>
      </c>
      <c r="F93" s="7" t="str">
        <f>IF(Notes!CD89="","",Notes!CD89)</f>
        <v/>
      </c>
      <c r="G93" s="7" t="str">
        <f>IF(Notes!CE89="","",Notes!CE89)</f>
        <v/>
      </c>
      <c r="H93" s="7" t="str">
        <f>IF(Notes!CF89="","",Notes!CF89)</f>
        <v/>
      </c>
      <c r="I93" s="7"/>
      <c r="J93" s="7"/>
      <c r="K93" s="7"/>
    </row>
    <row r="94" spans="1:11" x14ac:dyDescent="0.35">
      <c r="A94" s="7" t="str">
        <f>IF(Notes!BY90="","",Notes!BY90)</f>
        <v/>
      </c>
      <c r="B94" s="7" t="str">
        <f>IF(Notes!BZ90="","",Notes!BZ90)</f>
        <v/>
      </c>
      <c r="C94" s="7" t="str">
        <f>IF(Notes!CA90="","",Notes!CA90)</f>
        <v/>
      </c>
      <c r="D94" s="7" t="str">
        <f>IF(Notes!CB90="","",Notes!CB90)</f>
        <v/>
      </c>
      <c r="E94" s="7" t="str">
        <f>IF(Notes!CC90="","",Notes!CC90)</f>
        <v/>
      </c>
      <c r="F94" s="7" t="str">
        <f>IF(Notes!CD90="","",Notes!CD90)</f>
        <v/>
      </c>
      <c r="G94" s="7" t="str">
        <f>IF(Notes!CE90="","",Notes!CE90)</f>
        <v/>
      </c>
      <c r="H94" s="7" t="str">
        <f>IF(Notes!CF90="","",Notes!CF90)</f>
        <v/>
      </c>
      <c r="I94" s="7"/>
      <c r="J94" s="7"/>
      <c r="K94" s="7"/>
    </row>
    <row r="95" spans="1:11" x14ac:dyDescent="0.35">
      <c r="A95" s="7" t="str">
        <f>IF(Notes!BY91="","",Notes!BY91)</f>
        <v/>
      </c>
      <c r="B95" s="7" t="str">
        <f>IF(Notes!BZ91="","",Notes!BZ91)</f>
        <v/>
      </c>
      <c r="C95" s="7" t="str">
        <f>IF(Notes!CA91="","",Notes!CA91)</f>
        <v/>
      </c>
      <c r="D95" s="7" t="str">
        <f>IF(Notes!CB91="","",Notes!CB91)</f>
        <v/>
      </c>
      <c r="E95" s="7" t="str">
        <f>IF(Notes!CC91="","",Notes!CC91)</f>
        <v/>
      </c>
      <c r="F95" s="7" t="str">
        <f>IF(Notes!CD91="","",Notes!CD91)</f>
        <v/>
      </c>
      <c r="G95" s="7" t="str">
        <f>IF(Notes!CE91="","",Notes!CE91)</f>
        <v/>
      </c>
      <c r="H95" s="7" t="str">
        <f>IF(Notes!CF91="","",Notes!CF91)</f>
        <v/>
      </c>
      <c r="I95" s="7"/>
      <c r="J95" s="7"/>
      <c r="K95" s="7"/>
    </row>
    <row r="96" spans="1:11" x14ac:dyDescent="0.35">
      <c r="A96" s="7" t="str">
        <f>IF(Notes!BY92="","",Notes!BY92)</f>
        <v/>
      </c>
      <c r="B96" s="7" t="str">
        <f>IF(Notes!BZ92="","",Notes!BZ92)</f>
        <v/>
      </c>
      <c r="C96" s="7" t="str">
        <f>IF(Notes!CA92="","",Notes!CA92)</f>
        <v/>
      </c>
      <c r="D96" s="7" t="str">
        <f>IF(Notes!CB92="","",Notes!CB92)</f>
        <v/>
      </c>
      <c r="E96" s="7" t="str">
        <f>IF(Notes!CC92="","",Notes!CC92)</f>
        <v/>
      </c>
      <c r="F96" s="7" t="str">
        <f>IF(Notes!CD92="","",Notes!CD92)</f>
        <v/>
      </c>
      <c r="G96" s="7" t="str">
        <f>IF(Notes!CE92="","",Notes!CE92)</f>
        <v/>
      </c>
      <c r="H96" s="7" t="str">
        <f>IF(Notes!CF92="","",Notes!CF92)</f>
        <v/>
      </c>
      <c r="I96" s="7"/>
      <c r="J96" s="7"/>
      <c r="K96" s="7"/>
    </row>
    <row r="97" spans="1:11" x14ac:dyDescent="0.35">
      <c r="A97" s="7" t="str">
        <f>IF(Notes!BY93="","",Notes!BY93)</f>
        <v/>
      </c>
      <c r="B97" s="7" t="str">
        <f>IF(Notes!BZ93="","",Notes!BZ93)</f>
        <v/>
      </c>
      <c r="C97" s="7" t="str">
        <f>IF(Notes!CA93="","",Notes!CA93)</f>
        <v/>
      </c>
      <c r="D97" s="7" t="str">
        <f>IF(Notes!CB93="","",Notes!CB93)</f>
        <v/>
      </c>
      <c r="E97" s="7" t="str">
        <f>IF(Notes!CC93="","",Notes!CC93)</f>
        <v/>
      </c>
      <c r="F97" s="7" t="str">
        <f>IF(Notes!CD93="","",Notes!CD93)</f>
        <v/>
      </c>
      <c r="G97" s="7" t="str">
        <f>IF(Notes!CE93="","",Notes!CE93)</f>
        <v/>
      </c>
      <c r="H97" s="7" t="str">
        <f>IF(Notes!CF93="","",Notes!CF93)</f>
        <v/>
      </c>
      <c r="I97" s="7"/>
      <c r="J97" s="7"/>
      <c r="K97" s="7"/>
    </row>
    <row r="98" spans="1:11" x14ac:dyDescent="0.35">
      <c r="A98" s="7" t="str">
        <f>IF(Notes!BY94="","",Notes!BY94)</f>
        <v/>
      </c>
      <c r="B98" s="7" t="str">
        <f>IF(Notes!BZ94="","",Notes!BZ94)</f>
        <v/>
      </c>
      <c r="C98" s="7" t="str">
        <f>IF(Notes!CA94="","",Notes!CA94)</f>
        <v/>
      </c>
      <c r="D98" s="7" t="str">
        <f>IF(Notes!CB94="","",Notes!CB94)</f>
        <v/>
      </c>
      <c r="E98" s="7" t="str">
        <f>IF(Notes!CC94="","",Notes!CC94)</f>
        <v/>
      </c>
      <c r="F98" s="7" t="str">
        <f>IF(Notes!CD94="","",Notes!CD94)</f>
        <v/>
      </c>
      <c r="G98" s="7" t="str">
        <f>IF(Notes!CE94="","",Notes!CE94)</f>
        <v/>
      </c>
      <c r="H98" s="7" t="str">
        <f>IF(Notes!CF94="","",Notes!CF94)</f>
        <v/>
      </c>
      <c r="I98" s="7"/>
      <c r="J98" s="7"/>
      <c r="K98" s="7"/>
    </row>
    <row r="99" spans="1:11" x14ac:dyDescent="0.35">
      <c r="A99" s="7" t="str">
        <f>IF(Notes!BY95="","",Notes!BY95)</f>
        <v/>
      </c>
      <c r="B99" s="7" t="str">
        <f>IF(Notes!BZ95="","",Notes!BZ95)</f>
        <v/>
      </c>
      <c r="C99" s="7" t="str">
        <f>IF(Notes!CA95="","",Notes!CA95)</f>
        <v/>
      </c>
      <c r="D99" s="7" t="str">
        <f>IF(Notes!CB95="","",Notes!CB95)</f>
        <v/>
      </c>
      <c r="E99" s="7" t="str">
        <f>IF(Notes!CC95="","",Notes!CC95)</f>
        <v/>
      </c>
      <c r="F99" s="7" t="str">
        <f>IF(Notes!CD95="","",Notes!CD95)</f>
        <v/>
      </c>
      <c r="G99" s="7" t="str">
        <f>IF(Notes!CE95="","",Notes!CE95)</f>
        <v/>
      </c>
      <c r="H99" s="7" t="str">
        <f>IF(Notes!CF95="","",Notes!CF95)</f>
        <v/>
      </c>
      <c r="I99" s="7"/>
      <c r="J99" s="7"/>
      <c r="K99" s="7"/>
    </row>
    <row r="100" spans="1:11" x14ac:dyDescent="0.35">
      <c r="A100" s="7" t="str">
        <f>IF(Notes!BY96="","",Notes!BY96)</f>
        <v/>
      </c>
      <c r="B100" s="7" t="str">
        <f>IF(Notes!BZ96="","",Notes!BZ96)</f>
        <v/>
      </c>
      <c r="C100" s="7" t="str">
        <f>IF(Notes!CA96="","",Notes!CA96)</f>
        <v/>
      </c>
      <c r="D100" s="7" t="str">
        <f>IF(Notes!CB96="","",Notes!CB96)</f>
        <v/>
      </c>
      <c r="E100" s="7" t="str">
        <f>IF(Notes!CC96="","",Notes!CC96)</f>
        <v/>
      </c>
      <c r="F100" s="7" t="str">
        <f>IF(Notes!CD96="","",Notes!CD96)</f>
        <v/>
      </c>
      <c r="G100" s="7" t="str">
        <f>IF(Notes!CE96="","",Notes!CE96)</f>
        <v/>
      </c>
      <c r="H100" s="7" t="str">
        <f>IF(Notes!CF96="","",Notes!CF96)</f>
        <v/>
      </c>
      <c r="I100" s="7"/>
      <c r="J100" s="7"/>
      <c r="K100" s="7"/>
    </row>
    <row r="101" spans="1:11" x14ac:dyDescent="0.35">
      <c r="A101" s="7" t="str">
        <f>IF(Notes!BY97="","",Notes!BY97)</f>
        <v/>
      </c>
      <c r="B101" s="7" t="str">
        <f>IF(Notes!BZ97="","",Notes!BZ97)</f>
        <v/>
      </c>
      <c r="C101" s="7" t="str">
        <f>IF(Notes!CA97="","",Notes!CA97)</f>
        <v/>
      </c>
      <c r="D101" s="7" t="str">
        <f>IF(Notes!CB97="","",Notes!CB97)</f>
        <v/>
      </c>
      <c r="E101" s="7" t="str">
        <f>IF(Notes!CC97="","",Notes!CC97)</f>
        <v/>
      </c>
      <c r="F101" s="7" t="str">
        <f>IF(Notes!CD97="","",Notes!CD97)</f>
        <v/>
      </c>
      <c r="G101" s="7" t="str">
        <f>IF(Notes!CE97="","",Notes!CE97)</f>
        <v/>
      </c>
      <c r="H101" s="7" t="str">
        <f>IF(Notes!CF97="","",Notes!CF97)</f>
        <v/>
      </c>
      <c r="I101" s="7"/>
      <c r="J101" s="7"/>
      <c r="K101" s="7"/>
    </row>
    <row r="102" spans="1:11" x14ac:dyDescent="0.35">
      <c r="A102" s="7" t="str">
        <f>IF(Notes!BY98="","",Notes!BY98)</f>
        <v/>
      </c>
      <c r="B102" s="7" t="str">
        <f>IF(Notes!BZ98="","",Notes!BZ98)</f>
        <v/>
      </c>
      <c r="C102" s="7" t="str">
        <f>IF(Notes!CA98="","",Notes!CA98)</f>
        <v/>
      </c>
      <c r="D102" s="7" t="str">
        <f>IF(Notes!CB98="","",Notes!CB98)</f>
        <v/>
      </c>
      <c r="E102" s="7" t="str">
        <f>IF(Notes!CC98="","",Notes!CC98)</f>
        <v/>
      </c>
      <c r="F102" s="7" t="str">
        <f>IF(Notes!CD98="","",Notes!CD98)</f>
        <v/>
      </c>
      <c r="G102" s="7" t="str">
        <f>IF(Notes!CE98="","",Notes!CE98)</f>
        <v/>
      </c>
      <c r="H102" s="7" t="str">
        <f>IF(Notes!CF98="","",Notes!CF98)</f>
        <v/>
      </c>
      <c r="I102" s="7"/>
      <c r="J102" s="7"/>
      <c r="K102" s="7"/>
    </row>
    <row r="103" spans="1:11" x14ac:dyDescent="0.35">
      <c r="A103" s="7" t="str">
        <f>IF(Notes!BY99="","",Notes!BY99)</f>
        <v/>
      </c>
      <c r="B103" s="7" t="str">
        <f>IF(Notes!BZ99="","",Notes!BZ99)</f>
        <v/>
      </c>
      <c r="C103" s="7" t="str">
        <f>IF(Notes!CA99="","",Notes!CA99)</f>
        <v/>
      </c>
      <c r="D103" s="7" t="str">
        <f>IF(Notes!CB99="","",Notes!CB99)</f>
        <v/>
      </c>
      <c r="E103" s="7" t="str">
        <f>IF(Notes!CC99="","",Notes!CC99)</f>
        <v/>
      </c>
      <c r="F103" s="7" t="str">
        <f>IF(Notes!CD99="","",Notes!CD99)</f>
        <v/>
      </c>
      <c r="G103" s="7" t="str">
        <f>IF(Notes!CE99="","",Notes!CE99)</f>
        <v/>
      </c>
      <c r="H103" s="7" t="str">
        <f>IF(Notes!CF99="","",Notes!CF99)</f>
        <v/>
      </c>
      <c r="I103" s="7"/>
      <c r="J103" s="7"/>
      <c r="K103" s="7"/>
    </row>
    <row r="104" spans="1:11" x14ac:dyDescent="0.35">
      <c r="A104" s="7" t="str">
        <f>IF(Notes!BY100="","",Notes!BY100)</f>
        <v/>
      </c>
      <c r="B104" s="7" t="str">
        <f>IF(Notes!BZ100="","",Notes!BZ100)</f>
        <v/>
      </c>
      <c r="C104" s="7" t="str">
        <f>IF(Notes!CA100="","",Notes!CA100)</f>
        <v/>
      </c>
      <c r="D104" s="7" t="str">
        <f>IF(Notes!CB100="","",Notes!CB100)</f>
        <v/>
      </c>
      <c r="E104" s="7" t="str">
        <f>IF(Notes!CC100="","",Notes!CC100)</f>
        <v/>
      </c>
      <c r="F104" s="7" t="str">
        <f>IF(Notes!CD100="","",Notes!CD100)</f>
        <v/>
      </c>
      <c r="G104" s="7" t="str">
        <f>IF(Notes!CE100="","",Notes!CE100)</f>
        <v/>
      </c>
      <c r="H104" s="7" t="str">
        <f>IF(Notes!CF100="","",Notes!CF100)</f>
        <v/>
      </c>
      <c r="I104" s="7"/>
      <c r="J104" s="7"/>
      <c r="K104" s="7"/>
    </row>
    <row r="105" spans="1:11" x14ac:dyDescent="0.35">
      <c r="A105" s="7" t="str">
        <f>IF(Notes!BY101="","",Notes!BY101)</f>
        <v/>
      </c>
      <c r="B105" s="7" t="str">
        <f>IF(Notes!BZ101="","",Notes!BZ101)</f>
        <v/>
      </c>
      <c r="C105" s="7" t="str">
        <f>IF(Notes!CA101="","",Notes!CA101)</f>
        <v/>
      </c>
      <c r="D105" s="7" t="str">
        <f>IF(Notes!CB101="","",Notes!CB101)</f>
        <v/>
      </c>
      <c r="E105" s="7" t="str">
        <f>IF(Notes!CC101="","",Notes!CC101)</f>
        <v/>
      </c>
      <c r="F105" s="7" t="str">
        <f>IF(Notes!CD101="","",Notes!CD101)</f>
        <v/>
      </c>
      <c r="G105" s="7" t="str">
        <f>IF(Notes!CE101="","",Notes!CE101)</f>
        <v/>
      </c>
      <c r="H105" s="7" t="str">
        <f>IF(Notes!CF101="","",Notes!CF101)</f>
        <v/>
      </c>
      <c r="I105" s="7"/>
      <c r="J105" s="7"/>
      <c r="K105" s="7"/>
    </row>
    <row r="106" spans="1:11" x14ac:dyDescent="0.35">
      <c r="A106" s="7" t="str">
        <f>IF(Notes!BY102="","",Notes!BY102)</f>
        <v/>
      </c>
      <c r="B106" s="7" t="str">
        <f>IF(Notes!BZ102="","",Notes!BZ102)</f>
        <v/>
      </c>
      <c r="C106" s="7" t="str">
        <f>IF(Notes!CA102="","",Notes!CA102)</f>
        <v/>
      </c>
      <c r="D106" s="7" t="str">
        <f>IF(Notes!CB102="","",Notes!CB102)</f>
        <v/>
      </c>
      <c r="E106" s="7" t="str">
        <f>IF(Notes!CC102="","",Notes!CC102)</f>
        <v/>
      </c>
      <c r="F106" s="7" t="str">
        <f>IF(Notes!CD102="","",Notes!CD102)</f>
        <v/>
      </c>
      <c r="G106" s="7" t="str">
        <f>IF(Notes!CE102="","",Notes!CE102)</f>
        <v/>
      </c>
      <c r="H106" s="7" t="str">
        <f>IF(Notes!CF102="","",Notes!CF102)</f>
        <v/>
      </c>
      <c r="I106" s="7"/>
      <c r="J106" s="7"/>
      <c r="K106" s="7"/>
    </row>
    <row r="107" spans="1:11" x14ac:dyDescent="0.35">
      <c r="A107" s="7" t="str">
        <f>IF(Notes!BY103="","",Notes!BY103)</f>
        <v/>
      </c>
      <c r="B107" s="7" t="str">
        <f>IF(Notes!BZ103="","",Notes!BZ103)</f>
        <v/>
      </c>
      <c r="C107" s="7" t="str">
        <f>IF(Notes!CA103="","",Notes!CA103)</f>
        <v/>
      </c>
      <c r="D107" s="7" t="str">
        <f>IF(Notes!CB103="","",Notes!CB103)</f>
        <v/>
      </c>
      <c r="E107" s="7" t="str">
        <f>IF(Notes!CC103="","",Notes!CC103)</f>
        <v/>
      </c>
      <c r="F107" s="7" t="str">
        <f>IF(Notes!CD103="","",Notes!CD103)</f>
        <v/>
      </c>
      <c r="G107" s="7" t="str">
        <f>IF(Notes!CE103="","",Notes!CE103)</f>
        <v/>
      </c>
      <c r="H107" s="7" t="str">
        <f>IF(Notes!CF103="","",Notes!CF103)</f>
        <v/>
      </c>
      <c r="I107" s="7"/>
      <c r="J107" s="7"/>
      <c r="K107" s="7"/>
    </row>
    <row r="108" spans="1:11" x14ac:dyDescent="0.35">
      <c r="A108" s="7" t="str">
        <f>IF(Notes!BY104="","",Notes!BY104)</f>
        <v/>
      </c>
      <c r="B108" s="7" t="str">
        <f>IF(Notes!BZ104="","",Notes!BZ104)</f>
        <v/>
      </c>
      <c r="C108" s="7" t="str">
        <f>IF(Notes!CA104="","",Notes!CA104)</f>
        <v/>
      </c>
      <c r="D108" s="7" t="str">
        <f>IF(Notes!CB104="","",Notes!CB104)</f>
        <v/>
      </c>
      <c r="E108" s="7" t="str">
        <f>IF(Notes!CC104="","",Notes!CC104)</f>
        <v/>
      </c>
      <c r="F108" s="7" t="str">
        <f>IF(Notes!CD104="","",Notes!CD104)</f>
        <v/>
      </c>
      <c r="G108" s="7" t="str">
        <f>IF(Notes!CE104="","",Notes!CE104)</f>
        <v/>
      </c>
      <c r="H108" s="7" t="str">
        <f>IF(Notes!CF104="","",Notes!CF104)</f>
        <v/>
      </c>
      <c r="I108" s="7"/>
      <c r="J108" s="7"/>
      <c r="K108" s="7"/>
    </row>
    <row r="109" spans="1:11" x14ac:dyDescent="0.35">
      <c r="A109" s="7" t="str">
        <f>IF(Notes!BY105="","",Notes!BY105)</f>
        <v/>
      </c>
      <c r="B109" s="7" t="str">
        <f>IF(Notes!BZ105="","",Notes!BZ105)</f>
        <v/>
      </c>
      <c r="C109" s="7" t="str">
        <f>IF(Notes!CA105="","",Notes!CA105)</f>
        <v/>
      </c>
      <c r="D109" s="7" t="str">
        <f>IF(Notes!CB105="","",Notes!CB105)</f>
        <v/>
      </c>
      <c r="E109" s="7" t="str">
        <f>IF(Notes!CC105="","",Notes!CC105)</f>
        <v/>
      </c>
      <c r="F109" s="7" t="str">
        <f>IF(Notes!CD105="","",Notes!CD105)</f>
        <v/>
      </c>
      <c r="G109" s="7" t="str">
        <f>IF(Notes!CE105="","",Notes!CE105)</f>
        <v/>
      </c>
      <c r="H109" s="7" t="str">
        <f>IF(Notes!CF105="","",Notes!CF105)</f>
        <v/>
      </c>
      <c r="I109" s="7"/>
      <c r="J109" s="7"/>
      <c r="K109" s="7"/>
    </row>
    <row r="110" spans="1:11" x14ac:dyDescent="0.35">
      <c r="A110" s="7" t="str">
        <f>IF(Notes!BY106="","",Notes!BY106)</f>
        <v/>
      </c>
      <c r="B110" s="7" t="str">
        <f>IF(Notes!BZ106="","",Notes!BZ106)</f>
        <v/>
      </c>
      <c r="C110" s="7" t="str">
        <f>IF(Notes!CA106="","",Notes!CA106)</f>
        <v/>
      </c>
      <c r="D110" s="7" t="str">
        <f>IF(Notes!CB106="","",Notes!CB106)</f>
        <v/>
      </c>
      <c r="E110" s="7" t="str">
        <f>IF(Notes!CC106="","",Notes!CC106)</f>
        <v/>
      </c>
      <c r="F110" s="7" t="str">
        <f>IF(Notes!CD106="","",Notes!CD106)</f>
        <v/>
      </c>
      <c r="G110" s="7" t="str">
        <f>IF(Notes!CE106="","",Notes!CE106)</f>
        <v/>
      </c>
      <c r="H110" s="7" t="str">
        <f>IF(Notes!CF106="","",Notes!CF106)</f>
        <v/>
      </c>
      <c r="I110" s="7"/>
      <c r="J110" s="7"/>
      <c r="K110" s="7"/>
    </row>
    <row r="111" spans="1:11" x14ac:dyDescent="0.35">
      <c r="A111" s="7" t="str">
        <f>IF(Notes!BY107="","",Notes!BY107)</f>
        <v/>
      </c>
      <c r="B111" s="7" t="str">
        <f>IF(Notes!BZ107="","",Notes!BZ107)</f>
        <v/>
      </c>
      <c r="C111" s="7" t="str">
        <f>IF(Notes!CA107="","",Notes!CA107)</f>
        <v/>
      </c>
      <c r="D111" s="7" t="str">
        <f>IF(Notes!CB107="","",Notes!CB107)</f>
        <v/>
      </c>
      <c r="E111" s="7" t="str">
        <f>IF(Notes!CC107="","",Notes!CC107)</f>
        <v/>
      </c>
      <c r="F111" s="7" t="str">
        <f>IF(Notes!CD107="","",Notes!CD107)</f>
        <v/>
      </c>
      <c r="G111" s="7" t="str">
        <f>IF(Notes!CE107="","",Notes!CE107)</f>
        <v/>
      </c>
      <c r="H111" s="7" t="str">
        <f>IF(Notes!CF107="","",Notes!CF107)</f>
        <v/>
      </c>
      <c r="I111" s="7"/>
      <c r="J111" s="7"/>
      <c r="K111" s="7"/>
    </row>
    <row r="112" spans="1:11" x14ac:dyDescent="0.35">
      <c r="A112" s="7" t="str">
        <f>IF(Notes!BY108="","",Notes!BY108)</f>
        <v/>
      </c>
      <c r="B112" s="7" t="str">
        <f>IF(Notes!BZ108="","",Notes!BZ108)</f>
        <v/>
      </c>
      <c r="C112" s="7" t="str">
        <f>IF(Notes!CA108="","",Notes!CA108)</f>
        <v/>
      </c>
      <c r="D112" s="7" t="str">
        <f>IF(Notes!CB108="","",Notes!CB108)</f>
        <v/>
      </c>
      <c r="E112" s="7" t="str">
        <f>IF(Notes!CC108="","",Notes!CC108)</f>
        <v/>
      </c>
      <c r="F112" s="7" t="str">
        <f>IF(Notes!CD108="","",Notes!CD108)</f>
        <v/>
      </c>
      <c r="G112" s="7" t="str">
        <f>IF(Notes!CE108="","",Notes!CE108)</f>
        <v/>
      </c>
      <c r="H112" s="7" t="str">
        <f>IF(Notes!CF108="","",Notes!CF108)</f>
        <v/>
      </c>
      <c r="I112" s="7"/>
      <c r="J112" s="7"/>
      <c r="K112" s="7"/>
    </row>
    <row r="113" spans="1:11" x14ac:dyDescent="0.35">
      <c r="A113" s="7" t="str">
        <f>IF(Notes!BY109="","",Notes!BY109)</f>
        <v/>
      </c>
      <c r="B113" s="7" t="str">
        <f>IF(Notes!BZ109="","",Notes!BZ109)</f>
        <v/>
      </c>
      <c r="C113" s="7" t="str">
        <f>IF(Notes!CA109="","",Notes!CA109)</f>
        <v/>
      </c>
      <c r="D113" s="7" t="str">
        <f>IF(Notes!CB109="","",Notes!CB109)</f>
        <v/>
      </c>
      <c r="E113" s="7" t="str">
        <f>IF(Notes!CC109="","",Notes!CC109)</f>
        <v/>
      </c>
      <c r="F113" s="7" t="str">
        <f>IF(Notes!CD109="","",Notes!CD109)</f>
        <v/>
      </c>
      <c r="G113" s="7" t="str">
        <f>IF(Notes!CE109="","",Notes!CE109)</f>
        <v/>
      </c>
      <c r="H113" s="7" t="str">
        <f>IF(Notes!CF109="","",Notes!CF109)</f>
        <v/>
      </c>
      <c r="I113" s="7"/>
      <c r="J113" s="7"/>
      <c r="K113" s="7"/>
    </row>
    <row r="114" spans="1:11" x14ac:dyDescent="0.35">
      <c r="A114" s="7" t="str">
        <f>IF(Notes!BY110="","",Notes!BY110)</f>
        <v/>
      </c>
      <c r="B114" s="7" t="str">
        <f>IF(Notes!BZ110="","",Notes!BZ110)</f>
        <v/>
      </c>
      <c r="C114" s="7" t="str">
        <f>IF(Notes!CA110="","",Notes!CA110)</f>
        <v/>
      </c>
      <c r="D114" s="7" t="str">
        <f>IF(Notes!CB110="","",Notes!CB110)</f>
        <v/>
      </c>
      <c r="E114" s="7" t="str">
        <f>IF(Notes!CC110="","",Notes!CC110)</f>
        <v/>
      </c>
      <c r="F114" s="7" t="str">
        <f>IF(Notes!CD110="","",Notes!CD110)</f>
        <v/>
      </c>
      <c r="G114" s="7" t="str">
        <f>IF(Notes!CE110="","",Notes!CE110)</f>
        <v/>
      </c>
      <c r="H114" s="7" t="str">
        <f>IF(Notes!CF110="","",Notes!CF110)</f>
        <v/>
      </c>
      <c r="I114" s="7"/>
      <c r="J114" s="7"/>
      <c r="K114" s="7"/>
    </row>
    <row r="115" spans="1:11" x14ac:dyDescent="0.35">
      <c r="A115" s="7" t="str">
        <f>IF(Notes!BY111="","",Notes!BY111)</f>
        <v/>
      </c>
      <c r="B115" s="7" t="str">
        <f>IF(Notes!BZ111="","",Notes!BZ111)</f>
        <v/>
      </c>
      <c r="C115" s="7" t="str">
        <f>IF(Notes!CA111="","",Notes!CA111)</f>
        <v/>
      </c>
      <c r="D115" s="7" t="str">
        <f>IF(Notes!CB111="","",Notes!CB111)</f>
        <v/>
      </c>
      <c r="E115" s="7" t="str">
        <f>IF(Notes!CC111="","",Notes!CC111)</f>
        <v/>
      </c>
      <c r="F115" s="7" t="str">
        <f>IF(Notes!CD111="","",Notes!CD111)</f>
        <v/>
      </c>
      <c r="G115" s="7" t="str">
        <f>IF(Notes!CE111="","",Notes!CE111)</f>
        <v/>
      </c>
      <c r="H115" s="7" t="str">
        <f>IF(Notes!CF111="","",Notes!CF111)</f>
        <v/>
      </c>
      <c r="I115" s="7"/>
      <c r="J115" s="7"/>
      <c r="K115" s="7"/>
    </row>
    <row r="116" spans="1:11" x14ac:dyDescent="0.35">
      <c r="A116" s="7" t="str">
        <f>IF(Notes!BY112="","",Notes!BY112)</f>
        <v/>
      </c>
      <c r="B116" s="7" t="str">
        <f>IF(Notes!BZ112="","",Notes!BZ112)</f>
        <v/>
      </c>
      <c r="C116" s="7" t="str">
        <f>IF(Notes!CA112="","",Notes!CA112)</f>
        <v/>
      </c>
      <c r="D116" s="7" t="str">
        <f>IF(Notes!CB112="","",Notes!CB112)</f>
        <v/>
      </c>
      <c r="E116" s="7" t="str">
        <f>IF(Notes!CC112="","",Notes!CC112)</f>
        <v/>
      </c>
      <c r="F116" s="7" t="str">
        <f>IF(Notes!CD112="","",Notes!CD112)</f>
        <v/>
      </c>
      <c r="G116" s="7" t="str">
        <f>IF(Notes!CE112="","",Notes!CE112)</f>
        <v/>
      </c>
      <c r="H116" s="7" t="str">
        <f>IF(Notes!CF112="","",Notes!CF112)</f>
        <v/>
      </c>
      <c r="I116" s="7"/>
      <c r="J116" s="7"/>
      <c r="K116" s="7"/>
    </row>
    <row r="117" spans="1:11" x14ac:dyDescent="0.35">
      <c r="A117" s="7" t="str">
        <f>IF(Notes!BY113="","",Notes!BY113)</f>
        <v/>
      </c>
      <c r="B117" s="7" t="str">
        <f>IF(Notes!BZ113="","",Notes!BZ113)</f>
        <v/>
      </c>
      <c r="C117" s="7" t="str">
        <f>IF(Notes!CA113="","",Notes!CA113)</f>
        <v/>
      </c>
      <c r="D117" s="7" t="str">
        <f>IF(Notes!CB113="","",Notes!CB113)</f>
        <v/>
      </c>
      <c r="E117" s="7" t="str">
        <f>IF(Notes!CC113="","",Notes!CC113)</f>
        <v/>
      </c>
      <c r="F117" s="7" t="str">
        <f>IF(Notes!CD113="","",Notes!CD113)</f>
        <v/>
      </c>
      <c r="G117" s="7" t="str">
        <f>IF(Notes!CE113="","",Notes!CE113)</f>
        <v/>
      </c>
      <c r="H117" s="7" t="str">
        <f>IF(Notes!CF113="","",Notes!CF113)</f>
        <v/>
      </c>
      <c r="I117" s="7"/>
      <c r="J117" s="7"/>
      <c r="K117" s="7"/>
    </row>
    <row r="118" spans="1:11" x14ac:dyDescent="0.35">
      <c r="A118" s="7" t="str">
        <f>IF(Notes!BY114="","",Notes!BY114)</f>
        <v/>
      </c>
      <c r="B118" s="7" t="str">
        <f>IF(Notes!BZ114="","",Notes!BZ114)</f>
        <v/>
      </c>
      <c r="C118" s="7" t="str">
        <f>IF(Notes!CA114="","",Notes!CA114)</f>
        <v/>
      </c>
      <c r="D118" s="7" t="str">
        <f>IF(Notes!CB114="","",Notes!CB114)</f>
        <v/>
      </c>
      <c r="E118" s="7" t="str">
        <f>IF(Notes!CC114="","",Notes!CC114)</f>
        <v/>
      </c>
      <c r="F118" s="7" t="str">
        <f>IF(Notes!CD114="","",Notes!CD114)</f>
        <v/>
      </c>
      <c r="G118" s="7" t="str">
        <f>IF(Notes!CE114="","",Notes!CE114)</f>
        <v/>
      </c>
      <c r="H118" s="7" t="str">
        <f>IF(Notes!CF114="","",Notes!CF114)</f>
        <v/>
      </c>
      <c r="I118" s="7"/>
      <c r="J118" s="7"/>
      <c r="K118" s="7"/>
    </row>
    <row r="119" spans="1:11" x14ac:dyDescent="0.35">
      <c r="A119" s="7" t="str">
        <f>IF(Notes!BY115="","",Notes!BY115)</f>
        <v/>
      </c>
      <c r="B119" s="7" t="str">
        <f>IF(Notes!BZ115="","",Notes!BZ115)</f>
        <v/>
      </c>
      <c r="C119" s="7" t="str">
        <f>IF(Notes!CA115="","",Notes!CA115)</f>
        <v/>
      </c>
      <c r="D119" s="7" t="str">
        <f>IF(Notes!CB115="","",Notes!CB115)</f>
        <v/>
      </c>
      <c r="E119" s="7" t="str">
        <f>IF(Notes!CC115="","",Notes!CC115)</f>
        <v/>
      </c>
      <c r="F119" s="7" t="str">
        <f>IF(Notes!CD115="","",Notes!CD115)</f>
        <v/>
      </c>
      <c r="G119" s="7" t="str">
        <f>IF(Notes!CE115="","",Notes!CE115)</f>
        <v/>
      </c>
      <c r="H119" s="7" t="str">
        <f>IF(Notes!CF115="","",Notes!CF115)</f>
        <v/>
      </c>
      <c r="I119" s="7"/>
      <c r="J119" s="7"/>
      <c r="K119" s="7"/>
    </row>
    <row r="120" spans="1:11" x14ac:dyDescent="0.35">
      <c r="A120" s="7" t="str">
        <f>IF(Notes!BY116="","",Notes!BY116)</f>
        <v/>
      </c>
      <c r="B120" s="7" t="str">
        <f>IF(Notes!BZ116="","",Notes!BZ116)</f>
        <v/>
      </c>
      <c r="C120" s="7" t="str">
        <f>IF(Notes!CA116="","",Notes!CA116)</f>
        <v/>
      </c>
      <c r="D120" s="7" t="str">
        <f>IF(Notes!CB116="","",Notes!CB116)</f>
        <v/>
      </c>
      <c r="E120" s="7" t="str">
        <f>IF(Notes!CC116="","",Notes!CC116)</f>
        <v/>
      </c>
      <c r="F120" s="7" t="str">
        <f>IF(Notes!CD116="","",Notes!CD116)</f>
        <v/>
      </c>
      <c r="G120" s="7" t="str">
        <f>IF(Notes!CE116="","",Notes!CE116)</f>
        <v/>
      </c>
      <c r="H120" s="7" t="str">
        <f>IF(Notes!CF116="","",Notes!CF116)</f>
        <v/>
      </c>
      <c r="I120" s="7"/>
      <c r="J120" s="7"/>
      <c r="K120" s="7"/>
    </row>
    <row r="121" spans="1:11" x14ac:dyDescent="0.35">
      <c r="A121" s="7" t="str">
        <f>IF(Notes!BY117="","",Notes!BY117)</f>
        <v/>
      </c>
      <c r="B121" s="7" t="str">
        <f>IF(Notes!BZ117="","",Notes!BZ117)</f>
        <v/>
      </c>
      <c r="C121" s="7" t="str">
        <f>IF(Notes!CA117="","",Notes!CA117)</f>
        <v/>
      </c>
      <c r="D121" s="7" t="str">
        <f>IF(Notes!CB117="","",Notes!CB117)</f>
        <v/>
      </c>
      <c r="E121" s="7" t="str">
        <f>IF(Notes!CC117="","",Notes!CC117)</f>
        <v/>
      </c>
      <c r="F121" s="7" t="str">
        <f>IF(Notes!CD117="","",Notes!CD117)</f>
        <v/>
      </c>
      <c r="G121" s="7" t="str">
        <f>IF(Notes!CE117="","",Notes!CE117)</f>
        <v/>
      </c>
      <c r="H121" s="7" t="str">
        <f>IF(Notes!CF117="","",Notes!CF117)</f>
        <v/>
      </c>
      <c r="I121" s="7"/>
      <c r="J121" s="7"/>
      <c r="K121" s="7"/>
    </row>
    <row r="122" spans="1:11" x14ac:dyDescent="0.35">
      <c r="A122" s="7" t="str">
        <f>IF(Notes!BY118="","",Notes!BY118)</f>
        <v/>
      </c>
      <c r="B122" s="7" t="str">
        <f>IF(Notes!BZ118="","",Notes!BZ118)</f>
        <v/>
      </c>
      <c r="C122" s="7" t="str">
        <f>IF(Notes!CA118="","",Notes!CA118)</f>
        <v/>
      </c>
      <c r="D122" s="7" t="str">
        <f>IF(Notes!CB118="","",Notes!CB118)</f>
        <v/>
      </c>
      <c r="E122" s="7" t="str">
        <f>IF(Notes!CC118="","",Notes!CC118)</f>
        <v/>
      </c>
      <c r="F122" s="7" t="str">
        <f>IF(Notes!CD118="","",Notes!CD118)</f>
        <v/>
      </c>
      <c r="G122" s="7" t="str">
        <f>IF(Notes!CE118="","",Notes!CE118)</f>
        <v/>
      </c>
      <c r="H122" s="7" t="str">
        <f>IF(Notes!CF118="","",Notes!CF118)</f>
        <v/>
      </c>
      <c r="I122" s="7"/>
      <c r="J122" s="7"/>
      <c r="K122" s="7"/>
    </row>
    <row r="123" spans="1:11" x14ac:dyDescent="0.35">
      <c r="A123" s="7" t="str">
        <f>IF(Notes!BY119="","",Notes!BY119)</f>
        <v/>
      </c>
      <c r="B123" s="7" t="str">
        <f>IF(Notes!BZ119="","",Notes!BZ119)</f>
        <v/>
      </c>
      <c r="C123" s="7" t="str">
        <f>IF(Notes!CA119="","",Notes!CA119)</f>
        <v/>
      </c>
      <c r="D123" s="7" t="str">
        <f>IF(Notes!CB119="","",Notes!CB119)</f>
        <v/>
      </c>
      <c r="E123" s="7" t="str">
        <f>IF(Notes!CC119="","",Notes!CC119)</f>
        <v/>
      </c>
      <c r="F123" s="7" t="str">
        <f>IF(Notes!CD119="","",Notes!CD119)</f>
        <v/>
      </c>
      <c r="G123" s="7" t="str">
        <f>IF(Notes!CE119="","",Notes!CE119)</f>
        <v/>
      </c>
      <c r="H123" s="7" t="str">
        <f>IF(Notes!CF119="","",Notes!CF119)</f>
        <v/>
      </c>
      <c r="I123" s="7"/>
      <c r="J123" s="7"/>
      <c r="K123" s="7"/>
    </row>
    <row r="124" spans="1:11" x14ac:dyDescent="0.35">
      <c r="A124" s="7" t="str">
        <f>IF(Notes!BY120="","",Notes!BY120)</f>
        <v/>
      </c>
      <c r="B124" s="7" t="str">
        <f>IF(Notes!BZ120="","",Notes!BZ120)</f>
        <v/>
      </c>
      <c r="C124" s="7" t="str">
        <f>IF(Notes!CA120="","",Notes!CA120)</f>
        <v/>
      </c>
      <c r="D124" s="7" t="str">
        <f>IF(Notes!CB120="","",Notes!CB120)</f>
        <v/>
      </c>
      <c r="E124" s="7" t="str">
        <f>IF(Notes!CC120="","",Notes!CC120)</f>
        <v/>
      </c>
      <c r="F124" s="7" t="str">
        <f>IF(Notes!CD120="","",Notes!CD120)</f>
        <v/>
      </c>
      <c r="G124" s="7" t="str">
        <f>IF(Notes!CE120="","",Notes!CE120)</f>
        <v/>
      </c>
      <c r="H124" s="7" t="str">
        <f>IF(Notes!CF120="","",Notes!CF120)</f>
        <v/>
      </c>
      <c r="I124" s="7"/>
      <c r="J124" s="7"/>
      <c r="K124" s="7"/>
    </row>
    <row r="125" spans="1:11" x14ac:dyDescent="0.35">
      <c r="A125" s="7" t="str">
        <f>IF(Notes!BY121="","",Notes!BY121)</f>
        <v/>
      </c>
      <c r="B125" s="7" t="str">
        <f>IF(Notes!BZ121="","",Notes!BZ121)</f>
        <v/>
      </c>
      <c r="C125" s="7" t="str">
        <f>IF(Notes!CA121="","",Notes!CA121)</f>
        <v/>
      </c>
      <c r="D125" s="7" t="str">
        <f>IF(Notes!CB121="","",Notes!CB121)</f>
        <v/>
      </c>
      <c r="E125" s="7" t="str">
        <f>IF(Notes!CC121="","",Notes!CC121)</f>
        <v/>
      </c>
      <c r="F125" s="7" t="str">
        <f>IF(Notes!CD121="","",Notes!CD121)</f>
        <v/>
      </c>
      <c r="G125" s="7" t="str">
        <f>IF(Notes!CE121="","",Notes!CE121)</f>
        <v/>
      </c>
      <c r="H125" s="7" t="str">
        <f>IF(Notes!CF121="","",Notes!CF121)</f>
        <v/>
      </c>
      <c r="I125" s="7"/>
      <c r="J125" s="7"/>
      <c r="K125" s="7"/>
    </row>
    <row r="126" spans="1:11" x14ac:dyDescent="0.35">
      <c r="A126" s="7" t="str">
        <f>IF(Notes!BY122="","",Notes!BY122)</f>
        <v/>
      </c>
      <c r="B126" s="7" t="str">
        <f>IF(Notes!BZ122="","",Notes!BZ122)</f>
        <v/>
      </c>
      <c r="C126" s="7" t="str">
        <f>IF(Notes!CA122="","",Notes!CA122)</f>
        <v/>
      </c>
      <c r="D126" s="7" t="str">
        <f>IF(Notes!CB122="","",Notes!CB122)</f>
        <v/>
      </c>
      <c r="E126" s="7" t="str">
        <f>IF(Notes!CC122="","",Notes!CC122)</f>
        <v/>
      </c>
      <c r="F126" s="7" t="str">
        <f>IF(Notes!CD122="","",Notes!CD122)</f>
        <v/>
      </c>
      <c r="G126" s="7" t="str">
        <f>IF(Notes!CE122="","",Notes!CE122)</f>
        <v/>
      </c>
      <c r="H126" s="7" t="str">
        <f>IF(Notes!CF122="","",Notes!CF122)</f>
        <v/>
      </c>
      <c r="I126" s="7"/>
      <c r="J126" s="7"/>
      <c r="K126" s="7"/>
    </row>
    <row r="127" spans="1:11" x14ac:dyDescent="0.35">
      <c r="A127" s="7" t="str">
        <f>IF(Notes!BY123="","",Notes!BY123)</f>
        <v/>
      </c>
      <c r="B127" s="7" t="str">
        <f>IF(Notes!BZ123="","",Notes!BZ123)</f>
        <v/>
      </c>
      <c r="C127" s="7" t="str">
        <f>IF(Notes!CA123="","",Notes!CA123)</f>
        <v/>
      </c>
      <c r="D127" s="7" t="str">
        <f>IF(Notes!CB123="","",Notes!CB123)</f>
        <v/>
      </c>
      <c r="E127" s="7" t="str">
        <f>IF(Notes!CC123="","",Notes!CC123)</f>
        <v/>
      </c>
      <c r="F127" s="7" t="str">
        <f>IF(Notes!CD123="","",Notes!CD123)</f>
        <v/>
      </c>
      <c r="G127" s="7" t="str">
        <f>IF(Notes!CE123="","",Notes!CE123)</f>
        <v/>
      </c>
      <c r="H127" s="7" t="str">
        <f>IF(Notes!CF123="","",Notes!CF123)</f>
        <v/>
      </c>
      <c r="I127" s="7"/>
      <c r="J127" s="7"/>
      <c r="K127" s="7"/>
    </row>
    <row r="128" spans="1:11" x14ac:dyDescent="0.35">
      <c r="A128" s="7" t="str">
        <f>IF(Notes!BY124="","",Notes!BY124)</f>
        <v/>
      </c>
      <c r="B128" s="7" t="str">
        <f>IF(Notes!BZ124="","",Notes!BZ124)</f>
        <v/>
      </c>
      <c r="C128" s="7" t="str">
        <f>IF(Notes!CA124="","",Notes!CA124)</f>
        <v/>
      </c>
      <c r="D128" s="7" t="str">
        <f>IF(Notes!CB124="","",Notes!CB124)</f>
        <v/>
      </c>
      <c r="E128" s="7" t="str">
        <f>IF(Notes!CC124="","",Notes!CC124)</f>
        <v/>
      </c>
      <c r="F128" s="7" t="str">
        <f>IF(Notes!CD124="","",Notes!CD124)</f>
        <v/>
      </c>
      <c r="G128" s="7" t="str">
        <f>IF(Notes!CE124="","",Notes!CE124)</f>
        <v/>
      </c>
      <c r="H128" s="7" t="str">
        <f>IF(Notes!CF124="","",Notes!CF124)</f>
        <v/>
      </c>
      <c r="I128" s="7"/>
      <c r="J128" s="7"/>
      <c r="K128" s="7"/>
    </row>
    <row r="129" spans="1:11" x14ac:dyDescent="0.35">
      <c r="A129" s="7" t="str">
        <f>IF(Notes!BY125="","",Notes!BY125)</f>
        <v/>
      </c>
      <c r="B129" s="7" t="str">
        <f>IF(Notes!BZ125="","",Notes!BZ125)</f>
        <v/>
      </c>
      <c r="C129" s="7" t="str">
        <f>IF(Notes!CA125="","",Notes!CA125)</f>
        <v/>
      </c>
      <c r="D129" s="7" t="str">
        <f>IF(Notes!CB125="","",Notes!CB125)</f>
        <v/>
      </c>
      <c r="E129" s="7" t="str">
        <f>IF(Notes!CC125="","",Notes!CC125)</f>
        <v/>
      </c>
      <c r="F129" s="7" t="str">
        <f>IF(Notes!CD125="","",Notes!CD125)</f>
        <v/>
      </c>
      <c r="G129" s="7" t="str">
        <f>IF(Notes!CE125="","",Notes!CE125)</f>
        <v/>
      </c>
      <c r="H129" s="7" t="str">
        <f>IF(Notes!CF125="","",Notes!CF125)</f>
        <v/>
      </c>
      <c r="I129" s="7"/>
      <c r="J129" s="7"/>
      <c r="K129" s="7"/>
    </row>
    <row r="130" spans="1:11" x14ac:dyDescent="0.35">
      <c r="A130" s="7" t="str">
        <f>IF(Notes!BY126="","",Notes!BY126)</f>
        <v/>
      </c>
      <c r="B130" s="7" t="str">
        <f>IF(Notes!BZ126="","",Notes!BZ126)</f>
        <v/>
      </c>
      <c r="C130" s="7" t="str">
        <f>IF(Notes!CA126="","",Notes!CA126)</f>
        <v/>
      </c>
      <c r="D130" s="7" t="str">
        <f>IF(Notes!CB126="","",Notes!CB126)</f>
        <v/>
      </c>
      <c r="E130" s="7" t="str">
        <f>IF(Notes!CC126="","",Notes!CC126)</f>
        <v/>
      </c>
      <c r="F130" s="7" t="str">
        <f>IF(Notes!CD126="","",Notes!CD126)</f>
        <v/>
      </c>
      <c r="G130" s="7" t="str">
        <f>IF(Notes!CE126="","",Notes!CE126)</f>
        <v/>
      </c>
      <c r="H130" s="7" t="str">
        <f>IF(Notes!CF126="","",Notes!CF126)</f>
        <v/>
      </c>
      <c r="I130" s="7"/>
      <c r="J130" s="7"/>
      <c r="K130" s="7"/>
    </row>
    <row r="131" spans="1:11" x14ac:dyDescent="0.35">
      <c r="A131" s="7" t="str">
        <f>IF(Notes!BY127="","",Notes!BY127)</f>
        <v/>
      </c>
      <c r="B131" s="7" t="str">
        <f>IF(Notes!BZ127="","",Notes!BZ127)</f>
        <v/>
      </c>
      <c r="C131" s="7" t="str">
        <f>IF(Notes!CA127="","",Notes!CA127)</f>
        <v/>
      </c>
      <c r="D131" s="7" t="str">
        <f>IF(Notes!CB127="","",Notes!CB127)</f>
        <v/>
      </c>
      <c r="E131" s="7" t="str">
        <f>IF(Notes!CC127="","",Notes!CC127)</f>
        <v/>
      </c>
      <c r="F131" s="7" t="str">
        <f>IF(Notes!CD127="","",Notes!CD127)</f>
        <v/>
      </c>
      <c r="G131" s="7" t="str">
        <f>IF(Notes!CE127="","",Notes!CE127)</f>
        <v/>
      </c>
      <c r="H131" s="7" t="str">
        <f>IF(Notes!CF127="","",Notes!CF127)</f>
        <v/>
      </c>
      <c r="I131" s="7"/>
      <c r="J131" s="7"/>
      <c r="K131" s="7"/>
    </row>
    <row r="132" spans="1:11" x14ac:dyDescent="0.35">
      <c r="A132" s="7" t="str">
        <f>IF(Notes!BY128="","",Notes!BY128)</f>
        <v/>
      </c>
      <c r="B132" s="7" t="str">
        <f>IF(Notes!BZ128="","",Notes!BZ128)</f>
        <v/>
      </c>
      <c r="C132" s="7" t="str">
        <f>IF(Notes!CA128="","",Notes!CA128)</f>
        <v/>
      </c>
      <c r="D132" s="7" t="str">
        <f>IF(Notes!CB128="","",Notes!CB128)</f>
        <v/>
      </c>
      <c r="E132" s="7" t="str">
        <f>IF(Notes!CC128="","",Notes!CC128)</f>
        <v/>
      </c>
      <c r="F132" s="7" t="str">
        <f>IF(Notes!CD128="","",Notes!CD128)</f>
        <v/>
      </c>
      <c r="G132" s="7" t="str">
        <f>IF(Notes!CE128="","",Notes!CE128)</f>
        <v/>
      </c>
      <c r="H132" s="7" t="str">
        <f>IF(Notes!CF128="","",Notes!CF128)</f>
        <v/>
      </c>
      <c r="I132" s="7"/>
      <c r="J132" s="7"/>
      <c r="K132" s="7"/>
    </row>
    <row r="133" spans="1:11" x14ac:dyDescent="0.35">
      <c r="A133" s="7" t="str">
        <f>IF(Notes!BY129="","",Notes!BY129)</f>
        <v/>
      </c>
      <c r="B133" s="7" t="str">
        <f>IF(Notes!BZ129="","",Notes!BZ129)</f>
        <v/>
      </c>
      <c r="C133" s="7" t="str">
        <f>IF(Notes!CA129="","",Notes!CA129)</f>
        <v/>
      </c>
      <c r="D133" s="7" t="str">
        <f>IF(Notes!CB129="","",Notes!CB129)</f>
        <v/>
      </c>
      <c r="E133" s="7" t="str">
        <f>IF(Notes!CC129="","",Notes!CC129)</f>
        <v/>
      </c>
      <c r="F133" s="7" t="str">
        <f>IF(Notes!CD129="","",Notes!CD129)</f>
        <v/>
      </c>
      <c r="G133" s="7" t="str">
        <f>IF(Notes!CE129="","",Notes!CE129)</f>
        <v/>
      </c>
      <c r="H133" s="7" t="str">
        <f>IF(Notes!CF129="","",Notes!CF129)</f>
        <v/>
      </c>
      <c r="I133" s="7"/>
      <c r="J133" s="7"/>
      <c r="K133" s="7"/>
    </row>
    <row r="134" spans="1:11" x14ac:dyDescent="0.35">
      <c r="A134" s="7" t="str">
        <f>IF(Notes!BY130="","",Notes!BY130)</f>
        <v/>
      </c>
      <c r="B134" s="7" t="str">
        <f>IF(Notes!BZ130="","",Notes!BZ130)</f>
        <v/>
      </c>
      <c r="C134" s="7" t="str">
        <f>IF(Notes!CA130="","",Notes!CA130)</f>
        <v/>
      </c>
      <c r="D134" s="7" t="str">
        <f>IF(Notes!CB130="","",Notes!CB130)</f>
        <v/>
      </c>
      <c r="E134" s="7" t="str">
        <f>IF(Notes!CC130="","",Notes!CC130)</f>
        <v/>
      </c>
      <c r="F134" s="7" t="str">
        <f>IF(Notes!CD130="","",Notes!CD130)</f>
        <v/>
      </c>
      <c r="G134" s="7" t="str">
        <f>IF(Notes!CE130="","",Notes!CE130)</f>
        <v/>
      </c>
      <c r="H134" s="7" t="str">
        <f>IF(Notes!CF130="","",Notes!CF130)</f>
        <v/>
      </c>
      <c r="I134" s="7"/>
      <c r="J134" s="7"/>
      <c r="K134" s="7"/>
    </row>
    <row r="135" spans="1:11" x14ac:dyDescent="0.35">
      <c r="A135" s="7" t="str">
        <f>IF(Notes!BY131="","",Notes!BY131)</f>
        <v/>
      </c>
      <c r="B135" s="7" t="str">
        <f>IF(Notes!BZ131="","",Notes!BZ131)</f>
        <v/>
      </c>
      <c r="C135" s="7" t="str">
        <f>IF(Notes!CA131="","",Notes!CA131)</f>
        <v/>
      </c>
      <c r="D135" s="7" t="str">
        <f>IF(Notes!CB131="","",Notes!CB131)</f>
        <v/>
      </c>
      <c r="E135" s="7" t="str">
        <f>IF(Notes!CC131="","",Notes!CC131)</f>
        <v/>
      </c>
      <c r="F135" s="7" t="str">
        <f>IF(Notes!CD131="","",Notes!CD131)</f>
        <v/>
      </c>
      <c r="G135" s="7" t="str">
        <f>IF(Notes!CE131="","",Notes!CE131)</f>
        <v/>
      </c>
      <c r="H135" s="7" t="str">
        <f>IF(Notes!CF131="","",Notes!CF131)</f>
        <v/>
      </c>
      <c r="I135" s="7"/>
      <c r="J135" s="7"/>
      <c r="K135" s="7"/>
    </row>
    <row r="136" spans="1:11" x14ac:dyDescent="0.35">
      <c r="A136" s="7" t="str">
        <f>IF(Notes!BY132="","",Notes!BY132)</f>
        <v/>
      </c>
      <c r="B136" s="7" t="str">
        <f>IF(Notes!BZ132="","",Notes!BZ132)</f>
        <v/>
      </c>
      <c r="C136" s="7" t="str">
        <f>IF(Notes!CA132="","",Notes!CA132)</f>
        <v/>
      </c>
      <c r="D136" s="7" t="str">
        <f>IF(Notes!CB132="","",Notes!CB132)</f>
        <v/>
      </c>
      <c r="E136" s="7" t="str">
        <f>IF(Notes!CC132="","",Notes!CC132)</f>
        <v/>
      </c>
      <c r="F136" s="7" t="str">
        <f>IF(Notes!CD132="","",Notes!CD132)</f>
        <v/>
      </c>
      <c r="G136" s="7" t="str">
        <f>IF(Notes!CE132="","",Notes!CE132)</f>
        <v/>
      </c>
      <c r="H136" s="7" t="str">
        <f>IF(Notes!CF132="","",Notes!CF132)</f>
        <v/>
      </c>
      <c r="I136" s="7"/>
      <c r="J136" s="7"/>
      <c r="K136" s="7"/>
    </row>
    <row r="137" spans="1:11" x14ac:dyDescent="0.35">
      <c r="A137" s="7" t="str">
        <f>IF(Notes!BY133="","",Notes!BY133)</f>
        <v/>
      </c>
      <c r="B137" s="7" t="str">
        <f>IF(Notes!BZ133="","",Notes!BZ133)</f>
        <v/>
      </c>
      <c r="C137" s="7" t="str">
        <f>IF(Notes!CA133="","",Notes!CA133)</f>
        <v/>
      </c>
      <c r="D137" s="7" t="str">
        <f>IF(Notes!CB133="","",Notes!CB133)</f>
        <v/>
      </c>
      <c r="E137" s="7" t="str">
        <f>IF(Notes!CC133="","",Notes!CC133)</f>
        <v/>
      </c>
      <c r="F137" s="7" t="str">
        <f>IF(Notes!CD133="","",Notes!CD133)</f>
        <v/>
      </c>
      <c r="G137" s="7" t="str">
        <f>IF(Notes!CE133="","",Notes!CE133)</f>
        <v/>
      </c>
      <c r="H137" s="7" t="str">
        <f>IF(Notes!CF133="","",Notes!CF133)</f>
        <v/>
      </c>
      <c r="I137" s="7"/>
      <c r="J137" s="7"/>
      <c r="K137" s="7"/>
    </row>
    <row r="138" spans="1:11" x14ac:dyDescent="0.35">
      <c r="A138" s="7" t="str">
        <f>IF(Notes!BY134="","",Notes!BY134)</f>
        <v/>
      </c>
      <c r="B138" s="7" t="str">
        <f>IF(Notes!BZ134="","",Notes!BZ134)</f>
        <v/>
      </c>
      <c r="C138" s="7" t="str">
        <f>IF(Notes!CA134="","",Notes!CA134)</f>
        <v/>
      </c>
      <c r="D138" s="7" t="str">
        <f>IF(Notes!CB134="","",Notes!CB134)</f>
        <v/>
      </c>
      <c r="E138" s="7" t="str">
        <f>IF(Notes!CC134="","",Notes!CC134)</f>
        <v/>
      </c>
      <c r="F138" s="7" t="str">
        <f>IF(Notes!CD134="","",Notes!CD134)</f>
        <v/>
      </c>
      <c r="G138" s="7" t="str">
        <f>IF(Notes!CE134="","",Notes!CE134)</f>
        <v/>
      </c>
      <c r="H138" s="7" t="str">
        <f>IF(Notes!CF134="","",Notes!CF134)</f>
        <v/>
      </c>
      <c r="I138" s="7"/>
      <c r="J138" s="7"/>
      <c r="K138" s="7"/>
    </row>
    <row r="139" spans="1:11" x14ac:dyDescent="0.35">
      <c r="A139" s="7" t="str">
        <f>IF(Notes!BY135="","",Notes!BY135)</f>
        <v/>
      </c>
      <c r="B139" s="7" t="str">
        <f>IF(Notes!BZ135="","",Notes!BZ135)</f>
        <v/>
      </c>
      <c r="C139" s="7" t="str">
        <f>IF(Notes!CA135="","",Notes!CA135)</f>
        <v/>
      </c>
      <c r="D139" s="7" t="str">
        <f>IF(Notes!CB135="","",Notes!CB135)</f>
        <v/>
      </c>
      <c r="E139" s="7" t="str">
        <f>IF(Notes!CC135="","",Notes!CC135)</f>
        <v/>
      </c>
      <c r="F139" s="7" t="str">
        <f>IF(Notes!CD135="","",Notes!CD135)</f>
        <v/>
      </c>
      <c r="G139" s="7" t="str">
        <f>IF(Notes!CE135="","",Notes!CE135)</f>
        <v/>
      </c>
      <c r="H139" s="7" t="str">
        <f>IF(Notes!CF135="","",Notes!CF135)</f>
        <v/>
      </c>
      <c r="I139" s="7"/>
      <c r="J139" s="7"/>
      <c r="K139" s="7"/>
    </row>
    <row r="140" spans="1:11" x14ac:dyDescent="0.35">
      <c r="A140" s="7" t="str">
        <f>IF(Notes!BY136="","",Notes!BY136)</f>
        <v/>
      </c>
      <c r="B140" s="7" t="str">
        <f>IF(Notes!BZ136="","",Notes!BZ136)</f>
        <v/>
      </c>
      <c r="C140" s="7" t="str">
        <f>IF(Notes!CA136="","",Notes!CA136)</f>
        <v/>
      </c>
      <c r="D140" s="7" t="str">
        <f>IF(Notes!CB136="","",Notes!CB136)</f>
        <v/>
      </c>
      <c r="E140" s="7" t="str">
        <f>IF(Notes!CC136="","",Notes!CC136)</f>
        <v/>
      </c>
      <c r="F140" s="7" t="str">
        <f>IF(Notes!CD136="","",Notes!CD136)</f>
        <v/>
      </c>
      <c r="G140" s="7" t="str">
        <f>IF(Notes!CE136="","",Notes!CE136)</f>
        <v/>
      </c>
      <c r="H140" s="7" t="str">
        <f>IF(Notes!CF136="","",Notes!CF136)</f>
        <v/>
      </c>
      <c r="I140" s="7"/>
      <c r="J140" s="7"/>
      <c r="K140" s="7"/>
    </row>
    <row r="141" spans="1:11" x14ac:dyDescent="0.35">
      <c r="A141" s="7" t="str">
        <f>IF(Notes!BY137="","",Notes!BY137)</f>
        <v/>
      </c>
      <c r="B141" s="7" t="str">
        <f>IF(Notes!BZ137="","",Notes!BZ137)</f>
        <v/>
      </c>
      <c r="C141" s="7" t="str">
        <f>IF(Notes!CA137="","",Notes!CA137)</f>
        <v/>
      </c>
      <c r="D141" s="7" t="str">
        <f>IF(Notes!CB137="","",Notes!CB137)</f>
        <v/>
      </c>
      <c r="E141" s="7" t="str">
        <f>IF(Notes!CC137="","",Notes!CC137)</f>
        <v/>
      </c>
      <c r="F141" s="7" t="str">
        <f>IF(Notes!CD137="","",Notes!CD137)</f>
        <v/>
      </c>
      <c r="G141" s="7" t="str">
        <f>IF(Notes!CE137="","",Notes!CE137)</f>
        <v/>
      </c>
      <c r="H141" s="7" t="str">
        <f>IF(Notes!CF137="","",Notes!CF137)</f>
        <v/>
      </c>
      <c r="I141" s="7"/>
      <c r="J141" s="7"/>
      <c r="K141" s="7"/>
    </row>
    <row r="142" spans="1:11" x14ac:dyDescent="0.35">
      <c r="A142" s="7" t="str">
        <f>IF(Notes!BY138="","",Notes!BY138)</f>
        <v/>
      </c>
      <c r="B142" s="7" t="str">
        <f>IF(Notes!BZ138="","",Notes!BZ138)</f>
        <v/>
      </c>
      <c r="C142" s="7" t="str">
        <f>IF(Notes!CA138="","",Notes!CA138)</f>
        <v/>
      </c>
      <c r="D142" s="7" t="str">
        <f>IF(Notes!CB138="","",Notes!CB138)</f>
        <v/>
      </c>
      <c r="E142" s="7" t="str">
        <f>IF(Notes!CC138="","",Notes!CC138)</f>
        <v/>
      </c>
      <c r="F142" s="7" t="str">
        <f>IF(Notes!CD138="","",Notes!CD138)</f>
        <v/>
      </c>
      <c r="G142" s="7" t="str">
        <f>IF(Notes!CE138="","",Notes!CE138)</f>
        <v/>
      </c>
      <c r="H142" s="7" t="str">
        <f>IF(Notes!CF138="","",Notes!CF138)</f>
        <v/>
      </c>
      <c r="I142" s="7"/>
      <c r="J142" s="7"/>
      <c r="K142" s="7"/>
    </row>
    <row r="143" spans="1:11" x14ac:dyDescent="0.35">
      <c r="A143" s="7" t="str">
        <f>IF(Notes!BY139="","",Notes!BY139)</f>
        <v/>
      </c>
      <c r="B143" s="7" t="str">
        <f>IF(Notes!BZ139="","",Notes!BZ139)</f>
        <v/>
      </c>
      <c r="C143" s="7" t="str">
        <f>IF(Notes!CA139="","",Notes!CA139)</f>
        <v/>
      </c>
      <c r="D143" s="7" t="str">
        <f>IF(Notes!CB139="","",Notes!CB139)</f>
        <v/>
      </c>
      <c r="E143" s="7" t="str">
        <f>IF(Notes!CC139="","",Notes!CC139)</f>
        <v/>
      </c>
      <c r="F143" s="7" t="str">
        <f>IF(Notes!CD139="","",Notes!CD139)</f>
        <v/>
      </c>
      <c r="G143" s="7" t="str">
        <f>IF(Notes!CE139="","",Notes!CE139)</f>
        <v/>
      </c>
      <c r="H143" s="7" t="str">
        <f>IF(Notes!CF139="","",Notes!CF139)</f>
        <v/>
      </c>
      <c r="I143" s="7"/>
      <c r="J143" s="7"/>
      <c r="K143" s="7"/>
    </row>
    <row r="144" spans="1:11" x14ac:dyDescent="0.35">
      <c r="A144" s="7" t="str">
        <f>IF(Notes!BY140="","",Notes!BY140)</f>
        <v/>
      </c>
      <c r="B144" s="7" t="str">
        <f>IF(Notes!BZ140="","",Notes!BZ140)</f>
        <v/>
      </c>
      <c r="C144" s="7" t="str">
        <f>IF(Notes!CA140="","",Notes!CA140)</f>
        <v/>
      </c>
      <c r="D144" s="7" t="str">
        <f>IF(Notes!CB140="","",Notes!CB140)</f>
        <v/>
      </c>
      <c r="E144" s="7" t="str">
        <f>IF(Notes!CC140="","",Notes!CC140)</f>
        <v/>
      </c>
      <c r="F144" s="7" t="str">
        <f>IF(Notes!CD140="","",Notes!CD140)</f>
        <v/>
      </c>
      <c r="G144" s="7" t="str">
        <f>IF(Notes!CE140="","",Notes!CE140)</f>
        <v/>
      </c>
      <c r="H144" s="7" t="str">
        <f>IF(Notes!CF140="","",Notes!CF140)</f>
        <v/>
      </c>
      <c r="I144" s="7"/>
      <c r="J144" s="7"/>
      <c r="K144" s="7"/>
    </row>
    <row r="145" spans="1:11" x14ac:dyDescent="0.35">
      <c r="A145" s="7" t="str">
        <f>IF(Notes!BY141="","",Notes!BY141)</f>
        <v/>
      </c>
      <c r="B145" s="7" t="str">
        <f>IF(Notes!BZ141="","",Notes!BZ141)</f>
        <v/>
      </c>
      <c r="C145" s="7" t="str">
        <f>IF(Notes!CA141="","",Notes!CA141)</f>
        <v/>
      </c>
      <c r="D145" s="7" t="str">
        <f>IF(Notes!CB141="","",Notes!CB141)</f>
        <v/>
      </c>
      <c r="E145" s="7" t="str">
        <f>IF(Notes!CC141="","",Notes!CC141)</f>
        <v/>
      </c>
      <c r="F145" s="7" t="str">
        <f>IF(Notes!CD141="","",Notes!CD141)</f>
        <v/>
      </c>
      <c r="G145" s="7" t="str">
        <f>IF(Notes!CE141="","",Notes!CE141)</f>
        <v/>
      </c>
      <c r="H145" s="7" t="str">
        <f>IF(Notes!CF141="","",Notes!CF141)</f>
        <v/>
      </c>
      <c r="I145" s="7"/>
      <c r="J145" s="7"/>
      <c r="K145" s="7"/>
    </row>
    <row r="146" spans="1:11" x14ac:dyDescent="0.35">
      <c r="A146" s="7" t="str">
        <f>IF(Notes!BY142="","",Notes!BY142)</f>
        <v/>
      </c>
      <c r="B146" s="7" t="str">
        <f>IF(Notes!BZ142="","",Notes!BZ142)</f>
        <v/>
      </c>
      <c r="C146" s="7" t="str">
        <f>IF(Notes!CA142="","",Notes!CA142)</f>
        <v/>
      </c>
      <c r="D146" s="7" t="str">
        <f>IF(Notes!CB142="","",Notes!CB142)</f>
        <v/>
      </c>
      <c r="E146" s="7" t="str">
        <f>IF(Notes!CC142="","",Notes!CC142)</f>
        <v/>
      </c>
      <c r="F146" s="7" t="str">
        <f>IF(Notes!CD142="","",Notes!CD142)</f>
        <v/>
      </c>
      <c r="G146" s="7" t="str">
        <f>IF(Notes!CE142="","",Notes!CE142)</f>
        <v/>
      </c>
      <c r="H146" s="7" t="str">
        <f>IF(Notes!CF142="","",Notes!CF142)</f>
        <v/>
      </c>
      <c r="I146" s="7"/>
      <c r="J146" s="7"/>
      <c r="K146" s="7"/>
    </row>
    <row r="147" spans="1:11" x14ac:dyDescent="0.35">
      <c r="A147" s="7" t="str">
        <f>IF(Notes!BY143="","",Notes!BY143)</f>
        <v/>
      </c>
      <c r="B147" s="7" t="str">
        <f>IF(Notes!BZ143="","",Notes!BZ143)</f>
        <v/>
      </c>
      <c r="C147" s="7" t="str">
        <f>IF(Notes!CA143="","",Notes!CA143)</f>
        <v/>
      </c>
      <c r="D147" s="7" t="str">
        <f>IF(Notes!CB143="","",Notes!CB143)</f>
        <v/>
      </c>
      <c r="E147" s="7" t="str">
        <f>IF(Notes!CC143="","",Notes!CC143)</f>
        <v/>
      </c>
      <c r="F147" s="7" t="str">
        <f>IF(Notes!CD143="","",Notes!CD143)</f>
        <v/>
      </c>
      <c r="G147" s="7" t="str">
        <f>IF(Notes!CE143="","",Notes!CE143)</f>
        <v/>
      </c>
      <c r="H147" s="7" t="str">
        <f>IF(Notes!CF143="","",Notes!CF143)</f>
        <v/>
      </c>
      <c r="I147" s="7"/>
      <c r="J147" s="7"/>
      <c r="K147" s="7"/>
    </row>
    <row r="148" spans="1:11" x14ac:dyDescent="0.35">
      <c r="A148" s="7" t="str">
        <f>IF(Notes!BY144="","",Notes!BY144)</f>
        <v/>
      </c>
      <c r="B148" s="7" t="str">
        <f>IF(Notes!BZ144="","",Notes!BZ144)</f>
        <v/>
      </c>
      <c r="C148" s="7" t="str">
        <f>IF(Notes!CA144="","",Notes!CA144)</f>
        <v/>
      </c>
      <c r="D148" s="7" t="str">
        <f>IF(Notes!CB144="","",Notes!CB144)</f>
        <v/>
      </c>
      <c r="E148" s="7" t="str">
        <f>IF(Notes!CC144="","",Notes!CC144)</f>
        <v/>
      </c>
      <c r="F148" s="7" t="str">
        <f>IF(Notes!CD144="","",Notes!CD144)</f>
        <v/>
      </c>
      <c r="G148" s="7" t="str">
        <f>IF(Notes!CE144="","",Notes!CE144)</f>
        <v/>
      </c>
      <c r="H148" s="7" t="str">
        <f>IF(Notes!CF144="","",Notes!CF144)</f>
        <v/>
      </c>
      <c r="I148" s="7"/>
      <c r="J148" s="7"/>
      <c r="K148" s="7"/>
    </row>
    <row r="149" spans="1:11" x14ac:dyDescent="0.35">
      <c r="A149" s="7" t="str">
        <f>IF(Notes!BY145="","",Notes!BY145)</f>
        <v/>
      </c>
      <c r="B149" s="7" t="str">
        <f>IF(Notes!BZ145="","",Notes!BZ145)</f>
        <v/>
      </c>
      <c r="C149" s="7" t="str">
        <f>IF(Notes!CA145="","",Notes!CA145)</f>
        <v/>
      </c>
      <c r="D149" s="7" t="str">
        <f>IF(Notes!CB145="","",Notes!CB145)</f>
        <v/>
      </c>
      <c r="E149" s="7" t="str">
        <f>IF(Notes!CC145="","",Notes!CC145)</f>
        <v/>
      </c>
      <c r="F149" s="7" t="str">
        <f>IF(Notes!CD145="","",Notes!CD145)</f>
        <v/>
      </c>
      <c r="G149" s="7" t="str">
        <f>IF(Notes!CE145="","",Notes!CE145)</f>
        <v/>
      </c>
      <c r="H149" s="7" t="str">
        <f>IF(Notes!CF145="","",Notes!CF145)</f>
        <v/>
      </c>
      <c r="I149" s="7"/>
      <c r="J149" s="7"/>
      <c r="K149" s="7"/>
    </row>
    <row r="150" spans="1:11" x14ac:dyDescent="0.35">
      <c r="A150" s="7" t="str">
        <f>IF(Notes!BY146="","",Notes!BY146)</f>
        <v/>
      </c>
      <c r="B150" s="7" t="str">
        <f>IF(Notes!BZ146="","",Notes!BZ146)</f>
        <v/>
      </c>
      <c r="C150" s="7" t="str">
        <f>IF(Notes!CA146="","",Notes!CA146)</f>
        <v/>
      </c>
      <c r="D150" s="7" t="str">
        <f>IF(Notes!CB146="","",Notes!CB146)</f>
        <v/>
      </c>
      <c r="E150" s="7" t="str">
        <f>IF(Notes!CC146="","",Notes!CC146)</f>
        <v/>
      </c>
      <c r="F150" s="7" t="str">
        <f>IF(Notes!CD146="","",Notes!CD146)</f>
        <v/>
      </c>
      <c r="G150" s="7" t="str">
        <f>IF(Notes!CE146="","",Notes!CE146)</f>
        <v/>
      </c>
      <c r="H150" s="7" t="str">
        <f>IF(Notes!CF146="","",Notes!CF146)</f>
        <v/>
      </c>
      <c r="I150" s="7"/>
      <c r="J150" s="7"/>
      <c r="K150" s="7"/>
    </row>
    <row r="151" spans="1:11" x14ac:dyDescent="0.35">
      <c r="A151" s="7" t="str">
        <f>IF(Notes!BY147="","",Notes!BY147)</f>
        <v/>
      </c>
      <c r="B151" s="7" t="str">
        <f>IF(Notes!BZ147="","",Notes!BZ147)</f>
        <v/>
      </c>
      <c r="C151" s="7" t="str">
        <f>IF(Notes!CA147="","",Notes!CA147)</f>
        <v/>
      </c>
      <c r="D151" s="7" t="str">
        <f>IF(Notes!CB147="","",Notes!CB147)</f>
        <v/>
      </c>
      <c r="E151" s="7" t="str">
        <f>IF(Notes!CC147="","",Notes!CC147)</f>
        <v/>
      </c>
      <c r="F151" s="7" t="str">
        <f>IF(Notes!CD147="","",Notes!CD147)</f>
        <v/>
      </c>
      <c r="G151" s="7" t="str">
        <f>IF(Notes!CE147="","",Notes!CE147)</f>
        <v/>
      </c>
      <c r="H151" s="7" t="str">
        <f>IF(Notes!CF147="","",Notes!CF147)</f>
        <v/>
      </c>
      <c r="I151" s="7"/>
      <c r="J151" s="7"/>
      <c r="K151" s="7"/>
    </row>
    <row r="152" spans="1:11" x14ac:dyDescent="0.35">
      <c r="A152" s="7" t="str">
        <f>IF(Notes!BY148="","",Notes!BY148)</f>
        <v/>
      </c>
      <c r="B152" s="7" t="str">
        <f>IF(Notes!BZ148="","",Notes!BZ148)</f>
        <v/>
      </c>
      <c r="C152" s="7" t="str">
        <f>IF(Notes!CA148="","",Notes!CA148)</f>
        <v/>
      </c>
      <c r="D152" s="7" t="str">
        <f>IF(Notes!CB148="","",Notes!CB148)</f>
        <v/>
      </c>
      <c r="E152" s="7" t="str">
        <f>IF(Notes!CC148="","",Notes!CC148)</f>
        <v/>
      </c>
      <c r="F152" s="7" t="str">
        <f>IF(Notes!CD148="","",Notes!CD148)</f>
        <v/>
      </c>
      <c r="G152" s="7" t="str">
        <f>IF(Notes!CE148="","",Notes!CE148)</f>
        <v/>
      </c>
      <c r="H152" s="7" t="str">
        <f>IF(Notes!CF148="","",Notes!CF148)</f>
        <v/>
      </c>
      <c r="I152" s="7"/>
      <c r="J152" s="7"/>
      <c r="K152" s="7"/>
    </row>
    <row r="153" spans="1:11" x14ac:dyDescent="0.35">
      <c r="A153" s="7" t="str">
        <f>IF(Notes!BY149="","",Notes!BY149)</f>
        <v/>
      </c>
      <c r="B153" s="7" t="str">
        <f>IF(Notes!BZ149="","",Notes!BZ149)</f>
        <v/>
      </c>
      <c r="C153" s="7" t="str">
        <f>IF(Notes!CA149="","",Notes!CA149)</f>
        <v/>
      </c>
      <c r="D153" s="7" t="str">
        <f>IF(Notes!CB149="","",Notes!CB149)</f>
        <v/>
      </c>
      <c r="E153" s="7" t="str">
        <f>IF(Notes!CC149="","",Notes!CC149)</f>
        <v/>
      </c>
      <c r="F153" s="7" t="str">
        <f>IF(Notes!CD149="","",Notes!CD149)</f>
        <v/>
      </c>
      <c r="G153" s="7" t="str">
        <f>IF(Notes!CE149="","",Notes!CE149)</f>
        <v/>
      </c>
      <c r="H153" s="7" t="str">
        <f>IF(Notes!CF149="","",Notes!CF149)</f>
        <v/>
      </c>
      <c r="I153" s="7"/>
      <c r="J153" s="7"/>
      <c r="K153" s="7"/>
    </row>
    <row r="154" spans="1:11" x14ac:dyDescent="0.35">
      <c r="A154" s="7" t="str">
        <f>IF(Notes!BY150="","",Notes!BY150)</f>
        <v/>
      </c>
      <c r="B154" s="7" t="str">
        <f>IF(Notes!BZ150="","",Notes!BZ150)</f>
        <v/>
      </c>
      <c r="C154" s="7" t="str">
        <f>IF(Notes!CA150="","",Notes!CA150)</f>
        <v/>
      </c>
      <c r="D154" s="7" t="str">
        <f>IF(Notes!CB150="","",Notes!CB150)</f>
        <v/>
      </c>
      <c r="E154" s="7" t="str">
        <f>IF(Notes!CC150="","",Notes!CC150)</f>
        <v/>
      </c>
      <c r="F154" s="7" t="str">
        <f>IF(Notes!CD150="","",Notes!CD150)</f>
        <v/>
      </c>
      <c r="G154" s="7" t="str">
        <f>IF(Notes!CE150="","",Notes!CE150)</f>
        <v/>
      </c>
      <c r="H154" s="7" t="str">
        <f>IF(Notes!CF150="","",Notes!CF150)</f>
        <v/>
      </c>
      <c r="I154" s="7"/>
      <c r="J154" s="7"/>
      <c r="K154" s="7"/>
    </row>
    <row r="155" spans="1:11" x14ac:dyDescent="0.35">
      <c r="A155" s="7" t="str">
        <f>IF(Notes!BY151="","",Notes!BY151)</f>
        <v/>
      </c>
      <c r="B155" s="7" t="str">
        <f>IF(Notes!BZ151="","",Notes!BZ151)</f>
        <v/>
      </c>
      <c r="C155" s="7" t="str">
        <f>IF(Notes!CA151="","",Notes!CA151)</f>
        <v/>
      </c>
      <c r="D155" s="7" t="str">
        <f>IF(Notes!CB151="","",Notes!CB151)</f>
        <v/>
      </c>
      <c r="E155" s="7" t="str">
        <f>IF(Notes!CC151="","",Notes!CC151)</f>
        <v/>
      </c>
      <c r="F155" s="7" t="str">
        <f>IF(Notes!CD151="","",Notes!CD151)</f>
        <v/>
      </c>
      <c r="G155" s="7" t="str">
        <f>IF(Notes!CE151="","",Notes!CE151)</f>
        <v/>
      </c>
      <c r="H155" s="7" t="str">
        <f>IF(Notes!CF151="","",Notes!CF151)</f>
        <v/>
      </c>
      <c r="I155" s="7"/>
      <c r="J155" s="7"/>
      <c r="K155" s="7"/>
    </row>
    <row r="156" spans="1:11" x14ac:dyDescent="0.35">
      <c r="A156" s="7" t="str">
        <f>IF(Notes!BY152="","",Notes!BY152)</f>
        <v/>
      </c>
      <c r="B156" s="7" t="str">
        <f>IF(Notes!BZ152="","",Notes!BZ152)</f>
        <v/>
      </c>
      <c r="C156" s="7" t="str">
        <f>IF(Notes!CA152="","",Notes!CA152)</f>
        <v/>
      </c>
      <c r="D156" s="7" t="str">
        <f>IF(Notes!CB152="","",Notes!CB152)</f>
        <v/>
      </c>
      <c r="E156" s="7" t="str">
        <f>IF(Notes!CC152="","",Notes!CC152)</f>
        <v/>
      </c>
      <c r="F156" s="7" t="str">
        <f>IF(Notes!CD152="","",Notes!CD152)</f>
        <v/>
      </c>
      <c r="G156" s="7" t="str">
        <f>IF(Notes!CE152="","",Notes!CE152)</f>
        <v/>
      </c>
      <c r="H156" s="7" t="str">
        <f>IF(Notes!CF152="","",Notes!CF152)</f>
        <v/>
      </c>
      <c r="I156" s="7"/>
      <c r="J156" s="7"/>
      <c r="K156" s="7"/>
    </row>
    <row r="157" spans="1:11" x14ac:dyDescent="0.35">
      <c r="A157" s="7" t="str">
        <f>IF(Notes!BY153="","",Notes!BY153)</f>
        <v/>
      </c>
      <c r="B157" s="7" t="str">
        <f>IF(Notes!BZ153="","",Notes!BZ153)</f>
        <v/>
      </c>
      <c r="C157" s="7" t="str">
        <f>IF(Notes!CA153="","",Notes!CA153)</f>
        <v/>
      </c>
      <c r="D157" s="7" t="str">
        <f>IF(Notes!CB153="","",Notes!CB153)</f>
        <v/>
      </c>
      <c r="E157" s="7" t="str">
        <f>IF(Notes!CC153="","",Notes!CC153)</f>
        <v/>
      </c>
      <c r="F157" s="7" t="str">
        <f>IF(Notes!CD153="","",Notes!CD153)</f>
        <v/>
      </c>
      <c r="G157" s="7" t="str">
        <f>IF(Notes!CE153="","",Notes!CE153)</f>
        <v/>
      </c>
      <c r="H157" s="7" t="str">
        <f>IF(Notes!CF153="","",Notes!CF153)</f>
        <v/>
      </c>
      <c r="I157" s="7"/>
      <c r="J157" s="7"/>
      <c r="K157" s="7"/>
    </row>
    <row r="158" spans="1:11" x14ac:dyDescent="0.35">
      <c r="A158" s="7" t="str">
        <f>IF(Notes!BY154="","",Notes!BY154)</f>
        <v/>
      </c>
      <c r="B158" s="7" t="str">
        <f>IF(Notes!BZ154="","",Notes!BZ154)</f>
        <v/>
      </c>
      <c r="C158" s="7" t="str">
        <f>IF(Notes!CA154="","",Notes!CA154)</f>
        <v/>
      </c>
      <c r="D158" s="7" t="str">
        <f>IF(Notes!CB154="","",Notes!CB154)</f>
        <v/>
      </c>
      <c r="E158" s="7" t="str">
        <f>IF(Notes!CC154="","",Notes!CC154)</f>
        <v/>
      </c>
      <c r="F158" s="7" t="str">
        <f>IF(Notes!CD154="","",Notes!CD154)</f>
        <v/>
      </c>
      <c r="G158" s="7" t="str">
        <f>IF(Notes!CE154="","",Notes!CE154)</f>
        <v/>
      </c>
      <c r="H158" s="7" t="str">
        <f>IF(Notes!CF154="","",Notes!CF154)</f>
        <v/>
      </c>
      <c r="I158" s="7"/>
      <c r="J158" s="7"/>
      <c r="K158" s="7"/>
    </row>
    <row r="159" spans="1:11" x14ac:dyDescent="0.35">
      <c r="A159" s="7" t="str">
        <f>IF(Notes!BY155="","",Notes!BY155)</f>
        <v/>
      </c>
      <c r="B159" s="7" t="str">
        <f>IF(Notes!BZ155="","",Notes!BZ155)</f>
        <v/>
      </c>
      <c r="C159" s="7" t="str">
        <f>IF(Notes!CA155="","",Notes!CA155)</f>
        <v/>
      </c>
      <c r="D159" s="7" t="str">
        <f>IF(Notes!CB155="","",Notes!CB155)</f>
        <v/>
      </c>
      <c r="E159" s="7" t="str">
        <f>IF(Notes!CC155="","",Notes!CC155)</f>
        <v/>
      </c>
      <c r="F159" s="7" t="str">
        <f>IF(Notes!CD155="","",Notes!CD155)</f>
        <v/>
      </c>
      <c r="G159" s="7" t="str">
        <f>IF(Notes!CE155="","",Notes!CE155)</f>
        <v/>
      </c>
      <c r="H159" s="7" t="str">
        <f>IF(Notes!CF155="","",Notes!CF155)</f>
        <v/>
      </c>
      <c r="I159" s="7"/>
      <c r="J159" s="7"/>
      <c r="K159" s="7"/>
    </row>
    <row r="160" spans="1:11" x14ac:dyDescent="0.35">
      <c r="A160" s="7" t="str">
        <f>IF(Notes!BY156="","",Notes!BY156)</f>
        <v/>
      </c>
      <c r="B160" s="7" t="str">
        <f>IF(Notes!BZ156="","",Notes!BZ156)</f>
        <v/>
      </c>
      <c r="C160" s="7" t="str">
        <f>IF(Notes!CA156="","",Notes!CA156)</f>
        <v/>
      </c>
      <c r="D160" s="7" t="str">
        <f>IF(Notes!CB156="","",Notes!CB156)</f>
        <v/>
      </c>
      <c r="E160" s="7" t="str">
        <f>IF(Notes!CC156="","",Notes!CC156)</f>
        <v/>
      </c>
      <c r="F160" s="7" t="str">
        <f>IF(Notes!CD156="","",Notes!CD156)</f>
        <v/>
      </c>
      <c r="G160" s="7" t="str">
        <f>IF(Notes!CE156="","",Notes!CE156)</f>
        <v/>
      </c>
      <c r="H160" s="7" t="str">
        <f>IF(Notes!CF156="","",Notes!CF156)</f>
        <v/>
      </c>
      <c r="I160" s="7"/>
      <c r="J160" s="7"/>
      <c r="K160" s="7"/>
    </row>
    <row r="161" spans="1:11" x14ac:dyDescent="0.35">
      <c r="A161" s="7" t="str">
        <f>IF(Notes!BY157="","",Notes!BY157)</f>
        <v/>
      </c>
      <c r="B161" s="7" t="str">
        <f>IF(Notes!BZ157="","",Notes!BZ157)</f>
        <v/>
      </c>
      <c r="C161" s="7" t="str">
        <f>IF(Notes!CA157="","",Notes!CA157)</f>
        <v/>
      </c>
      <c r="D161" s="7" t="str">
        <f>IF(Notes!CB157="","",Notes!CB157)</f>
        <v/>
      </c>
      <c r="E161" s="7" t="str">
        <f>IF(Notes!CC157="","",Notes!CC157)</f>
        <v/>
      </c>
      <c r="F161" s="7" t="str">
        <f>IF(Notes!CD157="","",Notes!CD157)</f>
        <v/>
      </c>
      <c r="G161" s="7" t="str">
        <f>IF(Notes!CE157="","",Notes!CE157)</f>
        <v/>
      </c>
      <c r="H161" s="7" t="str">
        <f>IF(Notes!CF157="","",Notes!CF157)</f>
        <v/>
      </c>
      <c r="I161" s="7"/>
      <c r="J161" s="7"/>
      <c r="K161" s="7"/>
    </row>
    <row r="162" spans="1:11" x14ac:dyDescent="0.35">
      <c r="A162" s="7" t="str">
        <f>IF(Notes!BY158="","",Notes!BY158)</f>
        <v/>
      </c>
      <c r="B162" s="7" t="str">
        <f>IF(Notes!BZ158="","",Notes!BZ158)</f>
        <v/>
      </c>
      <c r="C162" s="7" t="str">
        <f>IF(Notes!CA158="","",Notes!CA158)</f>
        <v/>
      </c>
      <c r="D162" s="7" t="str">
        <f>IF(Notes!CB158="","",Notes!CB158)</f>
        <v/>
      </c>
      <c r="E162" s="7" t="str">
        <f>IF(Notes!CC158="","",Notes!CC158)</f>
        <v/>
      </c>
      <c r="F162" s="7" t="str">
        <f>IF(Notes!CD158="","",Notes!CD158)</f>
        <v/>
      </c>
      <c r="G162" s="7" t="str">
        <f>IF(Notes!CE158="","",Notes!CE158)</f>
        <v/>
      </c>
      <c r="H162" s="7" t="str">
        <f>IF(Notes!CF158="","",Notes!CF158)</f>
        <v/>
      </c>
      <c r="I162" s="7"/>
      <c r="J162" s="7"/>
      <c r="K162" s="7"/>
    </row>
    <row r="163" spans="1:11" x14ac:dyDescent="0.35">
      <c r="A163" s="7" t="str">
        <f>IF(Notes!BY159="","",Notes!BY159)</f>
        <v/>
      </c>
      <c r="B163" s="7" t="str">
        <f>IF(Notes!BZ159="","",Notes!BZ159)</f>
        <v/>
      </c>
      <c r="C163" s="7" t="str">
        <f>IF(Notes!CA159="","",Notes!CA159)</f>
        <v/>
      </c>
      <c r="D163" s="7" t="str">
        <f>IF(Notes!CB159="","",Notes!CB159)</f>
        <v/>
      </c>
      <c r="E163" s="7" t="str">
        <f>IF(Notes!CC159="","",Notes!CC159)</f>
        <v/>
      </c>
      <c r="F163" s="7" t="str">
        <f>IF(Notes!CD159="","",Notes!CD159)</f>
        <v/>
      </c>
      <c r="G163" s="7" t="str">
        <f>IF(Notes!CE159="","",Notes!CE159)</f>
        <v/>
      </c>
      <c r="H163" s="7" t="str">
        <f>IF(Notes!CF159="","",Notes!CF159)</f>
        <v/>
      </c>
      <c r="I163" s="7"/>
      <c r="J163" s="7"/>
      <c r="K163" s="7"/>
    </row>
    <row r="164" spans="1:11" x14ac:dyDescent="0.35">
      <c r="A164" s="7" t="str">
        <f>IF(Notes!BY160="","",Notes!BY160)</f>
        <v/>
      </c>
      <c r="B164" s="7" t="str">
        <f>IF(Notes!BZ160="","",Notes!BZ160)</f>
        <v/>
      </c>
      <c r="C164" s="7" t="str">
        <f>IF(Notes!CA160="","",Notes!CA160)</f>
        <v/>
      </c>
      <c r="D164" s="7" t="str">
        <f>IF(Notes!CB160="","",Notes!CB160)</f>
        <v/>
      </c>
      <c r="E164" s="7" t="str">
        <f>IF(Notes!CC160="","",Notes!CC160)</f>
        <v/>
      </c>
      <c r="F164" s="7" t="str">
        <f>IF(Notes!CD160="","",Notes!CD160)</f>
        <v/>
      </c>
      <c r="G164" s="7" t="str">
        <f>IF(Notes!CE160="","",Notes!CE160)</f>
        <v/>
      </c>
      <c r="H164" s="7" t="str">
        <f>IF(Notes!CF160="","",Notes!CF160)</f>
        <v/>
      </c>
      <c r="I164" s="7"/>
      <c r="J164" s="7"/>
      <c r="K164" s="7"/>
    </row>
    <row r="165" spans="1:11" x14ac:dyDescent="0.35">
      <c r="A165" s="7" t="str">
        <f>IF(Notes!BY161="","",Notes!BY161)</f>
        <v/>
      </c>
      <c r="B165" s="7" t="str">
        <f>IF(Notes!BZ161="","",Notes!BZ161)</f>
        <v/>
      </c>
      <c r="C165" s="7" t="str">
        <f>IF(Notes!CA161="","",Notes!CA161)</f>
        <v/>
      </c>
      <c r="D165" s="7" t="str">
        <f>IF(Notes!CB161="","",Notes!CB161)</f>
        <v/>
      </c>
      <c r="E165" s="7" t="str">
        <f>IF(Notes!CC161="","",Notes!CC161)</f>
        <v/>
      </c>
      <c r="F165" s="7" t="str">
        <f>IF(Notes!CD161="","",Notes!CD161)</f>
        <v/>
      </c>
      <c r="G165" s="7" t="str">
        <f>IF(Notes!CE161="","",Notes!CE161)</f>
        <v/>
      </c>
      <c r="H165" s="7" t="str">
        <f>IF(Notes!CF161="","",Notes!CF161)</f>
        <v/>
      </c>
      <c r="I165" s="7"/>
      <c r="J165" s="7"/>
      <c r="K165" s="7"/>
    </row>
    <row r="166" spans="1:11" x14ac:dyDescent="0.35">
      <c r="A166" s="7" t="str">
        <f>IF(Notes!BY162="","",Notes!BY162)</f>
        <v/>
      </c>
      <c r="B166" s="7" t="str">
        <f>IF(Notes!BZ162="","",Notes!BZ162)</f>
        <v/>
      </c>
      <c r="C166" s="7" t="str">
        <f>IF(Notes!CA162="","",Notes!CA162)</f>
        <v/>
      </c>
      <c r="D166" s="7" t="str">
        <f>IF(Notes!CB162="","",Notes!CB162)</f>
        <v/>
      </c>
      <c r="E166" s="7" t="str">
        <f>IF(Notes!CC162="","",Notes!CC162)</f>
        <v/>
      </c>
      <c r="F166" s="7" t="str">
        <f>IF(Notes!CD162="","",Notes!CD162)</f>
        <v/>
      </c>
      <c r="G166" s="7" t="str">
        <f>IF(Notes!CE162="","",Notes!CE162)</f>
        <v/>
      </c>
      <c r="H166" s="7" t="str">
        <f>IF(Notes!CF162="","",Notes!CF162)</f>
        <v/>
      </c>
      <c r="I166" s="7"/>
      <c r="J166" s="7"/>
      <c r="K166" s="7"/>
    </row>
    <row r="167" spans="1:11" x14ac:dyDescent="0.35">
      <c r="A167" s="7" t="str">
        <f>IF(Notes!BY163="","",Notes!BY163)</f>
        <v/>
      </c>
      <c r="B167" s="7" t="str">
        <f>IF(Notes!BZ163="","",Notes!BZ163)</f>
        <v/>
      </c>
      <c r="C167" s="7" t="str">
        <f>IF(Notes!CA163="","",Notes!CA163)</f>
        <v/>
      </c>
      <c r="D167" s="7" t="str">
        <f>IF(Notes!CB163="","",Notes!CB163)</f>
        <v/>
      </c>
      <c r="E167" s="7" t="str">
        <f>IF(Notes!CC163="","",Notes!CC163)</f>
        <v/>
      </c>
      <c r="F167" s="7" t="str">
        <f>IF(Notes!CD163="","",Notes!CD163)</f>
        <v/>
      </c>
      <c r="G167" s="7" t="str">
        <f>IF(Notes!CE163="","",Notes!CE163)</f>
        <v/>
      </c>
      <c r="H167" s="7" t="str">
        <f>IF(Notes!CF163="","",Notes!CF163)</f>
        <v/>
      </c>
      <c r="I167" s="7"/>
      <c r="J167" s="7"/>
      <c r="K167" s="7"/>
    </row>
    <row r="168" spans="1:11" x14ac:dyDescent="0.35">
      <c r="A168" s="7" t="str">
        <f>IF(Notes!BY164="","",Notes!BY164)</f>
        <v/>
      </c>
      <c r="B168" s="7" t="str">
        <f>IF(Notes!BZ164="","",Notes!BZ164)</f>
        <v/>
      </c>
      <c r="C168" s="7" t="str">
        <f>IF(Notes!CA164="","",Notes!CA164)</f>
        <v/>
      </c>
      <c r="D168" s="7" t="str">
        <f>IF(Notes!CB164="","",Notes!CB164)</f>
        <v/>
      </c>
      <c r="E168" s="7" t="str">
        <f>IF(Notes!CC164="","",Notes!CC164)</f>
        <v/>
      </c>
      <c r="F168" s="7" t="str">
        <f>IF(Notes!CD164="","",Notes!CD164)</f>
        <v/>
      </c>
      <c r="G168" s="7" t="str">
        <f>IF(Notes!CE164="","",Notes!CE164)</f>
        <v/>
      </c>
      <c r="H168" s="7" t="str">
        <f>IF(Notes!CF164="","",Notes!CF164)</f>
        <v/>
      </c>
      <c r="I168" s="7"/>
      <c r="J168" s="7"/>
      <c r="K168" s="7"/>
    </row>
    <row r="169" spans="1:11" x14ac:dyDescent="0.35">
      <c r="A169" s="7" t="str">
        <f>IF(Notes!BY165="","",Notes!BY165)</f>
        <v/>
      </c>
      <c r="B169" s="7" t="str">
        <f>IF(Notes!BZ165="","",Notes!BZ165)</f>
        <v/>
      </c>
      <c r="C169" s="7" t="str">
        <f>IF(Notes!CA165="","",Notes!CA165)</f>
        <v/>
      </c>
      <c r="D169" s="7" t="str">
        <f>IF(Notes!CB165="","",Notes!CB165)</f>
        <v/>
      </c>
      <c r="E169" s="7" t="str">
        <f>IF(Notes!CC165="","",Notes!CC165)</f>
        <v/>
      </c>
      <c r="F169" s="7" t="str">
        <f>IF(Notes!CD165="","",Notes!CD165)</f>
        <v/>
      </c>
      <c r="G169" s="7" t="str">
        <f>IF(Notes!CE165="","",Notes!CE165)</f>
        <v/>
      </c>
      <c r="H169" s="7" t="str">
        <f>IF(Notes!CF165="","",Notes!CF165)</f>
        <v/>
      </c>
      <c r="I169" s="7"/>
      <c r="J169" s="7"/>
      <c r="K169" s="7"/>
    </row>
    <row r="170" spans="1:11" x14ac:dyDescent="0.35">
      <c r="A170" s="7" t="str">
        <f>IF(Notes!BY166="","",Notes!BY166)</f>
        <v/>
      </c>
      <c r="B170" s="7" t="str">
        <f>IF(Notes!BZ166="","",Notes!BZ166)</f>
        <v/>
      </c>
      <c r="C170" s="7" t="str">
        <f>IF(Notes!CA166="","",Notes!CA166)</f>
        <v/>
      </c>
      <c r="D170" s="7" t="str">
        <f>IF(Notes!CB166="","",Notes!CB166)</f>
        <v/>
      </c>
      <c r="E170" s="7" t="str">
        <f>IF(Notes!CC166="","",Notes!CC166)</f>
        <v/>
      </c>
      <c r="F170" s="7" t="str">
        <f>IF(Notes!CD166="","",Notes!CD166)</f>
        <v/>
      </c>
      <c r="G170" s="7" t="str">
        <f>IF(Notes!CE166="","",Notes!CE166)</f>
        <v/>
      </c>
      <c r="H170" s="7" t="str">
        <f>IF(Notes!CF166="","",Notes!CF166)</f>
        <v/>
      </c>
      <c r="I170" s="7"/>
      <c r="J170" s="7"/>
      <c r="K170" s="7"/>
    </row>
    <row r="171" spans="1:11" x14ac:dyDescent="0.35">
      <c r="A171" s="7" t="str">
        <f>IF(Notes!BY167="","",Notes!BY167)</f>
        <v/>
      </c>
      <c r="B171" s="7" t="str">
        <f>IF(Notes!BZ167="","",Notes!BZ167)</f>
        <v/>
      </c>
      <c r="C171" s="7" t="str">
        <f>IF(Notes!CA167="","",Notes!CA167)</f>
        <v/>
      </c>
      <c r="D171" s="7" t="str">
        <f>IF(Notes!CB167="","",Notes!CB167)</f>
        <v/>
      </c>
      <c r="E171" s="7" t="str">
        <f>IF(Notes!CC167="","",Notes!CC167)</f>
        <v/>
      </c>
      <c r="F171" s="7" t="str">
        <f>IF(Notes!CD167="","",Notes!CD167)</f>
        <v/>
      </c>
      <c r="G171" s="7" t="str">
        <f>IF(Notes!CE167="","",Notes!CE167)</f>
        <v/>
      </c>
      <c r="H171" s="7" t="str">
        <f>IF(Notes!CF167="","",Notes!CF167)</f>
        <v/>
      </c>
      <c r="I171" s="7"/>
      <c r="J171" s="7"/>
      <c r="K171" s="7"/>
    </row>
    <row r="172" spans="1:11" x14ac:dyDescent="0.35">
      <c r="A172" s="7" t="str">
        <f>IF(Notes!BY168="","",Notes!BY168)</f>
        <v/>
      </c>
      <c r="B172" s="7" t="str">
        <f>IF(Notes!BZ168="","",Notes!BZ168)</f>
        <v/>
      </c>
      <c r="C172" s="7" t="str">
        <f>IF(Notes!CA168="","",Notes!CA168)</f>
        <v/>
      </c>
      <c r="D172" s="7" t="str">
        <f>IF(Notes!CB168="","",Notes!CB168)</f>
        <v/>
      </c>
      <c r="E172" s="7" t="str">
        <f>IF(Notes!CC168="","",Notes!CC168)</f>
        <v/>
      </c>
      <c r="F172" s="7" t="str">
        <f>IF(Notes!CD168="","",Notes!CD168)</f>
        <v/>
      </c>
      <c r="G172" s="7" t="str">
        <f>IF(Notes!CE168="","",Notes!CE168)</f>
        <v/>
      </c>
      <c r="H172" s="7" t="str">
        <f>IF(Notes!CF168="","",Notes!CF168)</f>
        <v/>
      </c>
      <c r="I172" s="7"/>
      <c r="J172" s="7"/>
      <c r="K172" s="7"/>
    </row>
    <row r="173" spans="1:11" x14ac:dyDescent="0.35">
      <c r="A173" s="7" t="str">
        <f>IF(Notes!BY169="","",Notes!BY169)</f>
        <v/>
      </c>
      <c r="B173" s="7" t="str">
        <f>IF(Notes!BZ169="","",Notes!BZ169)</f>
        <v/>
      </c>
      <c r="C173" s="7" t="str">
        <f>IF(Notes!CA169="","",Notes!CA169)</f>
        <v/>
      </c>
      <c r="D173" s="7" t="str">
        <f>IF(Notes!CB169="","",Notes!CB169)</f>
        <v/>
      </c>
      <c r="E173" s="7" t="str">
        <f>IF(Notes!CC169="","",Notes!CC169)</f>
        <v/>
      </c>
      <c r="F173" s="7" t="str">
        <f>IF(Notes!CD169="","",Notes!CD169)</f>
        <v/>
      </c>
      <c r="G173" s="7" t="str">
        <f>IF(Notes!CE169="","",Notes!CE169)</f>
        <v/>
      </c>
      <c r="H173" s="7" t="str">
        <f>IF(Notes!CF169="","",Notes!CF169)</f>
        <v/>
      </c>
      <c r="I173" s="7"/>
      <c r="J173" s="7"/>
      <c r="K173" s="7"/>
    </row>
    <row r="174" spans="1:11" x14ac:dyDescent="0.35">
      <c r="A174" s="7" t="str">
        <f>IF(Notes!BY170="","",Notes!BY170)</f>
        <v/>
      </c>
      <c r="B174" s="7" t="str">
        <f>IF(Notes!BZ170="","",Notes!BZ170)</f>
        <v/>
      </c>
      <c r="C174" s="7" t="str">
        <f>IF(Notes!CA170="","",Notes!CA170)</f>
        <v/>
      </c>
      <c r="D174" s="7" t="str">
        <f>IF(Notes!CB170="","",Notes!CB170)</f>
        <v/>
      </c>
      <c r="E174" s="7" t="str">
        <f>IF(Notes!CC170="","",Notes!CC170)</f>
        <v/>
      </c>
      <c r="F174" s="7" t="str">
        <f>IF(Notes!CD170="","",Notes!CD170)</f>
        <v/>
      </c>
      <c r="G174" s="7" t="str">
        <f>IF(Notes!CE170="","",Notes!CE170)</f>
        <v/>
      </c>
      <c r="H174" s="7" t="str">
        <f>IF(Notes!CF170="","",Notes!CF170)</f>
        <v/>
      </c>
      <c r="I174" s="7"/>
      <c r="J174" s="7"/>
      <c r="K174" s="7"/>
    </row>
    <row r="175" spans="1:11" x14ac:dyDescent="0.35">
      <c r="A175" s="7" t="str">
        <f>IF(Notes!BY171="","",Notes!BY171)</f>
        <v/>
      </c>
      <c r="B175" s="7" t="str">
        <f>IF(Notes!BZ171="","",Notes!BZ171)</f>
        <v/>
      </c>
      <c r="C175" s="7" t="str">
        <f>IF(Notes!CA171="","",Notes!CA171)</f>
        <v/>
      </c>
      <c r="D175" s="7" t="str">
        <f>IF(Notes!CB171="","",Notes!CB171)</f>
        <v/>
      </c>
      <c r="E175" s="7" t="str">
        <f>IF(Notes!CC171="","",Notes!CC171)</f>
        <v/>
      </c>
      <c r="F175" s="7" t="str">
        <f>IF(Notes!CD171="","",Notes!CD171)</f>
        <v/>
      </c>
      <c r="G175" s="7" t="str">
        <f>IF(Notes!CE171="","",Notes!CE171)</f>
        <v/>
      </c>
      <c r="H175" s="7" t="str">
        <f>IF(Notes!CF171="","",Notes!CF171)</f>
        <v/>
      </c>
      <c r="I175" s="7"/>
      <c r="J175" s="7"/>
      <c r="K175" s="7"/>
    </row>
    <row r="176" spans="1:11" x14ac:dyDescent="0.35">
      <c r="A176" s="7" t="str">
        <f>IF(Notes!BY172="","",Notes!BY172)</f>
        <v/>
      </c>
      <c r="B176" s="7" t="str">
        <f>IF(Notes!BZ172="","",Notes!BZ172)</f>
        <v/>
      </c>
      <c r="C176" s="7" t="str">
        <f>IF(Notes!CA172="","",Notes!CA172)</f>
        <v/>
      </c>
      <c r="D176" s="7" t="str">
        <f>IF(Notes!CB172="","",Notes!CB172)</f>
        <v/>
      </c>
      <c r="E176" s="7" t="str">
        <f>IF(Notes!CC172="","",Notes!CC172)</f>
        <v/>
      </c>
      <c r="F176" s="7" t="str">
        <f>IF(Notes!CD172="","",Notes!CD172)</f>
        <v/>
      </c>
      <c r="G176" s="7" t="str">
        <f>IF(Notes!CE172="","",Notes!CE172)</f>
        <v/>
      </c>
      <c r="H176" s="7" t="str">
        <f>IF(Notes!CF172="","",Notes!CF172)</f>
        <v/>
      </c>
      <c r="I176" s="7"/>
      <c r="J176" s="7"/>
      <c r="K176" s="7"/>
    </row>
    <row r="177" spans="1:11" x14ac:dyDescent="0.35">
      <c r="A177" s="7" t="str">
        <f>IF(Notes!BY173="","",Notes!BY173)</f>
        <v/>
      </c>
      <c r="B177" s="7" t="str">
        <f>IF(Notes!BZ173="","",Notes!BZ173)</f>
        <v/>
      </c>
      <c r="C177" s="7" t="str">
        <f>IF(Notes!CA173="","",Notes!CA173)</f>
        <v/>
      </c>
      <c r="D177" s="7" t="str">
        <f>IF(Notes!CB173="","",Notes!CB173)</f>
        <v/>
      </c>
      <c r="E177" s="7" t="str">
        <f>IF(Notes!CC173="","",Notes!CC173)</f>
        <v/>
      </c>
      <c r="F177" s="7" t="str">
        <f>IF(Notes!CD173="","",Notes!CD173)</f>
        <v/>
      </c>
      <c r="G177" s="7" t="str">
        <f>IF(Notes!CE173="","",Notes!CE173)</f>
        <v/>
      </c>
      <c r="H177" s="7" t="str">
        <f>IF(Notes!CF173="","",Notes!CF173)</f>
        <v/>
      </c>
      <c r="I177" s="7"/>
      <c r="J177" s="7"/>
      <c r="K177" s="7"/>
    </row>
    <row r="178" spans="1:11" x14ac:dyDescent="0.35">
      <c r="A178" s="7" t="str">
        <f>IF(Notes!BY174="","",Notes!BY174)</f>
        <v/>
      </c>
      <c r="B178" s="7" t="str">
        <f>IF(Notes!BZ174="","",Notes!BZ174)</f>
        <v/>
      </c>
      <c r="C178" s="7" t="str">
        <f>IF(Notes!CA174="","",Notes!CA174)</f>
        <v/>
      </c>
      <c r="D178" s="7" t="str">
        <f>IF(Notes!CB174="","",Notes!CB174)</f>
        <v/>
      </c>
      <c r="E178" s="7" t="str">
        <f>IF(Notes!CC174="","",Notes!CC174)</f>
        <v/>
      </c>
      <c r="F178" s="7" t="str">
        <f>IF(Notes!CD174="","",Notes!CD174)</f>
        <v/>
      </c>
      <c r="G178" s="7" t="str">
        <f>IF(Notes!CE174="","",Notes!CE174)</f>
        <v/>
      </c>
      <c r="H178" s="7" t="str">
        <f>IF(Notes!CF174="","",Notes!CF174)</f>
        <v/>
      </c>
      <c r="I178" s="7"/>
      <c r="J178" s="7"/>
      <c r="K178" s="7"/>
    </row>
    <row r="179" spans="1:11" x14ac:dyDescent="0.35">
      <c r="A179" s="7" t="str">
        <f>IF(Notes!BY175="","",Notes!BY175)</f>
        <v/>
      </c>
      <c r="B179" s="7" t="str">
        <f>IF(Notes!BZ175="","",Notes!BZ175)</f>
        <v/>
      </c>
      <c r="C179" s="7" t="str">
        <f>IF(Notes!CA175="","",Notes!CA175)</f>
        <v/>
      </c>
      <c r="D179" s="7" t="str">
        <f>IF(Notes!CB175="","",Notes!CB175)</f>
        <v/>
      </c>
      <c r="E179" s="7" t="str">
        <f>IF(Notes!CC175="","",Notes!CC175)</f>
        <v/>
      </c>
      <c r="F179" s="7" t="str">
        <f>IF(Notes!CD175="","",Notes!CD175)</f>
        <v/>
      </c>
      <c r="G179" s="7" t="str">
        <f>IF(Notes!CE175="","",Notes!CE175)</f>
        <v/>
      </c>
      <c r="H179" s="7" t="str">
        <f>IF(Notes!CF175="","",Notes!CF175)</f>
        <v/>
      </c>
      <c r="I179" s="7"/>
      <c r="J179" s="7"/>
      <c r="K179" s="7"/>
    </row>
    <row r="180" spans="1:11" x14ac:dyDescent="0.35">
      <c r="A180" s="7" t="str">
        <f>IF(Notes!BY176="","",Notes!BY176)</f>
        <v/>
      </c>
      <c r="B180" s="7" t="str">
        <f>IF(Notes!BZ176="","",Notes!BZ176)</f>
        <v/>
      </c>
      <c r="C180" s="7" t="str">
        <f>IF(Notes!CA176="","",Notes!CA176)</f>
        <v/>
      </c>
      <c r="D180" s="7" t="str">
        <f>IF(Notes!CB176="","",Notes!CB176)</f>
        <v/>
      </c>
      <c r="E180" s="7" t="str">
        <f>IF(Notes!CC176="","",Notes!CC176)</f>
        <v/>
      </c>
      <c r="F180" s="7" t="str">
        <f>IF(Notes!CD176="","",Notes!CD176)</f>
        <v/>
      </c>
      <c r="G180" s="7" t="str">
        <f>IF(Notes!CE176="","",Notes!CE176)</f>
        <v/>
      </c>
      <c r="H180" s="7" t="str">
        <f>IF(Notes!CF176="","",Notes!CF176)</f>
        <v/>
      </c>
      <c r="I180" s="7"/>
      <c r="J180" s="7"/>
      <c r="K180" s="7"/>
    </row>
    <row r="181" spans="1:11" x14ac:dyDescent="0.35">
      <c r="A181" s="7" t="str">
        <f>IF(Notes!BY177="","",Notes!BY177)</f>
        <v/>
      </c>
      <c r="B181" s="7" t="str">
        <f>IF(Notes!BZ177="","",Notes!BZ177)</f>
        <v/>
      </c>
      <c r="C181" s="7" t="str">
        <f>IF(Notes!CA177="","",Notes!CA177)</f>
        <v/>
      </c>
      <c r="D181" s="7" t="str">
        <f>IF(Notes!CB177="","",Notes!CB177)</f>
        <v/>
      </c>
      <c r="E181" s="7" t="str">
        <f>IF(Notes!CC177="","",Notes!CC177)</f>
        <v/>
      </c>
      <c r="F181" s="7" t="str">
        <f>IF(Notes!CD177="","",Notes!CD177)</f>
        <v/>
      </c>
      <c r="G181" s="7" t="str">
        <f>IF(Notes!CE177="","",Notes!CE177)</f>
        <v/>
      </c>
      <c r="H181" s="7" t="str">
        <f>IF(Notes!CF177="","",Notes!CF177)</f>
        <v/>
      </c>
      <c r="I181" s="7"/>
      <c r="J181" s="7"/>
      <c r="K181" s="7"/>
    </row>
    <row r="182" spans="1:11" x14ac:dyDescent="0.35">
      <c r="A182" s="7" t="str">
        <f>IF(Notes!BY178="","",Notes!BY178)</f>
        <v/>
      </c>
      <c r="B182" s="7" t="str">
        <f>IF(Notes!BZ178="","",Notes!BZ178)</f>
        <v/>
      </c>
      <c r="C182" s="7" t="str">
        <f>IF(Notes!CA178="","",Notes!CA178)</f>
        <v/>
      </c>
      <c r="D182" s="7" t="str">
        <f>IF(Notes!CB178="","",Notes!CB178)</f>
        <v/>
      </c>
      <c r="E182" s="7" t="str">
        <f>IF(Notes!CC178="","",Notes!CC178)</f>
        <v/>
      </c>
      <c r="F182" s="7" t="str">
        <f>IF(Notes!CD178="","",Notes!CD178)</f>
        <v/>
      </c>
      <c r="G182" s="7" t="str">
        <f>IF(Notes!CE178="","",Notes!CE178)</f>
        <v/>
      </c>
      <c r="H182" s="7" t="str">
        <f>IF(Notes!CF178="","",Notes!CF178)</f>
        <v/>
      </c>
      <c r="I182" s="7"/>
      <c r="J182" s="7"/>
      <c r="K182" s="7"/>
    </row>
    <row r="183" spans="1:11" x14ac:dyDescent="0.35">
      <c r="A183" s="7" t="str">
        <f>IF(Notes!BY179="","",Notes!BY179)</f>
        <v/>
      </c>
      <c r="B183" s="7" t="str">
        <f>IF(Notes!BZ179="","",Notes!BZ179)</f>
        <v/>
      </c>
      <c r="C183" s="7" t="str">
        <f>IF(Notes!CA179="","",Notes!CA179)</f>
        <v/>
      </c>
      <c r="D183" s="7" t="str">
        <f>IF(Notes!CB179="","",Notes!CB179)</f>
        <v/>
      </c>
      <c r="E183" s="7" t="str">
        <f>IF(Notes!CC179="","",Notes!CC179)</f>
        <v/>
      </c>
      <c r="F183" s="7" t="str">
        <f>IF(Notes!CD179="","",Notes!CD179)</f>
        <v/>
      </c>
      <c r="G183" s="7" t="str">
        <f>IF(Notes!CE179="","",Notes!CE179)</f>
        <v/>
      </c>
      <c r="H183" s="7" t="str">
        <f>IF(Notes!CF179="","",Notes!CF179)</f>
        <v/>
      </c>
      <c r="I183" s="7"/>
      <c r="J183" s="7"/>
      <c r="K183" s="7"/>
    </row>
    <row r="184" spans="1:11" x14ac:dyDescent="0.35">
      <c r="A184" s="7" t="str">
        <f>IF(Notes!BY180="","",Notes!BY180)</f>
        <v/>
      </c>
      <c r="B184" s="7" t="str">
        <f>IF(Notes!BZ180="","",Notes!BZ180)</f>
        <v/>
      </c>
      <c r="C184" s="7" t="str">
        <f>IF(Notes!CA180="","",Notes!CA180)</f>
        <v/>
      </c>
      <c r="D184" s="7" t="str">
        <f>IF(Notes!CB180="","",Notes!CB180)</f>
        <v/>
      </c>
      <c r="E184" s="7" t="str">
        <f>IF(Notes!CC180="","",Notes!CC180)</f>
        <v/>
      </c>
      <c r="F184" s="7" t="str">
        <f>IF(Notes!CD180="","",Notes!CD180)</f>
        <v/>
      </c>
      <c r="G184" s="7" t="str">
        <f>IF(Notes!CE180="","",Notes!CE180)</f>
        <v/>
      </c>
      <c r="H184" s="7" t="str">
        <f>IF(Notes!CF180="","",Notes!CF180)</f>
        <v/>
      </c>
      <c r="I184" s="7"/>
      <c r="J184" s="7"/>
      <c r="K184" s="7"/>
    </row>
    <row r="185" spans="1:11" x14ac:dyDescent="0.35">
      <c r="A185" s="7" t="str">
        <f>IF(Notes!BY181="","",Notes!BY181)</f>
        <v/>
      </c>
      <c r="B185" s="7" t="str">
        <f>IF(Notes!BZ181="","",Notes!BZ181)</f>
        <v/>
      </c>
      <c r="C185" s="7" t="str">
        <f>IF(Notes!CA181="","",Notes!CA181)</f>
        <v/>
      </c>
      <c r="D185" s="7" t="str">
        <f>IF(Notes!CB181="","",Notes!CB181)</f>
        <v/>
      </c>
      <c r="E185" s="7" t="str">
        <f>IF(Notes!CC181="","",Notes!CC181)</f>
        <v/>
      </c>
      <c r="F185" s="7" t="str">
        <f>IF(Notes!CD181="","",Notes!CD181)</f>
        <v/>
      </c>
      <c r="G185" s="7" t="str">
        <f>IF(Notes!CE181="","",Notes!CE181)</f>
        <v/>
      </c>
      <c r="H185" s="7" t="str">
        <f>IF(Notes!CF181="","",Notes!CF181)</f>
        <v/>
      </c>
      <c r="I185" s="7"/>
      <c r="J185" s="7"/>
      <c r="K185" s="7"/>
    </row>
    <row r="186" spans="1:11" x14ac:dyDescent="0.35">
      <c r="A186" s="7" t="str">
        <f>IF(Notes!BY182="","",Notes!BY182)</f>
        <v/>
      </c>
      <c r="B186" s="7" t="str">
        <f>IF(Notes!BZ182="","",Notes!BZ182)</f>
        <v/>
      </c>
      <c r="C186" s="7" t="str">
        <f>IF(Notes!CA182="","",Notes!CA182)</f>
        <v/>
      </c>
      <c r="D186" s="7" t="str">
        <f>IF(Notes!CB182="","",Notes!CB182)</f>
        <v/>
      </c>
      <c r="E186" s="7" t="str">
        <f>IF(Notes!CC182="","",Notes!CC182)</f>
        <v/>
      </c>
      <c r="F186" s="7" t="str">
        <f>IF(Notes!CD182="","",Notes!CD182)</f>
        <v/>
      </c>
      <c r="G186" s="7" t="str">
        <f>IF(Notes!CE182="","",Notes!CE182)</f>
        <v/>
      </c>
      <c r="H186" s="7" t="str">
        <f>IF(Notes!CF182="","",Notes!CF182)</f>
        <v/>
      </c>
      <c r="I186" s="7"/>
      <c r="J186" s="7"/>
      <c r="K186" s="7"/>
    </row>
    <row r="187" spans="1:11" x14ac:dyDescent="0.35">
      <c r="A187" s="7" t="str">
        <f>IF(Notes!BY183="","",Notes!BY183)</f>
        <v/>
      </c>
      <c r="B187" s="7" t="str">
        <f>IF(Notes!BZ183="","",Notes!BZ183)</f>
        <v/>
      </c>
      <c r="C187" s="7" t="str">
        <f>IF(Notes!CA183="","",Notes!CA183)</f>
        <v/>
      </c>
      <c r="D187" s="7" t="str">
        <f>IF(Notes!CB183="","",Notes!CB183)</f>
        <v/>
      </c>
      <c r="E187" s="7" t="str">
        <f>IF(Notes!CC183="","",Notes!CC183)</f>
        <v/>
      </c>
      <c r="F187" s="7" t="str">
        <f>IF(Notes!CD183="","",Notes!CD183)</f>
        <v/>
      </c>
      <c r="G187" s="7" t="str">
        <f>IF(Notes!CE183="","",Notes!CE183)</f>
        <v/>
      </c>
      <c r="H187" s="7" t="str">
        <f>IF(Notes!CF183="","",Notes!CF183)</f>
        <v/>
      </c>
      <c r="I187" s="7"/>
      <c r="J187" s="7"/>
      <c r="K187" s="7"/>
    </row>
    <row r="188" spans="1:11" x14ac:dyDescent="0.35">
      <c r="A188" s="7" t="str">
        <f>IF(Notes!BY184="","",Notes!BY184)</f>
        <v/>
      </c>
      <c r="B188" s="7" t="str">
        <f>IF(Notes!BZ184="","",Notes!BZ184)</f>
        <v/>
      </c>
      <c r="C188" s="7" t="str">
        <f>IF(Notes!CA184="","",Notes!CA184)</f>
        <v/>
      </c>
      <c r="D188" s="7" t="str">
        <f>IF(Notes!CB184="","",Notes!CB184)</f>
        <v/>
      </c>
      <c r="E188" s="7" t="str">
        <f>IF(Notes!CC184="","",Notes!CC184)</f>
        <v/>
      </c>
      <c r="F188" s="7" t="str">
        <f>IF(Notes!CD184="","",Notes!CD184)</f>
        <v/>
      </c>
      <c r="G188" s="7" t="str">
        <f>IF(Notes!CE184="","",Notes!CE184)</f>
        <v/>
      </c>
      <c r="H188" s="7" t="str">
        <f>IF(Notes!CF184="","",Notes!CF184)</f>
        <v/>
      </c>
      <c r="I188" s="7"/>
      <c r="J188" s="7"/>
      <c r="K188" s="7"/>
    </row>
    <row r="189" spans="1:11" x14ac:dyDescent="0.35">
      <c r="A189" s="7" t="str">
        <f>IF(Notes!BY185="","",Notes!BY185)</f>
        <v/>
      </c>
      <c r="B189" s="7" t="str">
        <f>IF(Notes!BZ185="","",Notes!BZ185)</f>
        <v/>
      </c>
      <c r="C189" s="7" t="str">
        <f>IF(Notes!CA185="","",Notes!CA185)</f>
        <v/>
      </c>
      <c r="D189" s="7" t="str">
        <f>IF(Notes!CB185="","",Notes!CB185)</f>
        <v/>
      </c>
      <c r="E189" s="7" t="str">
        <f>IF(Notes!CC185="","",Notes!CC185)</f>
        <v/>
      </c>
      <c r="F189" s="7" t="str">
        <f>IF(Notes!CD185="","",Notes!CD185)</f>
        <v/>
      </c>
      <c r="G189" s="7" t="str">
        <f>IF(Notes!CE185="","",Notes!CE185)</f>
        <v/>
      </c>
      <c r="H189" s="7" t="str">
        <f>IF(Notes!CF185="","",Notes!CF185)</f>
        <v/>
      </c>
      <c r="I189" s="7"/>
      <c r="J189" s="7"/>
      <c r="K189" s="7"/>
    </row>
    <row r="190" spans="1:11" x14ac:dyDescent="0.35">
      <c r="A190" s="7" t="str">
        <f>IF(Notes!BY186="","",Notes!BY186)</f>
        <v/>
      </c>
      <c r="B190" s="7" t="str">
        <f>IF(Notes!BZ186="","",Notes!BZ186)</f>
        <v/>
      </c>
      <c r="C190" s="7" t="str">
        <f>IF(Notes!CA186="","",Notes!CA186)</f>
        <v/>
      </c>
      <c r="D190" s="7" t="str">
        <f>IF(Notes!CB186="","",Notes!CB186)</f>
        <v/>
      </c>
      <c r="E190" s="7" t="str">
        <f>IF(Notes!CC186="","",Notes!CC186)</f>
        <v/>
      </c>
      <c r="F190" s="7" t="str">
        <f>IF(Notes!CD186="","",Notes!CD186)</f>
        <v/>
      </c>
      <c r="G190" s="7" t="str">
        <f>IF(Notes!CE186="","",Notes!CE186)</f>
        <v/>
      </c>
      <c r="H190" s="7" t="str">
        <f>IF(Notes!CF186="","",Notes!CF186)</f>
        <v/>
      </c>
      <c r="I190" s="7"/>
      <c r="J190" s="7"/>
      <c r="K190" s="7"/>
    </row>
    <row r="191" spans="1:11" x14ac:dyDescent="0.35">
      <c r="A191" s="7" t="str">
        <f>IF(Notes!BY187="","",Notes!BY187)</f>
        <v/>
      </c>
      <c r="B191" s="7" t="str">
        <f>IF(Notes!BZ187="","",Notes!BZ187)</f>
        <v/>
      </c>
      <c r="C191" s="7" t="str">
        <f>IF(Notes!CA187="","",Notes!CA187)</f>
        <v/>
      </c>
      <c r="D191" s="7" t="str">
        <f>IF(Notes!CB187="","",Notes!CB187)</f>
        <v/>
      </c>
      <c r="E191" s="7" t="str">
        <f>IF(Notes!CC187="","",Notes!CC187)</f>
        <v/>
      </c>
      <c r="F191" s="7" t="str">
        <f>IF(Notes!CD187="","",Notes!CD187)</f>
        <v/>
      </c>
      <c r="G191" s="7" t="str">
        <f>IF(Notes!CE187="","",Notes!CE187)</f>
        <v/>
      </c>
      <c r="H191" s="7" t="str">
        <f>IF(Notes!CF187="","",Notes!CF187)</f>
        <v/>
      </c>
      <c r="I191" s="7"/>
      <c r="J191" s="7"/>
      <c r="K191" s="7"/>
    </row>
    <row r="192" spans="1:11" x14ac:dyDescent="0.35">
      <c r="A192" s="7" t="str">
        <f>IF(Notes!BY188="","",Notes!BY188)</f>
        <v/>
      </c>
      <c r="B192" s="7" t="str">
        <f>IF(Notes!BZ188="","",Notes!BZ188)</f>
        <v/>
      </c>
      <c r="C192" s="7" t="str">
        <f>IF(Notes!CA188="","",Notes!CA188)</f>
        <v/>
      </c>
      <c r="D192" s="7" t="str">
        <f>IF(Notes!CB188="","",Notes!CB188)</f>
        <v/>
      </c>
      <c r="E192" s="7" t="str">
        <f>IF(Notes!CC188="","",Notes!CC188)</f>
        <v/>
      </c>
      <c r="F192" s="7" t="str">
        <f>IF(Notes!CD188="","",Notes!CD188)</f>
        <v/>
      </c>
      <c r="G192" s="7" t="str">
        <f>IF(Notes!CE188="","",Notes!CE188)</f>
        <v/>
      </c>
      <c r="H192" s="7" t="str">
        <f>IF(Notes!CF188="","",Notes!CF188)</f>
        <v/>
      </c>
      <c r="I192" s="7"/>
      <c r="J192" s="7"/>
      <c r="K192" s="7"/>
    </row>
    <row r="193" spans="1:11" x14ac:dyDescent="0.35">
      <c r="A193" s="7" t="str">
        <f>IF(Notes!BY189="","",Notes!BY189)</f>
        <v/>
      </c>
      <c r="B193" s="7" t="str">
        <f>IF(Notes!BZ189="","",Notes!BZ189)</f>
        <v/>
      </c>
      <c r="C193" s="7" t="str">
        <f>IF(Notes!CA189="","",Notes!CA189)</f>
        <v/>
      </c>
      <c r="D193" s="7" t="str">
        <f>IF(Notes!CB189="","",Notes!CB189)</f>
        <v/>
      </c>
      <c r="E193" s="7" t="str">
        <f>IF(Notes!CC189="","",Notes!CC189)</f>
        <v/>
      </c>
      <c r="F193" s="7" t="str">
        <f>IF(Notes!CD189="","",Notes!CD189)</f>
        <v/>
      </c>
      <c r="G193" s="7" t="str">
        <f>IF(Notes!CE189="","",Notes!CE189)</f>
        <v/>
      </c>
      <c r="H193" s="7" t="str">
        <f>IF(Notes!CF189="","",Notes!CF189)</f>
        <v/>
      </c>
      <c r="I193" s="7"/>
      <c r="J193" s="7"/>
      <c r="K193" s="7"/>
    </row>
    <row r="194" spans="1:11" x14ac:dyDescent="0.35">
      <c r="A194" s="7" t="str">
        <f>IF(Notes!BY190="","",Notes!BY190)</f>
        <v/>
      </c>
      <c r="B194" s="7" t="str">
        <f>IF(Notes!BZ190="","",Notes!BZ190)</f>
        <v/>
      </c>
      <c r="C194" s="7" t="str">
        <f>IF(Notes!CA190="","",Notes!CA190)</f>
        <v/>
      </c>
      <c r="D194" s="7" t="str">
        <f>IF(Notes!CB190="","",Notes!CB190)</f>
        <v/>
      </c>
      <c r="E194" s="7" t="str">
        <f>IF(Notes!CC190="","",Notes!CC190)</f>
        <v/>
      </c>
      <c r="F194" s="7" t="str">
        <f>IF(Notes!CD190="","",Notes!CD190)</f>
        <v/>
      </c>
      <c r="G194" s="7" t="str">
        <f>IF(Notes!CE190="","",Notes!CE190)</f>
        <v/>
      </c>
      <c r="H194" s="7" t="str">
        <f>IF(Notes!CF190="","",Notes!CF190)</f>
        <v/>
      </c>
      <c r="I194" s="7"/>
      <c r="J194" s="7"/>
      <c r="K194" s="7"/>
    </row>
    <row r="195" spans="1:11" x14ac:dyDescent="0.35">
      <c r="A195" s="7" t="str">
        <f>IF(Notes!BY191="","",Notes!BY191)</f>
        <v/>
      </c>
      <c r="B195" s="7" t="str">
        <f>IF(Notes!BZ191="","",Notes!BZ191)</f>
        <v/>
      </c>
      <c r="C195" s="7" t="str">
        <f>IF(Notes!CA191="","",Notes!CA191)</f>
        <v/>
      </c>
      <c r="D195" s="7" t="str">
        <f>IF(Notes!CB191="","",Notes!CB191)</f>
        <v/>
      </c>
      <c r="E195" s="7" t="str">
        <f>IF(Notes!CC191="","",Notes!CC191)</f>
        <v/>
      </c>
      <c r="F195" s="7" t="str">
        <f>IF(Notes!CD191="","",Notes!CD191)</f>
        <v/>
      </c>
      <c r="G195" s="7" t="str">
        <f>IF(Notes!CE191="","",Notes!CE191)</f>
        <v/>
      </c>
      <c r="H195" s="7" t="str">
        <f>IF(Notes!CF191="","",Notes!CF191)</f>
        <v/>
      </c>
      <c r="I195" s="7"/>
      <c r="J195" s="7"/>
      <c r="K195" s="7"/>
    </row>
    <row r="196" spans="1:11" x14ac:dyDescent="0.35">
      <c r="A196" s="7" t="str">
        <f>IF(Notes!BY192="","",Notes!BY192)</f>
        <v/>
      </c>
      <c r="B196" s="7" t="str">
        <f>IF(Notes!BZ192="","",Notes!BZ192)</f>
        <v/>
      </c>
      <c r="C196" s="7" t="str">
        <f>IF(Notes!CA192="","",Notes!CA192)</f>
        <v/>
      </c>
      <c r="D196" s="7" t="str">
        <f>IF(Notes!CB192="","",Notes!CB192)</f>
        <v/>
      </c>
      <c r="E196" s="7" t="str">
        <f>IF(Notes!CC192="","",Notes!CC192)</f>
        <v/>
      </c>
      <c r="F196" s="7" t="str">
        <f>IF(Notes!CD192="","",Notes!CD192)</f>
        <v/>
      </c>
      <c r="G196" s="7" t="str">
        <f>IF(Notes!CE192="","",Notes!CE192)</f>
        <v/>
      </c>
      <c r="H196" s="7" t="str">
        <f>IF(Notes!CF192="","",Notes!CF192)</f>
        <v/>
      </c>
      <c r="I196" s="7"/>
      <c r="J196" s="7"/>
      <c r="K196" s="7"/>
    </row>
    <row r="197" spans="1:11" x14ac:dyDescent="0.35">
      <c r="A197" s="7" t="str">
        <f>IF(Notes!BY193="","",Notes!BY193)</f>
        <v/>
      </c>
      <c r="B197" s="7" t="str">
        <f>IF(Notes!BZ193="","",Notes!BZ193)</f>
        <v/>
      </c>
      <c r="C197" s="7" t="str">
        <f>IF(Notes!CA193="","",Notes!CA193)</f>
        <v/>
      </c>
      <c r="D197" s="7" t="str">
        <f>IF(Notes!CB193="","",Notes!CB193)</f>
        <v/>
      </c>
      <c r="E197" s="7" t="str">
        <f>IF(Notes!CC193="","",Notes!CC193)</f>
        <v/>
      </c>
      <c r="F197" s="7" t="str">
        <f>IF(Notes!CD193="","",Notes!CD193)</f>
        <v/>
      </c>
      <c r="G197" s="7" t="str">
        <f>IF(Notes!CE193="","",Notes!CE193)</f>
        <v/>
      </c>
      <c r="H197" s="7" t="str">
        <f>IF(Notes!CF193="","",Notes!CF193)</f>
        <v/>
      </c>
      <c r="I197" s="7"/>
      <c r="J197" s="7"/>
      <c r="K197" s="7"/>
    </row>
    <row r="198" spans="1:11" x14ac:dyDescent="0.35">
      <c r="A198" s="7" t="str">
        <f>IF(Notes!BY194="","",Notes!BY194)</f>
        <v/>
      </c>
      <c r="B198" s="7" t="str">
        <f>IF(Notes!BZ194="","",Notes!BZ194)</f>
        <v/>
      </c>
      <c r="C198" s="7" t="str">
        <f>IF(Notes!CA194="","",Notes!CA194)</f>
        <v/>
      </c>
      <c r="D198" s="7" t="str">
        <f>IF(Notes!CB194="","",Notes!CB194)</f>
        <v/>
      </c>
      <c r="E198" s="7" t="str">
        <f>IF(Notes!CC194="","",Notes!CC194)</f>
        <v/>
      </c>
      <c r="F198" s="7" t="str">
        <f>IF(Notes!CD194="","",Notes!CD194)</f>
        <v/>
      </c>
      <c r="G198" s="7" t="str">
        <f>IF(Notes!CE194="","",Notes!CE194)</f>
        <v/>
      </c>
      <c r="H198" s="7" t="str">
        <f>IF(Notes!CF194="","",Notes!CF194)</f>
        <v/>
      </c>
      <c r="I198" s="7"/>
      <c r="J198" s="7"/>
      <c r="K198" s="7"/>
    </row>
    <row r="199" spans="1:11" x14ac:dyDescent="0.35">
      <c r="A199" s="7" t="str">
        <f>IF(Notes!BY195="","",Notes!BY195)</f>
        <v/>
      </c>
      <c r="B199" s="7" t="str">
        <f>IF(Notes!BZ195="","",Notes!BZ195)</f>
        <v/>
      </c>
      <c r="C199" s="7" t="str">
        <f>IF(Notes!CA195="","",Notes!CA195)</f>
        <v/>
      </c>
      <c r="D199" s="7" t="str">
        <f>IF(Notes!CB195="","",Notes!CB195)</f>
        <v/>
      </c>
      <c r="E199" s="7" t="str">
        <f>IF(Notes!CC195="","",Notes!CC195)</f>
        <v/>
      </c>
      <c r="F199" s="7" t="str">
        <f>IF(Notes!CD195="","",Notes!CD195)</f>
        <v/>
      </c>
      <c r="G199" s="7" t="str">
        <f>IF(Notes!CE195="","",Notes!CE195)</f>
        <v/>
      </c>
      <c r="H199" s="7" t="str">
        <f>IF(Notes!CF195="","",Notes!CF195)</f>
        <v/>
      </c>
      <c r="I199" s="7"/>
      <c r="J199" s="7"/>
      <c r="K199" s="7"/>
    </row>
    <row r="200" spans="1:11" x14ac:dyDescent="0.35">
      <c r="A200" s="7" t="str">
        <f>IF(Notes!BY196="","",Notes!BY196)</f>
        <v/>
      </c>
      <c r="B200" s="7" t="str">
        <f>IF(Notes!BZ196="","",Notes!BZ196)</f>
        <v/>
      </c>
      <c r="C200" s="7" t="str">
        <f>IF(Notes!CA196="","",Notes!CA196)</f>
        <v/>
      </c>
      <c r="D200" s="7" t="str">
        <f>IF(Notes!CB196="","",Notes!CB196)</f>
        <v/>
      </c>
      <c r="E200" s="7" t="str">
        <f>IF(Notes!CC196="","",Notes!CC196)</f>
        <v/>
      </c>
      <c r="F200" s="7" t="str">
        <f>IF(Notes!CD196="","",Notes!CD196)</f>
        <v/>
      </c>
      <c r="G200" s="7" t="str">
        <f>IF(Notes!CE196="","",Notes!CE196)</f>
        <v/>
      </c>
      <c r="H200" s="7" t="str">
        <f>IF(Notes!CF196="","",Notes!CF196)</f>
        <v/>
      </c>
      <c r="I200" s="7"/>
      <c r="J200" s="7"/>
      <c r="K200" s="7"/>
    </row>
    <row r="201" spans="1:11" x14ac:dyDescent="0.35">
      <c r="A201" s="7" t="str">
        <f>IF(Notes!BY197="","",Notes!BY197)</f>
        <v/>
      </c>
      <c r="B201" s="7" t="str">
        <f>IF(Notes!BZ197="","",Notes!BZ197)</f>
        <v/>
      </c>
      <c r="C201" s="7" t="str">
        <f>IF(Notes!CA197="","",Notes!CA197)</f>
        <v/>
      </c>
      <c r="D201" s="7" t="str">
        <f>IF(Notes!CB197="","",Notes!CB197)</f>
        <v/>
      </c>
      <c r="E201" s="7" t="str">
        <f>IF(Notes!CC197="","",Notes!CC197)</f>
        <v/>
      </c>
      <c r="F201" s="7" t="str">
        <f>IF(Notes!CD197="","",Notes!CD197)</f>
        <v/>
      </c>
      <c r="G201" s="7" t="str">
        <f>IF(Notes!CE197="","",Notes!CE197)</f>
        <v/>
      </c>
      <c r="H201" s="7" t="str">
        <f>IF(Notes!CF197="","",Notes!CF197)</f>
        <v/>
      </c>
      <c r="I201" s="7"/>
      <c r="J201" s="7"/>
      <c r="K201" s="7"/>
    </row>
    <row r="202" spans="1:11" x14ac:dyDescent="0.35">
      <c r="A202" s="7" t="str">
        <f>IF(Notes!BY198="","",Notes!BY198)</f>
        <v/>
      </c>
      <c r="B202" s="7" t="str">
        <f>IF(Notes!BZ198="","",Notes!BZ198)</f>
        <v/>
      </c>
      <c r="C202" s="7" t="str">
        <f>IF(Notes!CA198="","",Notes!CA198)</f>
        <v/>
      </c>
      <c r="D202" s="7" t="str">
        <f>IF(Notes!CB198="","",Notes!CB198)</f>
        <v/>
      </c>
      <c r="E202" s="7" t="str">
        <f>IF(Notes!CC198="","",Notes!CC198)</f>
        <v/>
      </c>
      <c r="F202" s="7" t="str">
        <f>IF(Notes!CD198="","",Notes!CD198)</f>
        <v/>
      </c>
      <c r="G202" s="7" t="str">
        <f>IF(Notes!CE198="","",Notes!CE198)</f>
        <v/>
      </c>
      <c r="H202" s="7" t="str">
        <f>IF(Notes!CF198="","",Notes!CF198)</f>
        <v/>
      </c>
      <c r="I202" s="7"/>
      <c r="J202" s="7"/>
      <c r="K202" s="7"/>
    </row>
    <row r="203" spans="1:11" x14ac:dyDescent="0.35">
      <c r="A203" s="7" t="str">
        <f>IF(Notes!BY199="","",Notes!BY199)</f>
        <v/>
      </c>
      <c r="B203" s="7" t="str">
        <f>IF(Notes!BZ199="","",Notes!BZ199)</f>
        <v/>
      </c>
      <c r="C203" s="7" t="str">
        <f>IF(Notes!CA199="","",Notes!CA199)</f>
        <v/>
      </c>
      <c r="D203" s="7" t="str">
        <f>IF(Notes!CB199="","",Notes!CB199)</f>
        <v/>
      </c>
      <c r="E203" s="7" t="str">
        <f>IF(Notes!CC199="","",Notes!CC199)</f>
        <v/>
      </c>
      <c r="F203" s="7" t="str">
        <f>IF(Notes!CD199="","",Notes!CD199)</f>
        <v/>
      </c>
      <c r="G203" s="7" t="str">
        <f>IF(Notes!CE199="","",Notes!CE199)</f>
        <v/>
      </c>
      <c r="H203" s="7" t="str">
        <f>IF(Notes!CF199="","",Notes!CF199)</f>
        <v/>
      </c>
      <c r="I203" s="7"/>
      <c r="J203" s="7"/>
      <c r="K203" s="7"/>
    </row>
    <row r="204" spans="1:11" x14ac:dyDescent="0.35">
      <c r="A204" s="7" t="str">
        <f>IF(Notes!BY200="","",Notes!BY200)</f>
        <v/>
      </c>
      <c r="B204" s="7" t="str">
        <f>IF(Notes!BZ200="","",Notes!BZ200)</f>
        <v/>
      </c>
      <c r="C204" s="7" t="str">
        <f>IF(Notes!CA200="","",Notes!CA200)</f>
        <v/>
      </c>
      <c r="D204" s="7" t="str">
        <f>IF(Notes!CB200="","",Notes!CB200)</f>
        <v/>
      </c>
      <c r="E204" s="7" t="str">
        <f>IF(Notes!CC200="","",Notes!CC200)</f>
        <v/>
      </c>
      <c r="F204" s="7" t="str">
        <f>IF(Notes!CD200="","",Notes!CD200)</f>
        <v/>
      </c>
      <c r="G204" s="7" t="str">
        <f>IF(Notes!CE200="","",Notes!CE200)</f>
        <v/>
      </c>
      <c r="H204" s="7" t="str">
        <f>IF(Notes!CF200="","",Notes!CF200)</f>
        <v/>
      </c>
      <c r="I204" s="7"/>
      <c r="J204" s="7"/>
      <c r="K204" s="7"/>
    </row>
    <row r="205" spans="1:11" x14ac:dyDescent="0.35">
      <c r="A205" s="7" t="str">
        <f>IF(Notes!BY201="","",Notes!BY201)</f>
        <v/>
      </c>
      <c r="B205" s="7" t="str">
        <f>IF(Notes!BZ201="","",Notes!BZ201)</f>
        <v/>
      </c>
      <c r="C205" s="7" t="str">
        <f>IF(Notes!CA201="","",Notes!CA201)</f>
        <v/>
      </c>
      <c r="D205" s="7" t="str">
        <f>IF(Notes!CB201="","",Notes!CB201)</f>
        <v/>
      </c>
      <c r="E205" s="7" t="str">
        <f>IF(Notes!CC201="","",Notes!CC201)</f>
        <v/>
      </c>
      <c r="F205" s="7" t="str">
        <f>IF(Notes!CD201="","",Notes!CD201)</f>
        <v/>
      </c>
      <c r="G205" s="7" t="str">
        <f>IF(Notes!CE201="","",Notes!CE201)</f>
        <v/>
      </c>
      <c r="H205" s="7" t="str">
        <f>IF(Notes!CF201="","",Notes!CF201)</f>
        <v/>
      </c>
      <c r="I205" s="7"/>
      <c r="J205" s="7"/>
      <c r="K205" s="7"/>
    </row>
    <row r="206" spans="1:11" x14ac:dyDescent="0.35">
      <c r="A206" s="7" t="str">
        <f>IF(Notes!BY202="","",Notes!BY202)</f>
        <v/>
      </c>
      <c r="B206" s="7" t="str">
        <f>IF(Notes!BZ202="","",Notes!BZ202)</f>
        <v/>
      </c>
      <c r="C206" s="7" t="str">
        <f>IF(Notes!CA202="","",Notes!CA202)</f>
        <v/>
      </c>
      <c r="D206" s="7" t="str">
        <f>IF(Notes!CB202="","",Notes!CB202)</f>
        <v/>
      </c>
      <c r="E206" s="7" t="str">
        <f>IF(Notes!CC202="","",Notes!CC202)</f>
        <v/>
      </c>
      <c r="F206" s="7" t="str">
        <f>IF(Notes!CD202="","",Notes!CD202)</f>
        <v/>
      </c>
      <c r="G206" s="7" t="str">
        <f>IF(Notes!CE202="","",Notes!CE202)</f>
        <v/>
      </c>
      <c r="H206" s="7" t="str">
        <f>IF(Notes!CF202="","",Notes!CF202)</f>
        <v/>
      </c>
      <c r="I206" s="7"/>
      <c r="J206" s="7"/>
      <c r="K206" s="7"/>
    </row>
    <row r="207" spans="1:11" x14ac:dyDescent="0.35">
      <c r="A207" s="7" t="str">
        <f>IF(Notes!BY203="","",Notes!BY203)</f>
        <v/>
      </c>
      <c r="B207" s="7" t="str">
        <f>IF(Notes!BZ203="","",Notes!BZ203)</f>
        <v/>
      </c>
      <c r="C207" s="7" t="str">
        <f>IF(Notes!CA203="","",Notes!CA203)</f>
        <v/>
      </c>
      <c r="D207" s="7" t="str">
        <f>IF(Notes!CB203="","",Notes!CB203)</f>
        <v/>
      </c>
      <c r="E207" s="7" t="str">
        <f>IF(Notes!CC203="","",Notes!CC203)</f>
        <v/>
      </c>
      <c r="F207" s="7" t="str">
        <f>IF(Notes!CD203="","",Notes!CD203)</f>
        <v/>
      </c>
      <c r="G207" s="7" t="str">
        <f>IF(Notes!CE203="","",Notes!CE203)</f>
        <v/>
      </c>
      <c r="H207" s="7" t="str">
        <f>IF(Notes!CF203="","",Notes!CF203)</f>
        <v/>
      </c>
      <c r="I207" s="7"/>
      <c r="J207" s="7"/>
      <c r="K207" s="7"/>
    </row>
    <row r="208" spans="1:11" x14ac:dyDescent="0.35">
      <c r="A208" s="7" t="str">
        <f>IF(Notes!BY204="","",Notes!BY204)</f>
        <v/>
      </c>
      <c r="B208" s="7" t="str">
        <f>IF(Notes!BZ204="","",Notes!BZ204)</f>
        <v/>
      </c>
      <c r="C208" s="7" t="str">
        <f>IF(Notes!CA204="","",Notes!CA204)</f>
        <v/>
      </c>
      <c r="D208" s="7" t="str">
        <f>IF(Notes!CB204="","",Notes!CB204)</f>
        <v/>
      </c>
      <c r="E208" s="7" t="str">
        <f>IF(Notes!CC204="","",Notes!CC204)</f>
        <v/>
      </c>
      <c r="F208" s="7" t="str">
        <f>IF(Notes!CD204="","",Notes!CD204)</f>
        <v/>
      </c>
      <c r="G208" s="7" t="str">
        <f>IF(Notes!CE204="","",Notes!CE204)</f>
        <v/>
      </c>
      <c r="H208" s="7" t="str">
        <f>IF(Notes!CF204="","",Notes!CF204)</f>
        <v/>
      </c>
      <c r="I208" s="7"/>
      <c r="J208" s="7"/>
      <c r="K208" s="7"/>
    </row>
    <row r="209" spans="1:11" x14ac:dyDescent="0.35">
      <c r="A209" s="7" t="str">
        <f>IF(Notes!BY205="","",Notes!BY205)</f>
        <v/>
      </c>
      <c r="B209" s="7" t="str">
        <f>IF(Notes!BZ205="","",Notes!BZ205)</f>
        <v/>
      </c>
      <c r="C209" s="7" t="str">
        <f>IF(Notes!CA205="","",Notes!CA205)</f>
        <v/>
      </c>
      <c r="D209" s="7" t="str">
        <f>IF(Notes!CB205="","",Notes!CB205)</f>
        <v/>
      </c>
      <c r="E209" s="7" t="str">
        <f>IF(Notes!CC205="","",Notes!CC205)</f>
        <v/>
      </c>
      <c r="F209" s="7" t="str">
        <f>IF(Notes!CD205="","",Notes!CD205)</f>
        <v/>
      </c>
      <c r="G209" s="7" t="str">
        <f>IF(Notes!CE205="","",Notes!CE205)</f>
        <v/>
      </c>
      <c r="H209" s="7" t="str">
        <f>IF(Notes!CF205="","",Notes!CF205)</f>
        <v/>
      </c>
      <c r="I209" s="7"/>
      <c r="J209" s="7"/>
      <c r="K209" s="7"/>
    </row>
    <row r="210" spans="1:11" x14ac:dyDescent="0.35">
      <c r="A210" s="7" t="str">
        <f>IF(Notes!BY206="","",Notes!BY206)</f>
        <v/>
      </c>
      <c r="B210" s="7" t="str">
        <f>IF(Notes!BZ206="","",Notes!BZ206)</f>
        <v/>
      </c>
      <c r="C210" s="7" t="str">
        <f>IF(Notes!CA206="","",Notes!CA206)</f>
        <v/>
      </c>
      <c r="D210" s="7" t="str">
        <f>IF(Notes!CB206="","",Notes!CB206)</f>
        <v/>
      </c>
      <c r="E210" s="7" t="str">
        <f>IF(Notes!CC206="","",Notes!CC206)</f>
        <v/>
      </c>
      <c r="F210" s="7" t="str">
        <f>IF(Notes!CD206="","",Notes!CD206)</f>
        <v/>
      </c>
      <c r="G210" s="7" t="str">
        <f>IF(Notes!CE206="","",Notes!CE206)</f>
        <v/>
      </c>
      <c r="H210" s="7" t="str">
        <f>IF(Notes!CF206="","",Notes!CF206)</f>
        <v/>
      </c>
      <c r="I210" s="7"/>
      <c r="J210" s="7"/>
      <c r="K210" s="7"/>
    </row>
    <row r="211" spans="1:11" x14ac:dyDescent="0.35">
      <c r="A211" s="7" t="str">
        <f>IF(Notes!BY207="","",Notes!BY207)</f>
        <v/>
      </c>
      <c r="B211" s="7" t="str">
        <f>IF(Notes!BZ207="","",Notes!BZ207)</f>
        <v/>
      </c>
      <c r="C211" s="7" t="str">
        <f>IF(Notes!CA207="","",Notes!CA207)</f>
        <v/>
      </c>
      <c r="D211" s="7" t="str">
        <f>IF(Notes!CB207="","",Notes!CB207)</f>
        <v/>
      </c>
      <c r="E211" s="7" t="str">
        <f>IF(Notes!CC207="","",Notes!CC207)</f>
        <v/>
      </c>
      <c r="F211" s="7" t="str">
        <f>IF(Notes!CD207="","",Notes!CD207)</f>
        <v/>
      </c>
      <c r="G211" s="7" t="str">
        <f>IF(Notes!CE207="","",Notes!CE207)</f>
        <v/>
      </c>
      <c r="H211" s="7" t="str">
        <f>IF(Notes!CF207="","",Notes!CF207)</f>
        <v/>
      </c>
      <c r="I211" s="7"/>
      <c r="J211" s="7"/>
      <c r="K211" s="7"/>
    </row>
    <row r="212" spans="1:11" x14ac:dyDescent="0.35">
      <c r="A212" s="7" t="str">
        <f>IF(Notes!BY208="","",Notes!BY208)</f>
        <v/>
      </c>
      <c r="B212" s="7" t="str">
        <f>IF(Notes!BZ208="","",Notes!BZ208)</f>
        <v/>
      </c>
      <c r="C212" s="7" t="str">
        <f>IF(Notes!CA208="","",Notes!CA208)</f>
        <v/>
      </c>
      <c r="D212" s="7" t="str">
        <f>IF(Notes!CB208="","",Notes!CB208)</f>
        <v/>
      </c>
      <c r="E212" s="7" t="str">
        <f>IF(Notes!CC208="","",Notes!CC208)</f>
        <v/>
      </c>
      <c r="F212" s="7" t="str">
        <f>IF(Notes!CD208="","",Notes!CD208)</f>
        <v/>
      </c>
      <c r="G212" s="7" t="str">
        <f>IF(Notes!CE208="","",Notes!CE208)</f>
        <v/>
      </c>
      <c r="H212" s="7" t="str">
        <f>IF(Notes!CF208="","",Notes!CF208)</f>
        <v/>
      </c>
      <c r="I212" s="7"/>
      <c r="J212" s="7"/>
      <c r="K212" s="7"/>
    </row>
    <row r="213" spans="1:11" x14ac:dyDescent="0.35">
      <c r="A213" s="7" t="str">
        <f>IF(Notes!BY209="","",Notes!BY209)</f>
        <v/>
      </c>
      <c r="B213" s="7" t="str">
        <f>IF(Notes!BZ209="","",Notes!BZ209)</f>
        <v/>
      </c>
      <c r="C213" s="7" t="str">
        <f>IF(Notes!CA209="","",Notes!CA209)</f>
        <v/>
      </c>
      <c r="D213" s="7" t="str">
        <f>IF(Notes!CB209="","",Notes!CB209)</f>
        <v/>
      </c>
      <c r="E213" s="7" t="str">
        <f>IF(Notes!CC209="","",Notes!CC209)</f>
        <v/>
      </c>
      <c r="F213" s="7" t="str">
        <f>IF(Notes!CD209="","",Notes!CD209)</f>
        <v/>
      </c>
      <c r="G213" s="7" t="str">
        <f>IF(Notes!CE209="","",Notes!CE209)</f>
        <v/>
      </c>
      <c r="H213" s="7" t="str">
        <f>IF(Notes!CF209="","",Notes!CF209)</f>
        <v/>
      </c>
      <c r="I213" s="7"/>
      <c r="J213" s="7"/>
      <c r="K213" s="7"/>
    </row>
    <row r="214" spans="1:11" x14ac:dyDescent="0.35">
      <c r="A214" s="7" t="str">
        <f>IF(Notes!BY210="","",Notes!BY210)</f>
        <v/>
      </c>
      <c r="B214" s="7" t="str">
        <f>IF(Notes!BZ210="","",Notes!BZ210)</f>
        <v/>
      </c>
      <c r="C214" s="7" t="str">
        <f>IF(Notes!CA210="","",Notes!CA210)</f>
        <v/>
      </c>
      <c r="D214" s="7" t="str">
        <f>IF(Notes!CB210="","",Notes!CB210)</f>
        <v/>
      </c>
      <c r="E214" s="7" t="str">
        <f>IF(Notes!CC210="","",Notes!CC210)</f>
        <v/>
      </c>
      <c r="F214" s="7" t="str">
        <f>IF(Notes!CD210="","",Notes!CD210)</f>
        <v/>
      </c>
      <c r="G214" s="7" t="str">
        <f>IF(Notes!CE210="","",Notes!CE210)</f>
        <v/>
      </c>
      <c r="H214" s="7" t="str">
        <f>IF(Notes!CF210="","",Notes!CF210)</f>
        <v/>
      </c>
      <c r="I214" s="7"/>
      <c r="J214" s="7"/>
      <c r="K214" s="7"/>
    </row>
    <row r="215" spans="1:11" x14ac:dyDescent="0.35">
      <c r="A215" s="7" t="str">
        <f>IF(Notes!BY211="","",Notes!BY211)</f>
        <v/>
      </c>
      <c r="B215" s="7" t="str">
        <f>IF(Notes!BZ211="","",Notes!BZ211)</f>
        <v/>
      </c>
      <c r="C215" s="7" t="str">
        <f>IF(Notes!CA211="","",Notes!CA211)</f>
        <v/>
      </c>
      <c r="D215" s="7" t="str">
        <f>IF(Notes!CB211="","",Notes!CB211)</f>
        <v/>
      </c>
      <c r="E215" s="7" t="str">
        <f>IF(Notes!CC211="","",Notes!CC211)</f>
        <v/>
      </c>
      <c r="F215" s="7" t="str">
        <f>IF(Notes!CD211="","",Notes!CD211)</f>
        <v/>
      </c>
      <c r="G215" s="7" t="str">
        <f>IF(Notes!CE211="","",Notes!CE211)</f>
        <v/>
      </c>
      <c r="H215" s="7" t="str">
        <f>IF(Notes!CF211="","",Notes!CF211)</f>
        <v/>
      </c>
      <c r="I215" s="7"/>
      <c r="J215" s="7"/>
      <c r="K215" s="7"/>
    </row>
    <row r="216" spans="1:11" x14ac:dyDescent="0.35">
      <c r="A216" s="7" t="str">
        <f>IF(Notes!BY212="","",Notes!BY212)</f>
        <v/>
      </c>
      <c r="B216" s="7" t="str">
        <f>IF(Notes!BZ212="","",Notes!BZ212)</f>
        <v/>
      </c>
      <c r="C216" s="7" t="str">
        <f>IF(Notes!CA212="","",Notes!CA212)</f>
        <v/>
      </c>
      <c r="D216" s="7" t="str">
        <f>IF(Notes!CB212="","",Notes!CB212)</f>
        <v/>
      </c>
      <c r="E216" s="7" t="str">
        <f>IF(Notes!CC212="","",Notes!CC212)</f>
        <v/>
      </c>
      <c r="F216" s="7" t="str">
        <f>IF(Notes!CD212="","",Notes!CD212)</f>
        <v/>
      </c>
      <c r="G216" s="7" t="str">
        <f>IF(Notes!CE212="","",Notes!CE212)</f>
        <v/>
      </c>
      <c r="H216" s="7" t="str">
        <f>IF(Notes!CF212="","",Notes!CF212)</f>
        <v/>
      </c>
      <c r="I216" s="7"/>
      <c r="J216" s="7"/>
      <c r="K216" s="7"/>
    </row>
    <row r="217" spans="1:11" x14ac:dyDescent="0.35">
      <c r="A217" s="7" t="str">
        <f>IF(Notes!BY213="","",Notes!BY213)</f>
        <v/>
      </c>
      <c r="B217" s="7" t="str">
        <f>IF(Notes!BZ213="","",Notes!BZ213)</f>
        <v/>
      </c>
      <c r="C217" s="7" t="str">
        <f>IF(Notes!CA213="","",Notes!CA213)</f>
        <v/>
      </c>
      <c r="D217" s="7" t="str">
        <f>IF(Notes!CB213="","",Notes!CB213)</f>
        <v/>
      </c>
      <c r="E217" s="7" t="str">
        <f>IF(Notes!CC213="","",Notes!CC213)</f>
        <v/>
      </c>
      <c r="F217" s="7" t="str">
        <f>IF(Notes!CD213="","",Notes!CD213)</f>
        <v/>
      </c>
      <c r="G217" s="7" t="str">
        <f>IF(Notes!CE213="","",Notes!CE213)</f>
        <v/>
      </c>
      <c r="H217" s="7" t="str">
        <f>IF(Notes!CF213="","",Notes!CF213)</f>
        <v/>
      </c>
      <c r="I217" s="7"/>
      <c r="J217" s="7"/>
      <c r="K217" s="7"/>
    </row>
    <row r="218" spans="1:11" x14ac:dyDescent="0.35">
      <c r="A218" s="7" t="str">
        <f>IF(Notes!BY214="","",Notes!BY214)</f>
        <v/>
      </c>
      <c r="B218" s="7" t="str">
        <f>IF(Notes!BZ214="","",Notes!BZ214)</f>
        <v/>
      </c>
      <c r="C218" s="7" t="str">
        <f>IF(Notes!CA214="","",Notes!CA214)</f>
        <v/>
      </c>
      <c r="D218" s="7" t="str">
        <f>IF(Notes!CB214="","",Notes!CB214)</f>
        <v/>
      </c>
      <c r="E218" s="7" t="str">
        <f>IF(Notes!CC214="","",Notes!CC214)</f>
        <v/>
      </c>
      <c r="F218" s="7" t="str">
        <f>IF(Notes!CD214="","",Notes!CD214)</f>
        <v/>
      </c>
      <c r="G218" s="7" t="str">
        <f>IF(Notes!CE214="","",Notes!CE214)</f>
        <v/>
      </c>
      <c r="H218" s="7" t="str">
        <f>IF(Notes!CF214="","",Notes!CF214)</f>
        <v/>
      </c>
      <c r="I218" s="7"/>
      <c r="J218" s="7"/>
      <c r="K218" s="7"/>
    </row>
    <row r="219" spans="1:11" x14ac:dyDescent="0.35">
      <c r="A219" s="7" t="str">
        <f>IF(Notes!BY215="","",Notes!BY215)</f>
        <v/>
      </c>
      <c r="B219" s="7" t="str">
        <f>IF(Notes!BZ215="","",Notes!BZ215)</f>
        <v/>
      </c>
      <c r="C219" s="7" t="str">
        <f>IF(Notes!CA215="","",Notes!CA215)</f>
        <v/>
      </c>
      <c r="D219" s="7" t="str">
        <f>IF(Notes!CB215="","",Notes!CB215)</f>
        <v/>
      </c>
      <c r="E219" s="7" t="str">
        <f>IF(Notes!CC215="","",Notes!CC215)</f>
        <v/>
      </c>
      <c r="F219" s="7" t="str">
        <f>IF(Notes!CD215="","",Notes!CD215)</f>
        <v/>
      </c>
      <c r="G219" s="7" t="str">
        <f>IF(Notes!CE215="","",Notes!CE215)</f>
        <v/>
      </c>
      <c r="H219" s="7" t="str">
        <f>IF(Notes!CF215="","",Notes!CF215)</f>
        <v/>
      </c>
      <c r="I219" s="7"/>
      <c r="J219" s="7"/>
      <c r="K219" s="7"/>
    </row>
    <row r="220" spans="1:11" x14ac:dyDescent="0.35">
      <c r="A220" s="7" t="str">
        <f>IF(Notes!BY216="","",Notes!BY216)</f>
        <v/>
      </c>
      <c r="B220" s="7" t="str">
        <f>IF(Notes!BZ216="","",Notes!BZ216)</f>
        <v/>
      </c>
      <c r="C220" s="7" t="str">
        <f>IF(Notes!CA216="","",Notes!CA216)</f>
        <v/>
      </c>
      <c r="D220" s="7" t="str">
        <f>IF(Notes!CB216="","",Notes!CB216)</f>
        <v/>
      </c>
      <c r="E220" s="7" t="str">
        <f>IF(Notes!CC216="","",Notes!CC216)</f>
        <v/>
      </c>
      <c r="F220" s="7" t="str">
        <f>IF(Notes!CD216="","",Notes!CD216)</f>
        <v/>
      </c>
      <c r="G220" s="7" t="str">
        <f>IF(Notes!CE216="","",Notes!CE216)</f>
        <v/>
      </c>
      <c r="H220" s="7" t="str">
        <f>IF(Notes!CF216="","",Notes!CF216)</f>
        <v/>
      </c>
      <c r="I220" s="7"/>
      <c r="J220" s="7"/>
      <c r="K220" s="7"/>
    </row>
    <row r="221" spans="1:11" x14ac:dyDescent="0.35">
      <c r="A221" s="7" t="str">
        <f>IF(Notes!BY217="","",Notes!BY217)</f>
        <v/>
      </c>
      <c r="B221" s="7" t="str">
        <f>IF(Notes!BZ217="","",Notes!BZ217)</f>
        <v/>
      </c>
      <c r="C221" s="7" t="str">
        <f>IF(Notes!CA217="","",Notes!CA217)</f>
        <v/>
      </c>
      <c r="D221" s="7" t="str">
        <f>IF(Notes!CB217="","",Notes!CB217)</f>
        <v/>
      </c>
      <c r="E221" s="7" t="str">
        <f>IF(Notes!CC217="","",Notes!CC217)</f>
        <v/>
      </c>
      <c r="F221" s="7" t="str">
        <f>IF(Notes!CD217="","",Notes!CD217)</f>
        <v/>
      </c>
      <c r="G221" s="7" t="str">
        <f>IF(Notes!CE217="","",Notes!CE217)</f>
        <v/>
      </c>
      <c r="H221" s="7" t="str">
        <f>IF(Notes!CF217="","",Notes!CF217)</f>
        <v/>
      </c>
      <c r="I221" s="7"/>
      <c r="J221" s="7"/>
      <c r="K221" s="7"/>
    </row>
    <row r="222" spans="1:11" x14ac:dyDescent="0.35">
      <c r="A222" s="7" t="str">
        <f>IF(Notes!BY218="","",Notes!BY218)</f>
        <v/>
      </c>
      <c r="B222" s="7" t="str">
        <f>IF(Notes!BZ218="","",Notes!BZ218)</f>
        <v/>
      </c>
      <c r="C222" s="7" t="str">
        <f>IF(Notes!CA218="","",Notes!CA218)</f>
        <v/>
      </c>
      <c r="D222" s="7" t="str">
        <f>IF(Notes!CB218="","",Notes!CB218)</f>
        <v/>
      </c>
      <c r="E222" s="7" t="str">
        <f>IF(Notes!CC218="","",Notes!CC218)</f>
        <v/>
      </c>
      <c r="F222" s="7" t="str">
        <f>IF(Notes!CD218="","",Notes!CD218)</f>
        <v/>
      </c>
      <c r="G222" s="7" t="str">
        <f>IF(Notes!CE218="","",Notes!CE218)</f>
        <v/>
      </c>
      <c r="H222" s="7" t="str">
        <f>IF(Notes!CF218="","",Notes!CF218)</f>
        <v/>
      </c>
      <c r="I222" s="7"/>
      <c r="J222" s="7"/>
      <c r="K222" s="7"/>
    </row>
    <row r="223" spans="1:11" x14ac:dyDescent="0.35">
      <c r="A223" s="7" t="str">
        <f>IF(Notes!BY219="","",Notes!BY219)</f>
        <v/>
      </c>
      <c r="B223" s="7" t="str">
        <f>IF(Notes!BZ219="","",Notes!BZ219)</f>
        <v/>
      </c>
      <c r="C223" s="7" t="str">
        <f>IF(Notes!CA219="","",Notes!CA219)</f>
        <v/>
      </c>
      <c r="D223" s="7" t="str">
        <f>IF(Notes!CB219="","",Notes!CB219)</f>
        <v/>
      </c>
      <c r="E223" s="7" t="str">
        <f>IF(Notes!CC219="","",Notes!CC219)</f>
        <v/>
      </c>
      <c r="F223" s="7" t="str">
        <f>IF(Notes!CD219="","",Notes!CD219)</f>
        <v/>
      </c>
      <c r="G223" s="7" t="str">
        <f>IF(Notes!CE219="","",Notes!CE219)</f>
        <v/>
      </c>
      <c r="H223" s="7" t="str">
        <f>IF(Notes!CF219="","",Notes!CF219)</f>
        <v/>
      </c>
      <c r="I223" s="7"/>
      <c r="J223" s="7"/>
      <c r="K223" s="7"/>
    </row>
    <row r="224" spans="1:11" x14ac:dyDescent="0.35">
      <c r="A224" s="7" t="str">
        <f>IF(Notes!BY220="","",Notes!BY220)</f>
        <v/>
      </c>
      <c r="B224" s="7" t="str">
        <f>IF(Notes!BZ220="","",Notes!BZ220)</f>
        <v/>
      </c>
      <c r="C224" s="7" t="str">
        <f>IF(Notes!CA220="","",Notes!CA220)</f>
        <v/>
      </c>
      <c r="D224" s="7" t="str">
        <f>IF(Notes!CB220="","",Notes!CB220)</f>
        <v/>
      </c>
      <c r="E224" s="7" t="str">
        <f>IF(Notes!CC220="","",Notes!CC220)</f>
        <v/>
      </c>
      <c r="F224" s="7" t="str">
        <f>IF(Notes!CD220="","",Notes!CD220)</f>
        <v/>
      </c>
      <c r="G224" s="7" t="str">
        <f>IF(Notes!CE220="","",Notes!CE220)</f>
        <v/>
      </c>
      <c r="H224" s="7" t="str">
        <f>IF(Notes!CF220="","",Notes!CF220)</f>
        <v/>
      </c>
      <c r="I224" s="7"/>
      <c r="J224" s="7"/>
      <c r="K224" s="7"/>
    </row>
    <row r="225" spans="1:11" x14ac:dyDescent="0.35">
      <c r="A225" s="7" t="str">
        <f>IF(Notes!BY221="","",Notes!BY221)</f>
        <v/>
      </c>
      <c r="B225" s="7" t="str">
        <f>IF(Notes!BZ221="","",Notes!BZ221)</f>
        <v/>
      </c>
      <c r="C225" s="7" t="str">
        <f>IF(Notes!CA221="","",Notes!CA221)</f>
        <v/>
      </c>
      <c r="D225" s="7" t="str">
        <f>IF(Notes!CB221="","",Notes!CB221)</f>
        <v/>
      </c>
      <c r="E225" s="7" t="str">
        <f>IF(Notes!CC221="","",Notes!CC221)</f>
        <v/>
      </c>
      <c r="F225" s="7" t="str">
        <f>IF(Notes!CD221="","",Notes!CD221)</f>
        <v/>
      </c>
      <c r="G225" s="7" t="str">
        <f>IF(Notes!CE221="","",Notes!CE221)</f>
        <v/>
      </c>
      <c r="H225" s="7" t="str">
        <f>IF(Notes!CF221="","",Notes!CF221)</f>
        <v/>
      </c>
      <c r="I225" s="7"/>
      <c r="J225" s="7"/>
      <c r="K225" s="7"/>
    </row>
    <row r="226" spans="1:11" x14ac:dyDescent="0.35">
      <c r="A226" s="7" t="str">
        <f>IF(Notes!BY222="","",Notes!BY222)</f>
        <v/>
      </c>
      <c r="B226" s="7" t="str">
        <f>IF(Notes!BZ222="","",Notes!BZ222)</f>
        <v/>
      </c>
      <c r="C226" s="7" t="str">
        <f>IF(Notes!CA222="","",Notes!CA222)</f>
        <v/>
      </c>
      <c r="D226" s="7" t="str">
        <f>IF(Notes!CB222="","",Notes!CB222)</f>
        <v/>
      </c>
      <c r="E226" s="7" t="str">
        <f>IF(Notes!CC222="","",Notes!CC222)</f>
        <v/>
      </c>
      <c r="F226" s="7" t="str">
        <f>IF(Notes!CD222="","",Notes!CD222)</f>
        <v/>
      </c>
      <c r="G226" s="7" t="str">
        <f>IF(Notes!CE222="","",Notes!CE222)</f>
        <v/>
      </c>
      <c r="H226" s="7" t="str">
        <f>IF(Notes!CF222="","",Notes!CF222)</f>
        <v/>
      </c>
      <c r="I226" s="7"/>
      <c r="J226" s="7"/>
      <c r="K226" s="7"/>
    </row>
    <row r="227" spans="1:11" x14ac:dyDescent="0.35">
      <c r="A227" s="7" t="str">
        <f>IF(Notes!BY223="","",Notes!BY223)</f>
        <v/>
      </c>
      <c r="B227" s="7" t="str">
        <f>IF(Notes!BZ223="","",Notes!BZ223)</f>
        <v/>
      </c>
      <c r="C227" s="7" t="str">
        <f>IF(Notes!CA223="","",Notes!CA223)</f>
        <v/>
      </c>
      <c r="D227" s="7" t="str">
        <f>IF(Notes!CB223="","",Notes!CB223)</f>
        <v/>
      </c>
      <c r="E227" s="7" t="str">
        <f>IF(Notes!CC223="","",Notes!CC223)</f>
        <v/>
      </c>
      <c r="F227" s="7" t="str">
        <f>IF(Notes!CD223="","",Notes!CD223)</f>
        <v/>
      </c>
      <c r="G227" s="7" t="str">
        <f>IF(Notes!CE223="","",Notes!CE223)</f>
        <v/>
      </c>
      <c r="H227" s="7" t="str">
        <f>IF(Notes!CF223="","",Notes!CF223)</f>
        <v/>
      </c>
      <c r="I227" s="7"/>
      <c r="J227" s="7"/>
      <c r="K227" s="7"/>
    </row>
    <row r="228" spans="1:11" x14ac:dyDescent="0.35">
      <c r="A228" s="7" t="str">
        <f>IF(Notes!BY224="","",Notes!BY224)</f>
        <v/>
      </c>
      <c r="B228" s="7" t="str">
        <f>IF(Notes!BZ224="","",Notes!BZ224)</f>
        <v/>
      </c>
      <c r="C228" s="7" t="str">
        <f>IF(Notes!CA224="","",Notes!CA224)</f>
        <v/>
      </c>
      <c r="D228" s="7" t="str">
        <f>IF(Notes!CB224="","",Notes!CB224)</f>
        <v/>
      </c>
      <c r="E228" s="7" t="str">
        <f>IF(Notes!CC224="","",Notes!CC224)</f>
        <v/>
      </c>
      <c r="F228" s="7" t="str">
        <f>IF(Notes!CD224="","",Notes!CD224)</f>
        <v/>
      </c>
      <c r="G228" s="7" t="str">
        <f>IF(Notes!CE224="","",Notes!CE224)</f>
        <v/>
      </c>
      <c r="H228" s="7" t="str">
        <f>IF(Notes!CF224="","",Notes!CF224)</f>
        <v/>
      </c>
      <c r="I228" s="7"/>
      <c r="J228" s="7"/>
      <c r="K228" s="7"/>
    </row>
    <row r="229" spans="1:11" x14ac:dyDescent="0.35">
      <c r="A229" s="7" t="str">
        <f>IF(Notes!BY225="","",Notes!BY225)</f>
        <v/>
      </c>
      <c r="B229" s="7" t="str">
        <f>IF(Notes!BZ225="","",Notes!BZ225)</f>
        <v/>
      </c>
      <c r="C229" s="7" t="str">
        <f>IF(Notes!CA225="","",Notes!CA225)</f>
        <v/>
      </c>
      <c r="D229" s="7" t="str">
        <f>IF(Notes!CB225="","",Notes!CB225)</f>
        <v/>
      </c>
      <c r="E229" s="7" t="str">
        <f>IF(Notes!CC225="","",Notes!CC225)</f>
        <v/>
      </c>
      <c r="F229" s="7" t="str">
        <f>IF(Notes!CD225="","",Notes!CD225)</f>
        <v/>
      </c>
      <c r="G229" s="7" t="str">
        <f>IF(Notes!CE225="","",Notes!CE225)</f>
        <v/>
      </c>
      <c r="H229" s="7" t="str">
        <f>IF(Notes!CF225="","",Notes!CF225)</f>
        <v/>
      </c>
      <c r="I229" s="7"/>
      <c r="J229" s="7"/>
      <c r="K229" s="7"/>
    </row>
    <row r="230" spans="1:11" x14ac:dyDescent="0.35">
      <c r="A230" s="7" t="str">
        <f>IF(Notes!BY226="","",Notes!BY226)</f>
        <v/>
      </c>
      <c r="B230" s="7" t="str">
        <f>IF(Notes!BZ226="","",Notes!BZ226)</f>
        <v/>
      </c>
      <c r="C230" s="7" t="str">
        <f>IF(Notes!CA226="","",Notes!CA226)</f>
        <v/>
      </c>
      <c r="D230" s="7" t="str">
        <f>IF(Notes!CB226="","",Notes!CB226)</f>
        <v/>
      </c>
      <c r="E230" s="7" t="str">
        <f>IF(Notes!CC226="","",Notes!CC226)</f>
        <v/>
      </c>
      <c r="F230" s="7" t="str">
        <f>IF(Notes!CD226="","",Notes!CD226)</f>
        <v/>
      </c>
      <c r="G230" s="7" t="str">
        <f>IF(Notes!CE226="","",Notes!CE226)</f>
        <v/>
      </c>
      <c r="H230" s="7" t="str">
        <f>IF(Notes!CF226="","",Notes!CF226)</f>
        <v/>
      </c>
      <c r="I230" s="7"/>
      <c r="J230" s="7"/>
      <c r="K230" s="7"/>
    </row>
    <row r="231" spans="1:11" x14ac:dyDescent="0.35">
      <c r="A231" s="7" t="str">
        <f>IF(Notes!BY227="","",Notes!BY227)</f>
        <v/>
      </c>
      <c r="B231" s="7" t="str">
        <f>IF(Notes!BZ227="","",Notes!BZ227)</f>
        <v/>
      </c>
      <c r="C231" s="7" t="str">
        <f>IF(Notes!CA227="","",Notes!CA227)</f>
        <v/>
      </c>
      <c r="D231" s="7" t="str">
        <f>IF(Notes!CB227="","",Notes!CB227)</f>
        <v/>
      </c>
      <c r="E231" s="7" t="str">
        <f>IF(Notes!CC227="","",Notes!CC227)</f>
        <v/>
      </c>
      <c r="F231" s="7" t="str">
        <f>IF(Notes!CD227="","",Notes!CD227)</f>
        <v/>
      </c>
      <c r="G231" s="7" t="str">
        <f>IF(Notes!CE227="","",Notes!CE227)</f>
        <v/>
      </c>
      <c r="H231" s="7" t="str">
        <f>IF(Notes!CF227="","",Notes!CF227)</f>
        <v/>
      </c>
      <c r="I231" s="7"/>
      <c r="J231" s="7"/>
      <c r="K231" s="7"/>
    </row>
    <row r="232" spans="1:11" x14ac:dyDescent="0.35">
      <c r="A232" s="7" t="str">
        <f>IF(Notes!BY228="","",Notes!BY228)</f>
        <v/>
      </c>
      <c r="B232" s="7" t="str">
        <f>IF(Notes!BZ228="","",Notes!BZ228)</f>
        <v/>
      </c>
      <c r="C232" s="7" t="str">
        <f>IF(Notes!CA228="","",Notes!CA228)</f>
        <v/>
      </c>
      <c r="D232" s="7" t="str">
        <f>IF(Notes!CB228="","",Notes!CB228)</f>
        <v/>
      </c>
      <c r="E232" s="7" t="str">
        <f>IF(Notes!CC228="","",Notes!CC228)</f>
        <v/>
      </c>
      <c r="F232" s="7" t="str">
        <f>IF(Notes!CD228="","",Notes!CD228)</f>
        <v/>
      </c>
      <c r="G232" s="7" t="str">
        <f>IF(Notes!CE228="","",Notes!CE228)</f>
        <v/>
      </c>
      <c r="H232" s="7" t="str">
        <f>IF(Notes!CF228="","",Notes!CF228)</f>
        <v/>
      </c>
      <c r="I232" s="7"/>
      <c r="J232" s="7"/>
      <c r="K232" s="7"/>
    </row>
    <row r="233" spans="1:11" x14ac:dyDescent="0.35">
      <c r="A233" s="7" t="str">
        <f>IF(Notes!BY229="","",Notes!BY229)</f>
        <v/>
      </c>
      <c r="B233" s="7" t="str">
        <f>IF(Notes!BZ229="","",Notes!BZ229)</f>
        <v/>
      </c>
      <c r="C233" s="7" t="str">
        <f>IF(Notes!CA229="","",Notes!CA229)</f>
        <v/>
      </c>
      <c r="D233" s="7" t="str">
        <f>IF(Notes!CB229="","",Notes!CB229)</f>
        <v/>
      </c>
      <c r="E233" s="7" t="str">
        <f>IF(Notes!CC229="","",Notes!CC229)</f>
        <v/>
      </c>
      <c r="F233" s="7" t="str">
        <f>IF(Notes!CD229="","",Notes!CD229)</f>
        <v/>
      </c>
      <c r="G233" s="7" t="str">
        <f>IF(Notes!CE229="","",Notes!CE229)</f>
        <v/>
      </c>
      <c r="H233" s="7" t="str">
        <f>IF(Notes!CF229="","",Notes!CF229)</f>
        <v/>
      </c>
      <c r="I233" s="7"/>
      <c r="J233" s="7"/>
      <c r="K233" s="7"/>
    </row>
    <row r="234" spans="1:11" x14ac:dyDescent="0.35">
      <c r="A234" s="7" t="str">
        <f>IF(Notes!BY230="","",Notes!BY230)</f>
        <v/>
      </c>
      <c r="B234" s="7" t="str">
        <f>IF(Notes!BZ230="","",Notes!BZ230)</f>
        <v/>
      </c>
      <c r="C234" s="7" t="str">
        <f>IF(Notes!CA230="","",Notes!CA230)</f>
        <v/>
      </c>
      <c r="D234" s="7" t="str">
        <f>IF(Notes!CB230="","",Notes!CB230)</f>
        <v/>
      </c>
      <c r="E234" s="7" t="str">
        <f>IF(Notes!CC230="","",Notes!CC230)</f>
        <v/>
      </c>
      <c r="F234" s="7" t="str">
        <f>IF(Notes!CD230="","",Notes!CD230)</f>
        <v/>
      </c>
      <c r="G234" s="7" t="str">
        <f>IF(Notes!CE230="","",Notes!CE230)</f>
        <v/>
      </c>
      <c r="H234" s="7" t="str">
        <f>IF(Notes!CF230="","",Notes!CF230)</f>
        <v/>
      </c>
      <c r="I234" s="7"/>
      <c r="J234" s="7"/>
      <c r="K234" s="7"/>
    </row>
    <row r="235" spans="1:11" x14ac:dyDescent="0.35">
      <c r="A235" s="7" t="str">
        <f>IF(Notes!BY231="","",Notes!BY231)</f>
        <v/>
      </c>
      <c r="B235" s="7" t="str">
        <f>IF(Notes!BZ231="","",Notes!BZ231)</f>
        <v/>
      </c>
      <c r="C235" s="7" t="str">
        <f>IF(Notes!CA231="","",Notes!CA231)</f>
        <v/>
      </c>
      <c r="D235" s="7" t="str">
        <f>IF(Notes!CB231="","",Notes!CB231)</f>
        <v/>
      </c>
      <c r="E235" s="7" t="str">
        <f>IF(Notes!CC231="","",Notes!CC231)</f>
        <v/>
      </c>
      <c r="F235" s="7" t="str">
        <f>IF(Notes!CD231="","",Notes!CD231)</f>
        <v/>
      </c>
      <c r="G235" s="7" t="str">
        <f>IF(Notes!CE231="","",Notes!CE231)</f>
        <v/>
      </c>
      <c r="H235" s="7" t="str">
        <f>IF(Notes!CF231="","",Notes!CF231)</f>
        <v/>
      </c>
      <c r="I235" s="7"/>
      <c r="J235" s="7"/>
      <c r="K235" s="7"/>
    </row>
    <row r="236" spans="1:11" x14ac:dyDescent="0.35">
      <c r="A236" s="7" t="str">
        <f>IF(Notes!BY232="","",Notes!BY232)</f>
        <v/>
      </c>
      <c r="B236" s="7" t="str">
        <f>IF(Notes!BZ232="","",Notes!BZ232)</f>
        <v/>
      </c>
      <c r="C236" s="7" t="str">
        <f>IF(Notes!CA232="","",Notes!CA232)</f>
        <v/>
      </c>
      <c r="D236" s="7" t="str">
        <f>IF(Notes!CB232="","",Notes!CB232)</f>
        <v/>
      </c>
      <c r="E236" s="7" t="str">
        <f>IF(Notes!CC232="","",Notes!CC232)</f>
        <v/>
      </c>
      <c r="F236" s="7" t="str">
        <f>IF(Notes!CD232="","",Notes!CD232)</f>
        <v/>
      </c>
      <c r="G236" s="7" t="str">
        <f>IF(Notes!CE232="","",Notes!CE232)</f>
        <v/>
      </c>
      <c r="H236" s="7" t="str">
        <f>IF(Notes!CF232="","",Notes!CF232)</f>
        <v/>
      </c>
      <c r="I236" s="7"/>
      <c r="J236" s="7"/>
      <c r="K236" s="7"/>
    </row>
    <row r="237" spans="1:11" x14ac:dyDescent="0.35">
      <c r="A237" s="7" t="str">
        <f>IF(Notes!BY233="","",Notes!BY233)</f>
        <v/>
      </c>
      <c r="B237" s="7" t="str">
        <f>IF(Notes!BZ233="","",Notes!BZ233)</f>
        <v/>
      </c>
      <c r="C237" s="7" t="str">
        <f>IF(Notes!CA233="","",Notes!CA233)</f>
        <v/>
      </c>
      <c r="D237" s="7" t="str">
        <f>IF(Notes!CB233="","",Notes!CB233)</f>
        <v/>
      </c>
      <c r="E237" s="7" t="str">
        <f>IF(Notes!CC233="","",Notes!CC233)</f>
        <v/>
      </c>
      <c r="F237" s="7" t="str">
        <f>IF(Notes!CD233="","",Notes!CD233)</f>
        <v/>
      </c>
      <c r="G237" s="7" t="str">
        <f>IF(Notes!CE233="","",Notes!CE233)</f>
        <v/>
      </c>
      <c r="H237" s="7" t="str">
        <f>IF(Notes!CF233="","",Notes!CF233)</f>
        <v/>
      </c>
      <c r="I237" s="7"/>
      <c r="J237" s="7"/>
      <c r="K237" s="7"/>
    </row>
    <row r="238" spans="1:11" x14ac:dyDescent="0.35">
      <c r="A238" s="7" t="str">
        <f>IF(Notes!BY234="","",Notes!BY234)</f>
        <v/>
      </c>
      <c r="B238" s="7" t="str">
        <f>IF(Notes!BZ234="","",Notes!BZ234)</f>
        <v/>
      </c>
      <c r="C238" s="7" t="str">
        <f>IF(Notes!CA234="","",Notes!CA234)</f>
        <v/>
      </c>
      <c r="D238" s="7" t="str">
        <f>IF(Notes!CB234="","",Notes!CB234)</f>
        <v/>
      </c>
      <c r="E238" s="7" t="str">
        <f>IF(Notes!CC234="","",Notes!CC234)</f>
        <v/>
      </c>
      <c r="F238" s="7" t="str">
        <f>IF(Notes!CD234="","",Notes!CD234)</f>
        <v/>
      </c>
      <c r="G238" s="7" t="str">
        <f>IF(Notes!CE234="","",Notes!CE234)</f>
        <v/>
      </c>
      <c r="H238" s="7" t="str">
        <f>IF(Notes!CF234="","",Notes!CF234)</f>
        <v/>
      </c>
      <c r="I238" s="7"/>
      <c r="J238" s="7"/>
      <c r="K238" s="7"/>
    </row>
    <row r="239" spans="1:11" x14ac:dyDescent="0.35">
      <c r="A239" s="7" t="str">
        <f>IF(Notes!BY235="","",Notes!BY235)</f>
        <v/>
      </c>
      <c r="B239" s="7" t="str">
        <f>IF(Notes!BZ235="","",Notes!BZ235)</f>
        <v/>
      </c>
      <c r="C239" s="7" t="str">
        <f>IF(Notes!CA235="","",Notes!CA235)</f>
        <v/>
      </c>
      <c r="D239" s="7" t="str">
        <f>IF(Notes!CB235="","",Notes!CB235)</f>
        <v/>
      </c>
      <c r="E239" s="7" t="str">
        <f>IF(Notes!CC235="","",Notes!CC235)</f>
        <v/>
      </c>
      <c r="F239" s="7" t="str">
        <f>IF(Notes!CD235="","",Notes!CD235)</f>
        <v/>
      </c>
      <c r="G239" s="7" t="str">
        <f>IF(Notes!CE235="","",Notes!CE235)</f>
        <v/>
      </c>
      <c r="H239" s="7" t="str">
        <f>IF(Notes!CF235="","",Notes!CF235)</f>
        <v/>
      </c>
      <c r="I239" s="7"/>
      <c r="J239" s="7"/>
      <c r="K239" s="7"/>
    </row>
    <row r="240" spans="1:11" x14ac:dyDescent="0.35">
      <c r="A240" s="7" t="str">
        <f>IF(Notes!BY236="","",Notes!BY236)</f>
        <v/>
      </c>
      <c r="B240" s="7" t="str">
        <f>IF(Notes!BZ236="","",Notes!BZ236)</f>
        <v/>
      </c>
      <c r="C240" s="7" t="str">
        <f>IF(Notes!CA236="","",Notes!CA236)</f>
        <v/>
      </c>
      <c r="D240" s="7" t="str">
        <f>IF(Notes!CB236="","",Notes!CB236)</f>
        <v/>
      </c>
      <c r="E240" s="7" t="str">
        <f>IF(Notes!CC236="","",Notes!CC236)</f>
        <v/>
      </c>
      <c r="F240" s="7" t="str">
        <f>IF(Notes!CD236="","",Notes!CD236)</f>
        <v/>
      </c>
      <c r="G240" s="7" t="str">
        <f>IF(Notes!CE236="","",Notes!CE236)</f>
        <v/>
      </c>
      <c r="H240" s="7" t="str">
        <f>IF(Notes!CF236="","",Notes!CF236)</f>
        <v/>
      </c>
      <c r="I240" s="7"/>
      <c r="J240" s="7"/>
      <c r="K240" s="7"/>
    </row>
    <row r="241" spans="1:11" x14ac:dyDescent="0.35">
      <c r="A241" s="7" t="str">
        <f>IF(Notes!BY237="","",Notes!BY237)</f>
        <v/>
      </c>
      <c r="B241" s="7" t="str">
        <f>IF(Notes!BZ237="","",Notes!BZ237)</f>
        <v/>
      </c>
      <c r="C241" s="7" t="str">
        <f>IF(Notes!CA237="","",Notes!CA237)</f>
        <v/>
      </c>
      <c r="D241" s="7" t="str">
        <f>IF(Notes!CB237="","",Notes!CB237)</f>
        <v/>
      </c>
      <c r="E241" s="7" t="str">
        <f>IF(Notes!CC237="","",Notes!CC237)</f>
        <v/>
      </c>
      <c r="F241" s="7" t="str">
        <f>IF(Notes!CD237="","",Notes!CD237)</f>
        <v/>
      </c>
      <c r="G241" s="7" t="str">
        <f>IF(Notes!CE237="","",Notes!CE237)</f>
        <v/>
      </c>
      <c r="H241" s="7" t="str">
        <f>IF(Notes!CF237="","",Notes!CF237)</f>
        <v/>
      </c>
      <c r="I241" s="7"/>
      <c r="J241" s="7"/>
      <c r="K241" s="7"/>
    </row>
    <row r="242" spans="1:11" x14ac:dyDescent="0.35">
      <c r="A242" s="7" t="str">
        <f>IF(Notes!BY238="","",Notes!BY238)</f>
        <v/>
      </c>
      <c r="B242" s="7" t="str">
        <f>IF(Notes!BZ238="","",Notes!BZ238)</f>
        <v/>
      </c>
      <c r="C242" s="7" t="str">
        <f>IF(Notes!CA238="","",Notes!CA238)</f>
        <v/>
      </c>
      <c r="D242" s="7" t="str">
        <f>IF(Notes!CB238="","",Notes!CB238)</f>
        <v/>
      </c>
      <c r="E242" s="7" t="str">
        <f>IF(Notes!CC238="","",Notes!CC238)</f>
        <v/>
      </c>
      <c r="F242" s="7" t="str">
        <f>IF(Notes!CD238="","",Notes!CD238)</f>
        <v/>
      </c>
      <c r="G242" s="7" t="str">
        <f>IF(Notes!CE238="","",Notes!CE238)</f>
        <v/>
      </c>
      <c r="H242" s="7" t="str">
        <f>IF(Notes!CF238="","",Notes!CF238)</f>
        <v/>
      </c>
      <c r="I242" s="7"/>
      <c r="J242" s="7"/>
      <c r="K242" s="7"/>
    </row>
    <row r="243" spans="1:11" x14ac:dyDescent="0.35">
      <c r="A243" s="7" t="str">
        <f>IF(Notes!BY239="","",Notes!BY239)</f>
        <v/>
      </c>
      <c r="B243" s="7" t="str">
        <f>IF(Notes!BZ239="","",Notes!BZ239)</f>
        <v/>
      </c>
      <c r="C243" s="7" t="str">
        <f>IF(Notes!CA239="","",Notes!CA239)</f>
        <v/>
      </c>
      <c r="D243" s="7" t="str">
        <f>IF(Notes!CB239="","",Notes!CB239)</f>
        <v/>
      </c>
      <c r="E243" s="7" t="str">
        <f>IF(Notes!CC239="","",Notes!CC239)</f>
        <v/>
      </c>
      <c r="F243" s="7" t="str">
        <f>IF(Notes!CD239="","",Notes!CD239)</f>
        <v/>
      </c>
      <c r="G243" s="7" t="str">
        <f>IF(Notes!CE239="","",Notes!CE239)</f>
        <v/>
      </c>
      <c r="H243" s="7" t="str">
        <f>IF(Notes!CF239="","",Notes!CF239)</f>
        <v/>
      </c>
      <c r="I243" s="7"/>
      <c r="J243" s="7"/>
      <c r="K243" s="7"/>
    </row>
    <row r="244" spans="1:11" x14ac:dyDescent="0.35">
      <c r="A244" s="7" t="str">
        <f>IF(Notes!BY240="","",Notes!BY240)</f>
        <v/>
      </c>
      <c r="B244" s="7" t="str">
        <f>IF(Notes!BZ240="","",Notes!BZ240)</f>
        <v/>
      </c>
      <c r="C244" s="7" t="str">
        <f>IF(Notes!CA240="","",Notes!CA240)</f>
        <v/>
      </c>
      <c r="D244" s="7" t="str">
        <f>IF(Notes!CB240="","",Notes!CB240)</f>
        <v/>
      </c>
      <c r="E244" s="7" t="str">
        <f>IF(Notes!CC240="","",Notes!CC240)</f>
        <v/>
      </c>
      <c r="F244" s="7" t="str">
        <f>IF(Notes!CD240="","",Notes!CD240)</f>
        <v/>
      </c>
      <c r="G244" s="7" t="str">
        <f>IF(Notes!CE240="","",Notes!CE240)</f>
        <v/>
      </c>
      <c r="H244" s="7" t="str">
        <f>IF(Notes!CF240="","",Notes!CF240)</f>
        <v/>
      </c>
      <c r="I244" s="7"/>
      <c r="J244" s="7"/>
      <c r="K244" s="7"/>
    </row>
    <row r="245" spans="1:11" x14ac:dyDescent="0.35">
      <c r="A245" s="7" t="str">
        <f>IF(Notes!BY241="","",Notes!BY241)</f>
        <v/>
      </c>
      <c r="B245" s="7" t="str">
        <f>IF(Notes!BZ241="","",Notes!BZ241)</f>
        <v/>
      </c>
      <c r="C245" s="7" t="str">
        <f>IF(Notes!CA241="","",Notes!CA241)</f>
        <v/>
      </c>
      <c r="D245" s="7" t="str">
        <f>IF(Notes!CB241="","",Notes!CB241)</f>
        <v/>
      </c>
      <c r="E245" s="7" t="str">
        <f>IF(Notes!CC241="","",Notes!CC241)</f>
        <v/>
      </c>
      <c r="F245" s="7" t="str">
        <f>IF(Notes!CD241="","",Notes!CD241)</f>
        <v/>
      </c>
      <c r="G245" s="7" t="str">
        <f>IF(Notes!CE241="","",Notes!CE241)</f>
        <v/>
      </c>
      <c r="H245" s="7" t="str">
        <f>IF(Notes!CF241="","",Notes!CF241)</f>
        <v/>
      </c>
      <c r="I245" s="7"/>
      <c r="J245" s="7"/>
      <c r="K245" s="7"/>
    </row>
    <row r="246" spans="1:11" x14ac:dyDescent="0.35">
      <c r="A246" s="7" t="str">
        <f>IF(Notes!BY242="","",Notes!BY242)</f>
        <v/>
      </c>
      <c r="B246" s="7" t="str">
        <f>IF(Notes!BZ242="","",Notes!BZ242)</f>
        <v/>
      </c>
      <c r="C246" s="7" t="str">
        <f>IF(Notes!CA242="","",Notes!CA242)</f>
        <v/>
      </c>
      <c r="D246" s="7" t="str">
        <f>IF(Notes!CB242="","",Notes!CB242)</f>
        <v/>
      </c>
      <c r="E246" s="7" t="str">
        <f>IF(Notes!CC242="","",Notes!CC242)</f>
        <v/>
      </c>
      <c r="F246" s="7" t="str">
        <f>IF(Notes!CD242="","",Notes!CD242)</f>
        <v/>
      </c>
      <c r="G246" s="7" t="str">
        <f>IF(Notes!CE242="","",Notes!CE242)</f>
        <v/>
      </c>
      <c r="H246" s="7" t="str">
        <f>IF(Notes!CF242="","",Notes!CF242)</f>
        <v/>
      </c>
      <c r="I246" s="7"/>
      <c r="J246" s="7"/>
      <c r="K246" s="7"/>
    </row>
    <row r="247" spans="1:11" x14ac:dyDescent="0.35">
      <c r="A247" s="7" t="str">
        <f>IF(Notes!BY243="","",Notes!BY243)</f>
        <v/>
      </c>
      <c r="B247" s="7" t="str">
        <f>IF(Notes!BZ243="","",Notes!BZ243)</f>
        <v/>
      </c>
      <c r="C247" s="7" t="str">
        <f>IF(Notes!CA243="","",Notes!CA243)</f>
        <v/>
      </c>
      <c r="D247" s="7" t="str">
        <f>IF(Notes!CB243="","",Notes!CB243)</f>
        <v/>
      </c>
      <c r="E247" s="7" t="str">
        <f>IF(Notes!CC243="","",Notes!CC243)</f>
        <v/>
      </c>
      <c r="F247" s="7" t="str">
        <f>IF(Notes!CD243="","",Notes!CD243)</f>
        <v/>
      </c>
      <c r="G247" s="7" t="str">
        <f>IF(Notes!CE243="","",Notes!CE243)</f>
        <v/>
      </c>
      <c r="H247" s="7" t="str">
        <f>IF(Notes!CF243="","",Notes!CF243)</f>
        <v/>
      </c>
      <c r="I247" s="7"/>
      <c r="J247" s="7"/>
      <c r="K247" s="7"/>
    </row>
    <row r="248" spans="1:11" x14ac:dyDescent="0.35">
      <c r="A248" s="7" t="str">
        <f>IF(Notes!BY244="","",Notes!BY244)</f>
        <v/>
      </c>
      <c r="B248" s="7" t="str">
        <f>IF(Notes!BZ244="","",Notes!BZ244)</f>
        <v/>
      </c>
      <c r="C248" s="7" t="str">
        <f>IF(Notes!CA244="","",Notes!CA244)</f>
        <v/>
      </c>
      <c r="D248" s="7" t="str">
        <f>IF(Notes!CB244="","",Notes!CB244)</f>
        <v/>
      </c>
      <c r="E248" s="7" t="str">
        <f>IF(Notes!CC244="","",Notes!CC244)</f>
        <v/>
      </c>
      <c r="F248" s="7" t="str">
        <f>IF(Notes!CD244="","",Notes!CD244)</f>
        <v/>
      </c>
      <c r="G248" s="7" t="str">
        <f>IF(Notes!CE244="","",Notes!CE244)</f>
        <v/>
      </c>
      <c r="H248" s="7" t="str">
        <f>IF(Notes!CF244="","",Notes!CF244)</f>
        <v/>
      </c>
      <c r="I248" s="7"/>
      <c r="J248" s="7"/>
      <c r="K248" s="7"/>
    </row>
    <row r="249" spans="1:11" x14ac:dyDescent="0.35">
      <c r="A249" s="7" t="str">
        <f>IF(Notes!BY245="","",Notes!BY245)</f>
        <v/>
      </c>
      <c r="B249" s="7" t="str">
        <f>IF(Notes!BZ245="","",Notes!BZ245)</f>
        <v/>
      </c>
      <c r="C249" s="7" t="str">
        <f>IF(Notes!CA245="","",Notes!CA245)</f>
        <v/>
      </c>
      <c r="D249" s="7" t="str">
        <f>IF(Notes!CB245="","",Notes!CB245)</f>
        <v/>
      </c>
      <c r="E249" s="7" t="str">
        <f>IF(Notes!CC245="","",Notes!CC245)</f>
        <v/>
      </c>
      <c r="F249" s="7" t="str">
        <f>IF(Notes!CD245="","",Notes!CD245)</f>
        <v/>
      </c>
      <c r="G249" s="7" t="str">
        <f>IF(Notes!CE245="","",Notes!CE245)</f>
        <v/>
      </c>
      <c r="H249" s="7" t="str">
        <f>IF(Notes!CF245="","",Notes!CF245)</f>
        <v/>
      </c>
      <c r="I249" s="7"/>
      <c r="J249" s="7"/>
      <c r="K249" s="7"/>
    </row>
    <row r="250" spans="1:11" x14ac:dyDescent="0.35">
      <c r="A250" s="7" t="str">
        <f>IF(Notes!BY246="","",Notes!BY246)</f>
        <v/>
      </c>
      <c r="B250" s="7" t="str">
        <f>IF(Notes!BZ246="","",Notes!BZ246)</f>
        <v/>
      </c>
      <c r="C250" s="7" t="str">
        <f>IF(Notes!CA246="","",Notes!CA246)</f>
        <v/>
      </c>
      <c r="D250" s="7" t="str">
        <f>IF(Notes!CB246="","",Notes!CB246)</f>
        <v/>
      </c>
      <c r="E250" s="7" t="str">
        <f>IF(Notes!CC246="","",Notes!CC246)</f>
        <v/>
      </c>
      <c r="F250" s="7" t="str">
        <f>IF(Notes!CD246="","",Notes!CD246)</f>
        <v/>
      </c>
      <c r="G250" s="7" t="str">
        <f>IF(Notes!CE246="","",Notes!CE246)</f>
        <v/>
      </c>
      <c r="H250" s="7" t="str">
        <f>IF(Notes!CF246="","",Notes!CF246)</f>
        <v/>
      </c>
      <c r="I250" s="7"/>
      <c r="J250" s="7"/>
      <c r="K250" s="7"/>
    </row>
    <row r="251" spans="1:11" x14ac:dyDescent="0.35">
      <c r="A251" s="7" t="str">
        <f>IF(Notes!BY247="","",Notes!BY247)</f>
        <v/>
      </c>
      <c r="B251" s="7" t="str">
        <f>IF(Notes!BZ247="","",Notes!BZ247)</f>
        <v/>
      </c>
      <c r="C251" s="7" t="str">
        <f>IF(Notes!CA247="","",Notes!CA247)</f>
        <v/>
      </c>
      <c r="D251" s="7" t="str">
        <f>IF(Notes!CB247="","",Notes!CB247)</f>
        <v/>
      </c>
      <c r="E251" s="7" t="str">
        <f>IF(Notes!CC247="","",Notes!CC247)</f>
        <v/>
      </c>
      <c r="F251" s="7" t="str">
        <f>IF(Notes!CD247="","",Notes!CD247)</f>
        <v/>
      </c>
      <c r="G251" s="7" t="str">
        <f>IF(Notes!CE247="","",Notes!CE247)</f>
        <v/>
      </c>
      <c r="H251" s="7" t="str">
        <f>IF(Notes!CF247="","",Notes!CF247)</f>
        <v/>
      </c>
      <c r="I251" s="7"/>
      <c r="J251" s="7"/>
      <c r="K251" s="7"/>
    </row>
    <row r="252" spans="1:11" x14ac:dyDescent="0.35">
      <c r="A252" s="7" t="str">
        <f>IF(Notes!BY248="","",Notes!BY248)</f>
        <v/>
      </c>
      <c r="B252" s="7" t="str">
        <f>IF(Notes!BZ248="","",Notes!BZ248)</f>
        <v/>
      </c>
      <c r="C252" s="7" t="str">
        <f>IF(Notes!CA248="","",Notes!CA248)</f>
        <v/>
      </c>
      <c r="D252" s="7" t="str">
        <f>IF(Notes!CB248="","",Notes!CB248)</f>
        <v/>
      </c>
      <c r="E252" s="7" t="str">
        <f>IF(Notes!CC248="","",Notes!CC248)</f>
        <v/>
      </c>
      <c r="F252" s="7" t="str">
        <f>IF(Notes!CD248="","",Notes!CD248)</f>
        <v/>
      </c>
      <c r="G252" s="7" t="str">
        <f>IF(Notes!CE248="","",Notes!CE248)</f>
        <v/>
      </c>
      <c r="H252" s="7" t="str">
        <f>IF(Notes!CF248="","",Notes!CF248)</f>
        <v/>
      </c>
      <c r="I252" s="7"/>
      <c r="J252" s="7"/>
      <c r="K252" s="7"/>
    </row>
    <row r="253" spans="1:11" x14ac:dyDescent="0.35">
      <c r="A253" s="7" t="str">
        <f>IF(Notes!BY249="","",Notes!BY249)</f>
        <v/>
      </c>
      <c r="B253" s="7" t="str">
        <f>IF(Notes!BZ249="","",Notes!BZ249)</f>
        <v/>
      </c>
      <c r="C253" s="7" t="str">
        <f>IF(Notes!CA249="","",Notes!CA249)</f>
        <v/>
      </c>
      <c r="D253" s="7" t="str">
        <f>IF(Notes!CB249="","",Notes!CB249)</f>
        <v/>
      </c>
      <c r="E253" s="7" t="str">
        <f>IF(Notes!CC249="","",Notes!CC249)</f>
        <v/>
      </c>
      <c r="F253" s="7" t="str">
        <f>IF(Notes!CD249="","",Notes!CD249)</f>
        <v/>
      </c>
      <c r="G253" s="7" t="str">
        <f>IF(Notes!CE249="","",Notes!CE249)</f>
        <v/>
      </c>
      <c r="H253" s="7" t="str">
        <f>IF(Notes!CF249="","",Notes!CF249)</f>
        <v/>
      </c>
      <c r="I253" s="7"/>
      <c r="J253" s="7"/>
      <c r="K253" s="7"/>
    </row>
    <row r="254" spans="1:11" x14ac:dyDescent="0.35">
      <c r="A254" s="7" t="str">
        <f>IF(Notes!BY250="","",Notes!BY250)</f>
        <v/>
      </c>
      <c r="B254" s="7" t="str">
        <f>IF(Notes!BZ250="","",Notes!BZ250)</f>
        <v/>
      </c>
      <c r="C254" s="7" t="str">
        <f>IF(Notes!CA250="","",Notes!CA250)</f>
        <v/>
      </c>
      <c r="D254" s="7" t="str">
        <f>IF(Notes!CB250="","",Notes!CB250)</f>
        <v/>
      </c>
      <c r="E254" s="7" t="str">
        <f>IF(Notes!CC250="","",Notes!CC250)</f>
        <v/>
      </c>
      <c r="F254" s="7" t="str">
        <f>IF(Notes!CD250="","",Notes!CD250)</f>
        <v/>
      </c>
      <c r="G254" s="7" t="str">
        <f>IF(Notes!CE250="","",Notes!CE250)</f>
        <v/>
      </c>
      <c r="H254" s="7" t="str">
        <f>IF(Notes!CF250="","",Notes!CF250)</f>
        <v/>
      </c>
      <c r="I254" s="7"/>
      <c r="J254" s="7"/>
      <c r="K254" s="7"/>
    </row>
    <row r="255" spans="1:11" x14ac:dyDescent="0.35">
      <c r="A255" s="7" t="str">
        <f>IF(Notes!BY251="","",Notes!BY251)</f>
        <v/>
      </c>
      <c r="B255" s="7" t="str">
        <f>IF(Notes!BZ251="","",Notes!BZ251)</f>
        <v/>
      </c>
      <c r="C255" s="7" t="str">
        <f>IF(Notes!CA251="","",Notes!CA251)</f>
        <v/>
      </c>
      <c r="D255" s="7" t="str">
        <f>IF(Notes!CB251="","",Notes!CB251)</f>
        <v/>
      </c>
      <c r="E255" s="7" t="str">
        <f>IF(Notes!CC251="","",Notes!CC251)</f>
        <v/>
      </c>
      <c r="F255" s="7" t="str">
        <f>IF(Notes!CD251="","",Notes!CD251)</f>
        <v/>
      </c>
      <c r="G255" s="7" t="str">
        <f>IF(Notes!CE251="","",Notes!CE251)</f>
        <v/>
      </c>
      <c r="H255" s="7" t="str">
        <f>IF(Notes!CF251="","",Notes!CF251)</f>
        <v/>
      </c>
      <c r="I255" s="7"/>
      <c r="J255" s="7"/>
      <c r="K255" s="7"/>
    </row>
    <row r="256" spans="1:11" x14ac:dyDescent="0.35">
      <c r="A256" s="7" t="str">
        <f>IF(Notes!BY252="","",Notes!BY252)</f>
        <v/>
      </c>
      <c r="B256" s="7" t="str">
        <f>IF(Notes!BZ252="","",Notes!BZ252)</f>
        <v/>
      </c>
      <c r="C256" s="7" t="str">
        <f>IF(Notes!CA252="","",Notes!CA252)</f>
        <v/>
      </c>
      <c r="D256" s="7" t="str">
        <f>IF(Notes!CB252="","",Notes!CB252)</f>
        <v/>
      </c>
      <c r="E256" s="7" t="str">
        <f>IF(Notes!CC252="","",Notes!CC252)</f>
        <v/>
      </c>
      <c r="F256" s="7" t="str">
        <f>IF(Notes!CD252="","",Notes!CD252)</f>
        <v/>
      </c>
      <c r="G256" s="7" t="str">
        <f>IF(Notes!CE252="","",Notes!CE252)</f>
        <v/>
      </c>
      <c r="H256" s="7" t="str">
        <f>IF(Notes!CF252="","",Notes!CF252)</f>
        <v/>
      </c>
      <c r="I256" s="7"/>
      <c r="J256" s="7"/>
      <c r="K256" s="7"/>
    </row>
    <row r="257" spans="1:11" x14ac:dyDescent="0.35">
      <c r="A257" s="7" t="str">
        <f>IF(Notes!BY253="","",Notes!BY253)</f>
        <v/>
      </c>
      <c r="B257" s="7" t="str">
        <f>IF(Notes!BZ253="","",Notes!BZ253)</f>
        <v/>
      </c>
      <c r="C257" s="7" t="str">
        <f>IF(Notes!CA253="","",Notes!CA253)</f>
        <v/>
      </c>
      <c r="D257" s="7" t="str">
        <f>IF(Notes!CB253="","",Notes!CB253)</f>
        <v/>
      </c>
      <c r="E257" s="7" t="str">
        <f>IF(Notes!CC253="","",Notes!CC253)</f>
        <v/>
      </c>
      <c r="F257" s="7" t="str">
        <f>IF(Notes!CD253="","",Notes!CD253)</f>
        <v/>
      </c>
      <c r="G257" s="7" t="str">
        <f>IF(Notes!CE253="","",Notes!CE253)</f>
        <v/>
      </c>
      <c r="H257" s="7" t="str">
        <f>IF(Notes!CF253="","",Notes!CF253)</f>
        <v/>
      </c>
      <c r="I257" s="7"/>
      <c r="J257" s="7"/>
      <c r="K257" s="7"/>
    </row>
    <row r="258" spans="1:11" x14ac:dyDescent="0.35">
      <c r="A258" s="7" t="str">
        <f>IF(Notes!BY254="","",Notes!BY254)</f>
        <v/>
      </c>
      <c r="B258" s="7" t="str">
        <f>IF(Notes!BZ254="","",Notes!BZ254)</f>
        <v/>
      </c>
      <c r="C258" s="7" t="str">
        <f>IF(Notes!CA254="","",Notes!CA254)</f>
        <v/>
      </c>
      <c r="D258" s="7" t="str">
        <f>IF(Notes!CB254="","",Notes!CB254)</f>
        <v/>
      </c>
      <c r="E258" s="7" t="str">
        <f>IF(Notes!CC254="","",Notes!CC254)</f>
        <v/>
      </c>
      <c r="F258" s="7" t="str">
        <f>IF(Notes!CD254="","",Notes!CD254)</f>
        <v/>
      </c>
      <c r="G258" s="7" t="str">
        <f>IF(Notes!CE254="","",Notes!CE254)</f>
        <v/>
      </c>
      <c r="H258" s="7" t="str">
        <f>IF(Notes!CF254="","",Notes!CF254)</f>
        <v/>
      </c>
      <c r="I258" s="7"/>
      <c r="J258" s="7"/>
      <c r="K258" s="7"/>
    </row>
    <row r="259" spans="1:11" x14ac:dyDescent="0.35">
      <c r="A259" s="7" t="str">
        <f>IF(Notes!BY255="","",Notes!BY255)</f>
        <v/>
      </c>
      <c r="B259" s="7" t="str">
        <f>IF(Notes!BZ255="","",Notes!BZ255)</f>
        <v/>
      </c>
      <c r="C259" s="7" t="str">
        <f>IF(Notes!CA255="","",Notes!CA255)</f>
        <v/>
      </c>
      <c r="D259" s="7" t="str">
        <f>IF(Notes!CB255="","",Notes!CB255)</f>
        <v/>
      </c>
      <c r="E259" s="7" t="str">
        <f>IF(Notes!CC255="","",Notes!CC255)</f>
        <v/>
      </c>
      <c r="F259" s="7" t="str">
        <f>IF(Notes!CD255="","",Notes!CD255)</f>
        <v/>
      </c>
      <c r="G259" s="7" t="str">
        <f>IF(Notes!CE255="","",Notes!CE255)</f>
        <v/>
      </c>
      <c r="H259" s="7" t="str">
        <f>IF(Notes!CF255="","",Notes!CF255)</f>
        <v/>
      </c>
      <c r="I259" s="7"/>
      <c r="J259" s="7"/>
      <c r="K259" s="7"/>
    </row>
    <row r="260" spans="1:11" x14ac:dyDescent="0.35">
      <c r="A260" s="7" t="str">
        <f>IF(Notes!BY256="","",Notes!BY256)</f>
        <v/>
      </c>
      <c r="B260" s="7" t="str">
        <f>IF(Notes!BZ256="","",Notes!BZ256)</f>
        <v/>
      </c>
      <c r="C260" s="7" t="str">
        <f>IF(Notes!CA256="","",Notes!CA256)</f>
        <v/>
      </c>
      <c r="D260" s="7" t="str">
        <f>IF(Notes!CB256="","",Notes!CB256)</f>
        <v/>
      </c>
      <c r="E260" s="7" t="str">
        <f>IF(Notes!CC256="","",Notes!CC256)</f>
        <v/>
      </c>
      <c r="F260" s="7" t="str">
        <f>IF(Notes!CD256="","",Notes!CD256)</f>
        <v/>
      </c>
      <c r="G260" s="7" t="str">
        <f>IF(Notes!CE256="","",Notes!CE256)</f>
        <v/>
      </c>
      <c r="H260" s="7" t="str">
        <f>IF(Notes!CF256="","",Notes!CF256)</f>
        <v/>
      </c>
      <c r="I260" s="7"/>
      <c r="J260" s="7"/>
      <c r="K260" s="7"/>
    </row>
    <row r="261" spans="1:11" x14ac:dyDescent="0.35">
      <c r="A261" s="7" t="str">
        <f>IF(Notes!BY257="","",Notes!BY257)</f>
        <v/>
      </c>
      <c r="B261" s="7" t="str">
        <f>IF(Notes!BZ257="","",Notes!BZ257)</f>
        <v/>
      </c>
      <c r="C261" s="7" t="str">
        <f>IF(Notes!CA257="","",Notes!CA257)</f>
        <v/>
      </c>
      <c r="D261" s="7" t="str">
        <f>IF(Notes!CB257="","",Notes!CB257)</f>
        <v/>
      </c>
      <c r="E261" s="7" t="str">
        <f>IF(Notes!CC257="","",Notes!CC257)</f>
        <v/>
      </c>
      <c r="F261" s="7" t="str">
        <f>IF(Notes!CD257="","",Notes!CD257)</f>
        <v/>
      </c>
      <c r="G261" s="7" t="str">
        <f>IF(Notes!CE257="","",Notes!CE257)</f>
        <v/>
      </c>
      <c r="H261" s="7" t="str">
        <f>IF(Notes!CF257="","",Notes!CF257)</f>
        <v/>
      </c>
      <c r="I261" s="7"/>
      <c r="J261" s="7"/>
      <c r="K261" s="7"/>
    </row>
    <row r="262" spans="1:11" x14ac:dyDescent="0.35">
      <c r="A262" s="7" t="str">
        <f>IF(Notes!BY258="","",Notes!BY258)</f>
        <v/>
      </c>
      <c r="B262" s="7" t="str">
        <f>IF(Notes!BZ258="","",Notes!BZ258)</f>
        <v/>
      </c>
      <c r="C262" s="7" t="str">
        <f>IF(Notes!CA258="","",Notes!CA258)</f>
        <v/>
      </c>
      <c r="D262" s="7" t="str">
        <f>IF(Notes!CB258="","",Notes!CB258)</f>
        <v/>
      </c>
      <c r="E262" s="7" t="str">
        <f>IF(Notes!CC258="","",Notes!CC258)</f>
        <v/>
      </c>
      <c r="F262" s="7" t="str">
        <f>IF(Notes!CD258="","",Notes!CD258)</f>
        <v/>
      </c>
      <c r="G262" s="7" t="str">
        <f>IF(Notes!CE258="","",Notes!CE258)</f>
        <v/>
      </c>
      <c r="H262" s="7" t="str">
        <f>IF(Notes!CF258="","",Notes!CF258)</f>
        <v/>
      </c>
      <c r="I262" s="7"/>
      <c r="J262" s="7"/>
      <c r="K262" s="7"/>
    </row>
    <row r="263" spans="1:11" x14ac:dyDescent="0.35">
      <c r="A263" s="7" t="str">
        <f>IF(Notes!BY259="","",Notes!BY259)</f>
        <v/>
      </c>
      <c r="B263" s="7" t="str">
        <f>IF(Notes!BZ259="","",Notes!BZ259)</f>
        <v/>
      </c>
      <c r="C263" s="7" t="str">
        <f>IF(Notes!CA259="","",Notes!CA259)</f>
        <v/>
      </c>
      <c r="D263" s="7" t="str">
        <f>IF(Notes!CB259="","",Notes!CB259)</f>
        <v/>
      </c>
      <c r="E263" s="7" t="str">
        <f>IF(Notes!CC259="","",Notes!CC259)</f>
        <v/>
      </c>
      <c r="F263" s="7" t="str">
        <f>IF(Notes!CD259="","",Notes!CD259)</f>
        <v/>
      </c>
      <c r="G263" s="7" t="str">
        <f>IF(Notes!CE259="","",Notes!CE259)</f>
        <v/>
      </c>
      <c r="H263" s="7" t="str">
        <f>IF(Notes!CF259="","",Notes!CF259)</f>
        <v/>
      </c>
      <c r="I263" s="7"/>
      <c r="J263" s="7"/>
      <c r="K263" s="7"/>
    </row>
    <row r="264" spans="1:11" x14ac:dyDescent="0.35">
      <c r="A264" s="7" t="str">
        <f>IF(Notes!BY260="","",Notes!BY260)</f>
        <v/>
      </c>
      <c r="B264" s="7" t="str">
        <f>IF(Notes!BZ260="","",Notes!BZ260)</f>
        <v/>
      </c>
      <c r="C264" s="7" t="str">
        <f>IF(Notes!CA260="","",Notes!CA260)</f>
        <v/>
      </c>
      <c r="D264" s="7" t="str">
        <f>IF(Notes!CB260="","",Notes!CB260)</f>
        <v/>
      </c>
      <c r="E264" s="7" t="str">
        <f>IF(Notes!CC260="","",Notes!CC260)</f>
        <v/>
      </c>
      <c r="F264" s="7" t="str">
        <f>IF(Notes!CD260="","",Notes!CD260)</f>
        <v/>
      </c>
      <c r="G264" s="7" t="str">
        <f>IF(Notes!CE260="","",Notes!CE260)</f>
        <v/>
      </c>
      <c r="H264" s="7" t="str">
        <f>IF(Notes!CF260="","",Notes!CF260)</f>
        <v/>
      </c>
      <c r="I264" s="7"/>
      <c r="J264" s="7"/>
      <c r="K264" s="7"/>
    </row>
    <row r="265" spans="1:11" x14ac:dyDescent="0.35">
      <c r="A265" s="7" t="str">
        <f>IF(Notes!BY261="","",Notes!BY261)</f>
        <v/>
      </c>
      <c r="B265" s="7" t="str">
        <f>IF(Notes!BZ261="","",Notes!BZ261)</f>
        <v/>
      </c>
      <c r="C265" s="7" t="str">
        <f>IF(Notes!CA261="","",Notes!CA261)</f>
        <v/>
      </c>
      <c r="D265" s="7" t="str">
        <f>IF(Notes!CB261="","",Notes!CB261)</f>
        <v/>
      </c>
      <c r="E265" s="7" t="str">
        <f>IF(Notes!CC261="","",Notes!CC261)</f>
        <v/>
      </c>
      <c r="F265" s="7" t="str">
        <f>IF(Notes!CD261="","",Notes!CD261)</f>
        <v/>
      </c>
      <c r="G265" s="7" t="str">
        <f>IF(Notes!CE261="","",Notes!CE261)</f>
        <v/>
      </c>
      <c r="H265" s="7" t="str">
        <f>IF(Notes!CF261="","",Notes!CF261)</f>
        <v/>
      </c>
      <c r="I265" s="7"/>
      <c r="J265" s="7"/>
      <c r="K265" s="7"/>
    </row>
    <row r="266" spans="1:11" x14ac:dyDescent="0.35">
      <c r="A266" s="7" t="str">
        <f>IF(Notes!BY262="","",Notes!BY262)</f>
        <v/>
      </c>
      <c r="B266" s="7" t="str">
        <f>IF(Notes!BZ262="","",Notes!BZ262)</f>
        <v/>
      </c>
      <c r="C266" s="7" t="str">
        <f>IF(Notes!CA262="","",Notes!CA262)</f>
        <v/>
      </c>
      <c r="D266" s="7" t="str">
        <f>IF(Notes!CB262="","",Notes!CB262)</f>
        <v/>
      </c>
      <c r="E266" s="7" t="str">
        <f>IF(Notes!CC262="","",Notes!CC262)</f>
        <v/>
      </c>
      <c r="F266" s="7" t="str">
        <f>IF(Notes!CD262="","",Notes!CD262)</f>
        <v/>
      </c>
      <c r="G266" s="7" t="str">
        <f>IF(Notes!CE262="","",Notes!CE262)</f>
        <v/>
      </c>
      <c r="H266" s="7" t="str">
        <f>IF(Notes!CF262="","",Notes!CF262)</f>
        <v/>
      </c>
      <c r="I266" s="7"/>
      <c r="J266" s="7"/>
      <c r="K266" s="7"/>
    </row>
    <row r="267" spans="1:11" x14ac:dyDescent="0.35">
      <c r="A267" s="7" t="str">
        <f>IF(Notes!BY263="","",Notes!BY263)</f>
        <v/>
      </c>
      <c r="B267" s="7" t="str">
        <f>IF(Notes!BZ263="","",Notes!BZ263)</f>
        <v/>
      </c>
      <c r="C267" s="7" t="str">
        <f>IF(Notes!CA263="","",Notes!CA263)</f>
        <v/>
      </c>
      <c r="D267" s="7" t="str">
        <f>IF(Notes!CB263="","",Notes!CB263)</f>
        <v/>
      </c>
      <c r="E267" s="7" t="str">
        <f>IF(Notes!CC263="","",Notes!CC263)</f>
        <v/>
      </c>
      <c r="F267" s="7" t="str">
        <f>IF(Notes!CD263="","",Notes!CD263)</f>
        <v/>
      </c>
      <c r="G267" s="7" t="str">
        <f>IF(Notes!CE263="","",Notes!CE263)</f>
        <v/>
      </c>
      <c r="H267" s="7" t="str">
        <f>IF(Notes!CF263="","",Notes!CF263)</f>
        <v/>
      </c>
      <c r="I267" s="7"/>
      <c r="J267" s="7"/>
      <c r="K267" s="7"/>
    </row>
    <row r="268" spans="1:11" x14ac:dyDescent="0.35">
      <c r="A268" s="7" t="str">
        <f>IF(Notes!BY264="","",Notes!BY264)</f>
        <v/>
      </c>
      <c r="B268" s="7" t="str">
        <f>IF(Notes!BZ264="","",Notes!BZ264)</f>
        <v/>
      </c>
      <c r="C268" s="7" t="str">
        <f>IF(Notes!CA264="","",Notes!CA264)</f>
        <v/>
      </c>
      <c r="D268" s="7" t="str">
        <f>IF(Notes!CB264="","",Notes!CB264)</f>
        <v/>
      </c>
      <c r="E268" s="7" t="str">
        <f>IF(Notes!CC264="","",Notes!CC264)</f>
        <v/>
      </c>
      <c r="F268" s="7" t="str">
        <f>IF(Notes!CD264="","",Notes!CD264)</f>
        <v/>
      </c>
      <c r="G268" s="7" t="str">
        <f>IF(Notes!CE264="","",Notes!CE264)</f>
        <v/>
      </c>
      <c r="H268" s="7" t="str">
        <f>IF(Notes!CF264="","",Notes!CF264)</f>
        <v/>
      </c>
      <c r="I268" s="7"/>
      <c r="J268" s="7"/>
      <c r="K268" s="7"/>
    </row>
    <row r="269" spans="1:11" x14ac:dyDescent="0.35">
      <c r="A269" s="7" t="str">
        <f>IF(Notes!BY265="","",Notes!BY265)</f>
        <v/>
      </c>
      <c r="B269" s="7" t="str">
        <f>IF(Notes!BZ265="","",Notes!BZ265)</f>
        <v/>
      </c>
      <c r="C269" s="7" t="str">
        <f>IF(Notes!CA265="","",Notes!CA265)</f>
        <v/>
      </c>
      <c r="D269" s="7" t="str">
        <f>IF(Notes!CB265="","",Notes!CB265)</f>
        <v/>
      </c>
      <c r="E269" s="7" t="str">
        <f>IF(Notes!CC265="","",Notes!CC265)</f>
        <v/>
      </c>
      <c r="F269" s="7" t="str">
        <f>IF(Notes!CD265="","",Notes!CD265)</f>
        <v/>
      </c>
      <c r="G269" s="7" t="str">
        <f>IF(Notes!CE265="","",Notes!CE265)</f>
        <v/>
      </c>
      <c r="H269" s="7" t="str">
        <f>IF(Notes!CF265="","",Notes!CF265)</f>
        <v/>
      </c>
      <c r="I269" s="7"/>
      <c r="J269" s="7"/>
      <c r="K269" s="7"/>
    </row>
    <row r="270" spans="1:11" x14ac:dyDescent="0.35">
      <c r="A270" s="7" t="str">
        <f>IF(Notes!BY266="","",Notes!BY266)</f>
        <v/>
      </c>
      <c r="B270" s="7" t="str">
        <f>IF(Notes!BZ266="","",Notes!BZ266)</f>
        <v/>
      </c>
      <c r="C270" s="7" t="str">
        <f>IF(Notes!CA266="","",Notes!CA266)</f>
        <v/>
      </c>
      <c r="D270" s="7" t="str">
        <f>IF(Notes!CB266="","",Notes!CB266)</f>
        <v/>
      </c>
      <c r="E270" s="7" t="str">
        <f>IF(Notes!CC266="","",Notes!CC266)</f>
        <v/>
      </c>
      <c r="F270" s="7" t="str">
        <f>IF(Notes!CD266="","",Notes!CD266)</f>
        <v/>
      </c>
      <c r="G270" s="7" t="str">
        <f>IF(Notes!CE266="","",Notes!CE266)</f>
        <v/>
      </c>
      <c r="H270" s="7" t="str">
        <f>IF(Notes!CF266="","",Notes!CF266)</f>
        <v/>
      </c>
      <c r="I270" s="7"/>
      <c r="J270" s="7"/>
      <c r="K270" s="7"/>
    </row>
    <row r="271" spans="1:11" x14ac:dyDescent="0.35">
      <c r="A271" s="7" t="str">
        <f>IF(Notes!BY267="","",Notes!BY267)</f>
        <v/>
      </c>
      <c r="B271" s="7" t="str">
        <f>IF(Notes!BZ267="","",Notes!BZ267)</f>
        <v/>
      </c>
      <c r="C271" s="7" t="str">
        <f>IF(Notes!CA267="","",Notes!CA267)</f>
        <v/>
      </c>
      <c r="D271" s="7" t="str">
        <f>IF(Notes!CB267="","",Notes!CB267)</f>
        <v/>
      </c>
      <c r="E271" s="7" t="str">
        <f>IF(Notes!CC267="","",Notes!CC267)</f>
        <v/>
      </c>
      <c r="F271" s="7" t="str">
        <f>IF(Notes!CD267="","",Notes!CD267)</f>
        <v/>
      </c>
      <c r="G271" s="7" t="str">
        <f>IF(Notes!CE267="","",Notes!CE267)</f>
        <v/>
      </c>
      <c r="H271" s="7" t="str">
        <f>IF(Notes!CF267="","",Notes!CF267)</f>
        <v/>
      </c>
      <c r="I271" s="7"/>
      <c r="J271" s="7"/>
      <c r="K271" s="7"/>
    </row>
    <row r="272" spans="1:11" x14ac:dyDescent="0.35">
      <c r="A272" s="7" t="str">
        <f>IF(Notes!BY268="","",Notes!BY268)</f>
        <v/>
      </c>
      <c r="B272" s="7" t="str">
        <f>IF(Notes!BZ268="","",Notes!BZ268)</f>
        <v/>
      </c>
      <c r="C272" s="7" t="str">
        <f>IF(Notes!CA268="","",Notes!CA268)</f>
        <v/>
      </c>
      <c r="D272" s="7" t="str">
        <f>IF(Notes!CB268="","",Notes!CB268)</f>
        <v/>
      </c>
      <c r="E272" s="7" t="str">
        <f>IF(Notes!CC268="","",Notes!CC268)</f>
        <v/>
      </c>
      <c r="F272" s="7" t="str">
        <f>IF(Notes!CD268="","",Notes!CD268)</f>
        <v/>
      </c>
      <c r="G272" s="7" t="str">
        <f>IF(Notes!CE268="","",Notes!CE268)</f>
        <v/>
      </c>
      <c r="H272" s="7" t="str">
        <f>IF(Notes!CF268="","",Notes!CF268)</f>
        <v/>
      </c>
      <c r="I272" s="7"/>
      <c r="J272" s="7"/>
      <c r="K272" s="7"/>
    </row>
    <row r="273" spans="1:11" x14ac:dyDescent="0.35">
      <c r="A273" s="7" t="str">
        <f>IF(Notes!BY269="","",Notes!BY269)</f>
        <v/>
      </c>
      <c r="B273" s="7" t="str">
        <f>IF(Notes!BZ269="","",Notes!BZ269)</f>
        <v/>
      </c>
      <c r="C273" s="7" t="str">
        <f>IF(Notes!CA269="","",Notes!CA269)</f>
        <v/>
      </c>
      <c r="D273" s="7" t="str">
        <f>IF(Notes!CB269="","",Notes!CB269)</f>
        <v/>
      </c>
      <c r="E273" s="7" t="str">
        <f>IF(Notes!CC269="","",Notes!CC269)</f>
        <v/>
      </c>
      <c r="F273" s="7" t="str">
        <f>IF(Notes!CD269="","",Notes!CD269)</f>
        <v/>
      </c>
      <c r="G273" s="7" t="str">
        <f>IF(Notes!CE269="","",Notes!CE269)</f>
        <v/>
      </c>
      <c r="H273" s="7" t="str">
        <f>IF(Notes!CF269="","",Notes!CF269)</f>
        <v/>
      </c>
      <c r="I273" s="7"/>
      <c r="J273" s="7"/>
      <c r="K273" s="7"/>
    </row>
    <row r="274" spans="1:11" x14ac:dyDescent="0.35">
      <c r="A274" s="7" t="str">
        <f>IF(Notes!BY270="","",Notes!BY270)</f>
        <v/>
      </c>
      <c r="B274" s="7" t="str">
        <f>IF(Notes!BZ270="","",Notes!BZ270)</f>
        <v/>
      </c>
      <c r="C274" s="7" t="str">
        <f>IF(Notes!CA270="","",Notes!CA270)</f>
        <v/>
      </c>
      <c r="D274" s="7" t="str">
        <f>IF(Notes!CB270="","",Notes!CB270)</f>
        <v/>
      </c>
      <c r="E274" s="7" t="str">
        <f>IF(Notes!CC270="","",Notes!CC270)</f>
        <v/>
      </c>
      <c r="F274" s="7" t="str">
        <f>IF(Notes!CD270="","",Notes!CD270)</f>
        <v/>
      </c>
      <c r="G274" s="7" t="str">
        <f>IF(Notes!CE270="","",Notes!CE270)</f>
        <v/>
      </c>
      <c r="H274" s="7" t="str">
        <f>IF(Notes!CF270="","",Notes!CF270)</f>
        <v/>
      </c>
      <c r="I274" s="7"/>
      <c r="J274" s="7"/>
      <c r="K274" s="7"/>
    </row>
    <row r="275" spans="1:11" x14ac:dyDescent="0.35">
      <c r="A275" s="7" t="str">
        <f>IF(Notes!BY271="","",Notes!BY271)</f>
        <v/>
      </c>
      <c r="B275" s="7" t="str">
        <f>IF(Notes!BZ271="","",Notes!BZ271)</f>
        <v/>
      </c>
      <c r="C275" s="7" t="str">
        <f>IF(Notes!CA271="","",Notes!CA271)</f>
        <v/>
      </c>
      <c r="D275" s="7" t="str">
        <f>IF(Notes!CB271="","",Notes!CB271)</f>
        <v/>
      </c>
      <c r="E275" s="7" t="str">
        <f>IF(Notes!CC271="","",Notes!CC271)</f>
        <v/>
      </c>
      <c r="F275" s="7" t="str">
        <f>IF(Notes!CD271="","",Notes!CD271)</f>
        <v/>
      </c>
      <c r="G275" s="7" t="str">
        <f>IF(Notes!CE271="","",Notes!CE271)</f>
        <v/>
      </c>
      <c r="H275" s="7" t="str">
        <f>IF(Notes!CF271="","",Notes!CF271)</f>
        <v/>
      </c>
      <c r="I275" s="7"/>
      <c r="J275" s="7"/>
      <c r="K275" s="7"/>
    </row>
    <row r="276" spans="1:11" x14ac:dyDescent="0.35">
      <c r="A276" s="7" t="str">
        <f>IF(Notes!BY272="","",Notes!BY272)</f>
        <v/>
      </c>
      <c r="B276" s="7" t="str">
        <f>IF(Notes!BZ272="","",Notes!BZ272)</f>
        <v/>
      </c>
      <c r="C276" s="7" t="str">
        <f>IF(Notes!CA272="","",Notes!CA272)</f>
        <v/>
      </c>
      <c r="D276" s="7" t="str">
        <f>IF(Notes!CB272="","",Notes!CB272)</f>
        <v/>
      </c>
      <c r="E276" s="7" t="str">
        <f>IF(Notes!CC272="","",Notes!CC272)</f>
        <v/>
      </c>
      <c r="F276" s="7" t="str">
        <f>IF(Notes!CD272="","",Notes!CD272)</f>
        <v/>
      </c>
      <c r="G276" s="7" t="str">
        <f>IF(Notes!CE272="","",Notes!CE272)</f>
        <v/>
      </c>
      <c r="H276" s="7" t="str">
        <f>IF(Notes!CF272="","",Notes!CF272)</f>
        <v/>
      </c>
      <c r="I276" s="7"/>
      <c r="J276" s="7"/>
      <c r="K276" s="7"/>
    </row>
    <row r="277" spans="1:11" x14ac:dyDescent="0.35">
      <c r="A277" s="7" t="str">
        <f>IF(Notes!BY273="","",Notes!BY273)</f>
        <v/>
      </c>
      <c r="B277" s="7" t="str">
        <f>IF(Notes!BZ273="","",Notes!BZ273)</f>
        <v/>
      </c>
      <c r="C277" s="7" t="str">
        <f>IF(Notes!CA273="","",Notes!CA273)</f>
        <v/>
      </c>
      <c r="D277" s="7" t="str">
        <f>IF(Notes!CB273="","",Notes!CB273)</f>
        <v/>
      </c>
      <c r="E277" s="7" t="str">
        <f>IF(Notes!CC273="","",Notes!CC273)</f>
        <v/>
      </c>
      <c r="F277" s="7" t="str">
        <f>IF(Notes!CD273="","",Notes!CD273)</f>
        <v/>
      </c>
      <c r="G277" s="7" t="str">
        <f>IF(Notes!CE273="","",Notes!CE273)</f>
        <v/>
      </c>
      <c r="H277" s="7" t="str">
        <f>IF(Notes!CF273="","",Notes!CF273)</f>
        <v/>
      </c>
      <c r="I277" s="7"/>
      <c r="J277" s="7"/>
      <c r="K277" s="7"/>
    </row>
    <row r="278" spans="1:11" x14ac:dyDescent="0.35">
      <c r="A278" s="7" t="str">
        <f>IF(Notes!BY274="","",Notes!BY274)</f>
        <v/>
      </c>
      <c r="B278" s="7" t="str">
        <f>IF(Notes!BZ274="","",Notes!BZ274)</f>
        <v/>
      </c>
      <c r="C278" s="7" t="str">
        <f>IF(Notes!CA274="","",Notes!CA274)</f>
        <v/>
      </c>
      <c r="D278" s="7" t="str">
        <f>IF(Notes!CB274="","",Notes!CB274)</f>
        <v/>
      </c>
      <c r="E278" s="7" t="str">
        <f>IF(Notes!CC274="","",Notes!CC274)</f>
        <v/>
      </c>
      <c r="F278" s="7" t="str">
        <f>IF(Notes!CD274="","",Notes!CD274)</f>
        <v/>
      </c>
      <c r="G278" s="7" t="str">
        <f>IF(Notes!CE274="","",Notes!CE274)</f>
        <v/>
      </c>
      <c r="H278" s="7" t="str">
        <f>IF(Notes!CF274="","",Notes!CF274)</f>
        <v/>
      </c>
      <c r="I278" s="7"/>
      <c r="J278" s="7"/>
      <c r="K278" s="7"/>
    </row>
    <row r="279" spans="1:11" x14ac:dyDescent="0.35">
      <c r="A279" s="7" t="str">
        <f>IF(Notes!BY275="","",Notes!BY275)</f>
        <v/>
      </c>
      <c r="B279" s="7" t="str">
        <f>IF(Notes!BZ275="","",Notes!BZ275)</f>
        <v/>
      </c>
      <c r="C279" s="7" t="str">
        <f>IF(Notes!CA275="","",Notes!CA275)</f>
        <v/>
      </c>
      <c r="D279" s="7" t="str">
        <f>IF(Notes!CB275="","",Notes!CB275)</f>
        <v/>
      </c>
      <c r="E279" s="7" t="str">
        <f>IF(Notes!CC275="","",Notes!CC275)</f>
        <v/>
      </c>
      <c r="F279" s="7" t="str">
        <f>IF(Notes!CD275="","",Notes!CD275)</f>
        <v/>
      </c>
      <c r="G279" s="7" t="str">
        <f>IF(Notes!CE275="","",Notes!CE275)</f>
        <v/>
      </c>
      <c r="H279" s="7" t="str">
        <f>IF(Notes!CF275="","",Notes!CF275)</f>
        <v/>
      </c>
      <c r="I279" s="7"/>
      <c r="J279" s="7"/>
      <c r="K279" s="7"/>
    </row>
    <row r="280" spans="1:11" x14ac:dyDescent="0.35">
      <c r="A280" s="7" t="str">
        <f>IF(Notes!BY276="","",Notes!BY276)</f>
        <v/>
      </c>
      <c r="B280" s="7" t="str">
        <f>IF(Notes!BZ276="","",Notes!BZ276)</f>
        <v/>
      </c>
      <c r="C280" s="7" t="str">
        <f>IF(Notes!CA276="","",Notes!CA276)</f>
        <v/>
      </c>
      <c r="D280" s="7" t="str">
        <f>IF(Notes!CB276="","",Notes!CB276)</f>
        <v/>
      </c>
      <c r="E280" s="7" t="str">
        <f>IF(Notes!CC276="","",Notes!CC276)</f>
        <v/>
      </c>
      <c r="F280" s="7" t="str">
        <f>IF(Notes!CD276="","",Notes!CD276)</f>
        <v/>
      </c>
      <c r="G280" s="7" t="str">
        <f>IF(Notes!CE276="","",Notes!CE276)</f>
        <v/>
      </c>
      <c r="H280" s="7" t="str">
        <f>IF(Notes!CF276="","",Notes!CF276)</f>
        <v/>
      </c>
      <c r="I280" s="7"/>
      <c r="J280" s="7"/>
      <c r="K280" s="7"/>
    </row>
    <row r="281" spans="1:11" x14ac:dyDescent="0.35">
      <c r="A281" s="7" t="str">
        <f>IF(Notes!BY277="","",Notes!BY277)</f>
        <v/>
      </c>
      <c r="B281" s="7" t="str">
        <f>IF(Notes!BZ277="","",Notes!BZ277)</f>
        <v/>
      </c>
      <c r="C281" s="7" t="str">
        <f>IF(Notes!CA277="","",Notes!CA277)</f>
        <v/>
      </c>
      <c r="D281" s="7" t="str">
        <f>IF(Notes!CB277="","",Notes!CB277)</f>
        <v/>
      </c>
      <c r="E281" s="7" t="str">
        <f>IF(Notes!CC277="","",Notes!CC277)</f>
        <v/>
      </c>
      <c r="F281" s="7" t="str">
        <f>IF(Notes!CD277="","",Notes!CD277)</f>
        <v/>
      </c>
      <c r="G281" s="7" t="str">
        <f>IF(Notes!CE277="","",Notes!CE277)</f>
        <v/>
      </c>
      <c r="H281" s="7" t="str">
        <f>IF(Notes!CF277="","",Notes!CF277)</f>
        <v/>
      </c>
      <c r="I281" s="7"/>
      <c r="J281" s="7"/>
      <c r="K281" s="7"/>
    </row>
    <row r="282" spans="1:11" x14ac:dyDescent="0.35">
      <c r="A282" s="7" t="str">
        <f>IF(Notes!BY278="","",Notes!BY278)</f>
        <v/>
      </c>
      <c r="B282" s="7" t="str">
        <f>IF(Notes!BZ278="","",Notes!BZ278)</f>
        <v/>
      </c>
      <c r="C282" s="7" t="str">
        <f>IF(Notes!CA278="","",Notes!CA278)</f>
        <v/>
      </c>
      <c r="D282" s="7" t="str">
        <f>IF(Notes!CB278="","",Notes!CB278)</f>
        <v/>
      </c>
      <c r="E282" s="7" t="str">
        <f>IF(Notes!CC278="","",Notes!CC278)</f>
        <v/>
      </c>
      <c r="F282" s="7" t="str">
        <f>IF(Notes!CD278="","",Notes!CD278)</f>
        <v/>
      </c>
      <c r="G282" s="7" t="str">
        <f>IF(Notes!CE278="","",Notes!CE278)</f>
        <v/>
      </c>
      <c r="H282" s="7" t="str">
        <f>IF(Notes!CF278="","",Notes!CF278)</f>
        <v/>
      </c>
      <c r="I282" s="7"/>
      <c r="J282" s="7"/>
      <c r="K282" s="7"/>
    </row>
    <row r="283" spans="1:11" x14ac:dyDescent="0.35">
      <c r="A283" s="7" t="str">
        <f>IF(Notes!BY279="","",Notes!BY279)</f>
        <v/>
      </c>
      <c r="B283" s="7" t="str">
        <f>IF(Notes!BZ279="","",Notes!BZ279)</f>
        <v/>
      </c>
      <c r="C283" s="7" t="str">
        <f>IF(Notes!CA279="","",Notes!CA279)</f>
        <v/>
      </c>
      <c r="D283" s="7" t="str">
        <f>IF(Notes!CB279="","",Notes!CB279)</f>
        <v/>
      </c>
      <c r="E283" s="7" t="str">
        <f>IF(Notes!CC279="","",Notes!CC279)</f>
        <v/>
      </c>
      <c r="F283" s="7" t="str">
        <f>IF(Notes!CD279="","",Notes!CD279)</f>
        <v/>
      </c>
      <c r="G283" s="7" t="str">
        <f>IF(Notes!CE279="","",Notes!CE279)</f>
        <v/>
      </c>
      <c r="H283" s="7" t="str">
        <f>IF(Notes!CF279="","",Notes!CF279)</f>
        <v/>
      </c>
      <c r="I283" s="7"/>
      <c r="J283" s="7"/>
      <c r="K283" s="7"/>
    </row>
    <row r="284" spans="1:11" x14ac:dyDescent="0.35">
      <c r="A284" s="7" t="str">
        <f>IF(Notes!BY280="","",Notes!BY280)</f>
        <v/>
      </c>
      <c r="B284" s="7" t="str">
        <f>IF(Notes!BZ280="","",Notes!BZ280)</f>
        <v/>
      </c>
      <c r="C284" s="7" t="str">
        <f>IF(Notes!CA280="","",Notes!CA280)</f>
        <v/>
      </c>
      <c r="D284" s="7" t="str">
        <f>IF(Notes!CB280="","",Notes!CB280)</f>
        <v/>
      </c>
      <c r="E284" s="7" t="str">
        <f>IF(Notes!CC280="","",Notes!CC280)</f>
        <v/>
      </c>
      <c r="F284" s="7" t="str">
        <f>IF(Notes!CD280="","",Notes!CD280)</f>
        <v/>
      </c>
      <c r="G284" s="7" t="str">
        <f>IF(Notes!CE280="","",Notes!CE280)</f>
        <v/>
      </c>
      <c r="H284" s="7" t="str">
        <f>IF(Notes!CF280="","",Notes!CF280)</f>
        <v/>
      </c>
      <c r="I284" s="7"/>
      <c r="J284" s="7"/>
      <c r="K284" s="7"/>
    </row>
    <row r="285" spans="1:11" x14ac:dyDescent="0.35">
      <c r="A285" s="7" t="str">
        <f>IF(Notes!BY281="","",Notes!BY281)</f>
        <v/>
      </c>
      <c r="B285" s="7" t="str">
        <f>IF(Notes!BZ281="","",Notes!BZ281)</f>
        <v/>
      </c>
      <c r="C285" s="7" t="str">
        <f>IF(Notes!CA281="","",Notes!CA281)</f>
        <v/>
      </c>
      <c r="D285" s="7" t="str">
        <f>IF(Notes!CB281="","",Notes!CB281)</f>
        <v/>
      </c>
      <c r="E285" s="7" t="str">
        <f>IF(Notes!CC281="","",Notes!CC281)</f>
        <v/>
      </c>
      <c r="F285" s="7" t="str">
        <f>IF(Notes!CD281="","",Notes!CD281)</f>
        <v/>
      </c>
      <c r="G285" s="7" t="str">
        <f>IF(Notes!CE281="","",Notes!CE281)</f>
        <v/>
      </c>
      <c r="H285" s="7" t="str">
        <f>IF(Notes!CF281="","",Notes!CF281)</f>
        <v/>
      </c>
      <c r="I285" s="7"/>
      <c r="J285" s="7"/>
      <c r="K285" s="7"/>
    </row>
    <row r="286" spans="1:11" x14ac:dyDescent="0.35">
      <c r="A286" s="7" t="str">
        <f>IF(Notes!BY282="","",Notes!BY282)</f>
        <v/>
      </c>
      <c r="B286" s="7" t="str">
        <f>IF(Notes!BZ282="","",Notes!BZ282)</f>
        <v/>
      </c>
      <c r="C286" s="7" t="str">
        <f>IF(Notes!CA282="","",Notes!CA282)</f>
        <v/>
      </c>
      <c r="D286" s="7" t="str">
        <f>IF(Notes!CB282="","",Notes!CB282)</f>
        <v/>
      </c>
      <c r="E286" s="7" t="str">
        <f>IF(Notes!CC282="","",Notes!CC282)</f>
        <v/>
      </c>
      <c r="F286" s="7" t="str">
        <f>IF(Notes!CD282="","",Notes!CD282)</f>
        <v/>
      </c>
      <c r="G286" s="7" t="str">
        <f>IF(Notes!CE282="","",Notes!CE282)</f>
        <v/>
      </c>
      <c r="H286" s="7" t="str">
        <f>IF(Notes!CF282="","",Notes!CF282)</f>
        <v/>
      </c>
      <c r="I286" s="7"/>
      <c r="J286" s="7"/>
      <c r="K286" s="7"/>
    </row>
    <row r="287" spans="1:11" x14ac:dyDescent="0.35">
      <c r="A287" s="7" t="str">
        <f>IF(Notes!BY283="","",Notes!BY283)</f>
        <v/>
      </c>
      <c r="B287" s="7" t="str">
        <f>IF(Notes!BZ283="","",Notes!BZ283)</f>
        <v/>
      </c>
      <c r="C287" s="7" t="str">
        <f>IF(Notes!CA283="","",Notes!CA283)</f>
        <v/>
      </c>
      <c r="D287" s="7" t="str">
        <f>IF(Notes!CB283="","",Notes!CB283)</f>
        <v/>
      </c>
      <c r="E287" s="7" t="str">
        <f>IF(Notes!CC283="","",Notes!CC283)</f>
        <v/>
      </c>
      <c r="F287" s="7" t="str">
        <f>IF(Notes!CD283="","",Notes!CD283)</f>
        <v/>
      </c>
      <c r="G287" s="7" t="str">
        <f>IF(Notes!CE283="","",Notes!CE283)</f>
        <v/>
      </c>
      <c r="H287" s="7" t="str">
        <f>IF(Notes!CF283="","",Notes!CF283)</f>
        <v/>
      </c>
      <c r="I287" s="7"/>
      <c r="J287" s="7"/>
      <c r="K287" s="7"/>
    </row>
    <row r="288" spans="1:11" x14ac:dyDescent="0.35">
      <c r="A288" s="7" t="str">
        <f>IF(Notes!BY284="","",Notes!BY284)</f>
        <v/>
      </c>
      <c r="B288" s="7" t="str">
        <f>IF(Notes!BZ284="","",Notes!BZ284)</f>
        <v/>
      </c>
      <c r="C288" s="7" t="str">
        <f>IF(Notes!CA284="","",Notes!CA284)</f>
        <v/>
      </c>
      <c r="D288" s="7" t="str">
        <f>IF(Notes!CB284="","",Notes!CB284)</f>
        <v/>
      </c>
      <c r="E288" s="7" t="str">
        <f>IF(Notes!CC284="","",Notes!CC284)</f>
        <v/>
      </c>
      <c r="F288" s="7" t="str">
        <f>IF(Notes!CD284="","",Notes!CD284)</f>
        <v/>
      </c>
      <c r="G288" s="7" t="str">
        <f>IF(Notes!CE284="","",Notes!CE284)</f>
        <v/>
      </c>
      <c r="H288" s="7" t="str">
        <f>IF(Notes!CF284="","",Notes!CF284)</f>
        <v/>
      </c>
      <c r="I288" s="7"/>
      <c r="J288" s="7"/>
      <c r="K288" s="7"/>
    </row>
    <row r="289" spans="1:11" x14ac:dyDescent="0.35">
      <c r="A289" s="7" t="str">
        <f>IF(Notes!BY285="","",Notes!BY285)</f>
        <v/>
      </c>
      <c r="B289" s="7" t="str">
        <f>IF(Notes!BZ285="","",Notes!BZ285)</f>
        <v/>
      </c>
      <c r="C289" s="7" t="str">
        <f>IF(Notes!CA285="","",Notes!CA285)</f>
        <v/>
      </c>
      <c r="D289" s="7" t="str">
        <f>IF(Notes!CB285="","",Notes!CB285)</f>
        <v/>
      </c>
      <c r="E289" s="7" t="str">
        <f>IF(Notes!CC285="","",Notes!CC285)</f>
        <v/>
      </c>
      <c r="F289" s="7" t="str">
        <f>IF(Notes!CD285="","",Notes!CD285)</f>
        <v/>
      </c>
      <c r="G289" s="7" t="str">
        <f>IF(Notes!CE285="","",Notes!CE285)</f>
        <v/>
      </c>
      <c r="H289" s="7" t="str">
        <f>IF(Notes!CF285="","",Notes!CF285)</f>
        <v/>
      </c>
      <c r="I289" s="7"/>
      <c r="J289" s="7"/>
      <c r="K289" s="7"/>
    </row>
    <row r="290" spans="1:11" x14ac:dyDescent="0.35">
      <c r="A290" s="7" t="str">
        <f>IF(Notes!BY286="","",Notes!BY286)</f>
        <v/>
      </c>
      <c r="B290" s="7" t="str">
        <f>IF(Notes!BZ286="","",Notes!BZ286)</f>
        <v/>
      </c>
      <c r="C290" s="7" t="str">
        <f>IF(Notes!CA286="","",Notes!CA286)</f>
        <v/>
      </c>
      <c r="D290" s="7" t="str">
        <f>IF(Notes!CB286="","",Notes!CB286)</f>
        <v/>
      </c>
      <c r="E290" s="7" t="str">
        <f>IF(Notes!CC286="","",Notes!CC286)</f>
        <v/>
      </c>
      <c r="F290" s="7" t="str">
        <f>IF(Notes!CD286="","",Notes!CD286)</f>
        <v/>
      </c>
      <c r="G290" s="7" t="str">
        <f>IF(Notes!CE286="","",Notes!CE286)</f>
        <v/>
      </c>
      <c r="H290" s="7" t="str">
        <f>IF(Notes!CF286="","",Notes!CF286)</f>
        <v/>
      </c>
      <c r="I290" s="7"/>
      <c r="J290" s="7"/>
      <c r="K290" s="7"/>
    </row>
    <row r="291" spans="1:11" x14ac:dyDescent="0.35">
      <c r="A291" s="7" t="str">
        <f>IF(Notes!BY287="","",Notes!BY287)</f>
        <v/>
      </c>
      <c r="B291" s="7" t="str">
        <f>IF(Notes!BZ287="","",Notes!BZ287)</f>
        <v/>
      </c>
      <c r="C291" s="7" t="str">
        <f>IF(Notes!CA287="","",Notes!CA287)</f>
        <v/>
      </c>
      <c r="D291" s="7" t="str">
        <f>IF(Notes!CB287="","",Notes!CB287)</f>
        <v/>
      </c>
      <c r="E291" s="7" t="str">
        <f>IF(Notes!CC287="","",Notes!CC287)</f>
        <v/>
      </c>
      <c r="F291" s="7" t="str">
        <f>IF(Notes!CD287="","",Notes!CD287)</f>
        <v/>
      </c>
      <c r="G291" s="7" t="str">
        <f>IF(Notes!CE287="","",Notes!CE287)</f>
        <v/>
      </c>
      <c r="H291" s="7" t="str">
        <f>IF(Notes!CF287="","",Notes!CF287)</f>
        <v/>
      </c>
      <c r="I291" s="7"/>
      <c r="J291" s="7"/>
      <c r="K291" s="7"/>
    </row>
    <row r="292" spans="1:11" x14ac:dyDescent="0.35">
      <c r="A292" s="7" t="str">
        <f>IF(Notes!BY288="","",Notes!BY288)</f>
        <v/>
      </c>
      <c r="B292" s="7" t="str">
        <f>IF(Notes!BZ288="","",Notes!BZ288)</f>
        <v/>
      </c>
      <c r="C292" s="7" t="str">
        <f>IF(Notes!CA288="","",Notes!CA288)</f>
        <v/>
      </c>
      <c r="D292" s="7" t="str">
        <f>IF(Notes!CB288="","",Notes!CB288)</f>
        <v/>
      </c>
      <c r="E292" s="7" t="str">
        <f>IF(Notes!CC288="","",Notes!CC288)</f>
        <v/>
      </c>
      <c r="F292" s="7" t="str">
        <f>IF(Notes!CD288="","",Notes!CD288)</f>
        <v/>
      </c>
      <c r="G292" s="7" t="str">
        <f>IF(Notes!CE288="","",Notes!CE288)</f>
        <v/>
      </c>
      <c r="H292" s="7" t="str">
        <f>IF(Notes!CF288="","",Notes!CF288)</f>
        <v/>
      </c>
      <c r="I292" s="7"/>
      <c r="J292" s="7"/>
      <c r="K292" s="7"/>
    </row>
    <row r="293" spans="1:11" x14ac:dyDescent="0.35">
      <c r="A293" s="7" t="str">
        <f>IF(Notes!BY289="","",Notes!BY289)</f>
        <v/>
      </c>
      <c r="B293" s="7" t="str">
        <f>IF(Notes!BZ289="","",Notes!BZ289)</f>
        <v/>
      </c>
      <c r="C293" s="7" t="str">
        <f>IF(Notes!CA289="","",Notes!CA289)</f>
        <v/>
      </c>
      <c r="D293" s="7" t="str">
        <f>IF(Notes!CB289="","",Notes!CB289)</f>
        <v/>
      </c>
      <c r="E293" s="7" t="str">
        <f>IF(Notes!CC289="","",Notes!CC289)</f>
        <v/>
      </c>
      <c r="F293" s="7" t="str">
        <f>IF(Notes!CD289="","",Notes!CD289)</f>
        <v/>
      </c>
      <c r="G293" s="7" t="str">
        <f>IF(Notes!CE289="","",Notes!CE289)</f>
        <v/>
      </c>
      <c r="H293" s="7" t="str">
        <f>IF(Notes!CF289="","",Notes!CF289)</f>
        <v/>
      </c>
      <c r="I293" s="7"/>
      <c r="J293" s="7"/>
      <c r="K293" s="7"/>
    </row>
    <row r="294" spans="1:11" x14ac:dyDescent="0.35">
      <c r="A294" s="7" t="str">
        <f>IF(Notes!BY290="","",Notes!BY290)</f>
        <v/>
      </c>
      <c r="B294" s="7" t="str">
        <f>IF(Notes!BZ290="","",Notes!BZ290)</f>
        <v/>
      </c>
      <c r="C294" s="7" t="str">
        <f>IF(Notes!CA290="","",Notes!CA290)</f>
        <v/>
      </c>
      <c r="D294" s="7" t="str">
        <f>IF(Notes!CB290="","",Notes!CB290)</f>
        <v/>
      </c>
      <c r="E294" s="7" t="str">
        <f>IF(Notes!CC290="","",Notes!CC290)</f>
        <v/>
      </c>
      <c r="F294" s="7" t="str">
        <f>IF(Notes!CD290="","",Notes!CD290)</f>
        <v/>
      </c>
      <c r="G294" s="7" t="str">
        <f>IF(Notes!CE290="","",Notes!CE290)</f>
        <v/>
      </c>
      <c r="H294" s="7" t="str">
        <f>IF(Notes!CF290="","",Notes!CF290)</f>
        <v/>
      </c>
      <c r="I294" s="7"/>
      <c r="J294" s="7"/>
      <c r="K294" s="7"/>
    </row>
    <row r="295" spans="1:11" x14ac:dyDescent="0.35">
      <c r="A295" s="7" t="str">
        <f>IF(Notes!BY291="","",Notes!BY291)</f>
        <v/>
      </c>
      <c r="B295" s="7" t="str">
        <f>IF(Notes!BZ291="","",Notes!BZ291)</f>
        <v/>
      </c>
      <c r="C295" s="7" t="str">
        <f>IF(Notes!CA291="","",Notes!CA291)</f>
        <v/>
      </c>
      <c r="D295" s="7" t="str">
        <f>IF(Notes!CB291="","",Notes!CB291)</f>
        <v/>
      </c>
      <c r="E295" s="7" t="str">
        <f>IF(Notes!CC291="","",Notes!CC291)</f>
        <v/>
      </c>
      <c r="F295" s="7" t="str">
        <f>IF(Notes!CD291="","",Notes!CD291)</f>
        <v/>
      </c>
      <c r="G295" s="7" t="str">
        <f>IF(Notes!CE291="","",Notes!CE291)</f>
        <v/>
      </c>
      <c r="H295" s="7" t="str">
        <f>IF(Notes!CF291="","",Notes!CF291)</f>
        <v/>
      </c>
      <c r="I295" s="7"/>
      <c r="J295" s="7"/>
      <c r="K295" s="7"/>
    </row>
    <row r="296" spans="1:11" x14ac:dyDescent="0.35">
      <c r="A296" s="7" t="str">
        <f>IF(Notes!BY292="","",Notes!BY292)</f>
        <v/>
      </c>
      <c r="B296" s="7" t="str">
        <f>IF(Notes!BZ292="","",Notes!BZ292)</f>
        <v/>
      </c>
      <c r="C296" s="7" t="str">
        <f>IF(Notes!CA292="","",Notes!CA292)</f>
        <v/>
      </c>
      <c r="D296" s="7" t="str">
        <f>IF(Notes!CB292="","",Notes!CB292)</f>
        <v/>
      </c>
      <c r="E296" s="7" t="str">
        <f>IF(Notes!CC292="","",Notes!CC292)</f>
        <v/>
      </c>
      <c r="F296" s="7" t="str">
        <f>IF(Notes!CD292="","",Notes!CD292)</f>
        <v/>
      </c>
      <c r="G296" s="7" t="str">
        <f>IF(Notes!CE292="","",Notes!CE292)</f>
        <v/>
      </c>
      <c r="H296" s="7" t="str">
        <f>IF(Notes!CF292="","",Notes!CF292)</f>
        <v/>
      </c>
      <c r="I296" s="7"/>
      <c r="J296" s="7"/>
      <c r="K296" s="7"/>
    </row>
    <row r="297" spans="1:11" x14ac:dyDescent="0.35">
      <c r="A297" s="7" t="str">
        <f>IF(Notes!BY293="","",Notes!BY293)</f>
        <v/>
      </c>
      <c r="B297" s="7" t="str">
        <f>IF(Notes!BZ293="","",Notes!BZ293)</f>
        <v/>
      </c>
      <c r="C297" s="7" t="str">
        <f>IF(Notes!CA293="","",Notes!CA293)</f>
        <v/>
      </c>
      <c r="D297" s="7" t="str">
        <f>IF(Notes!CB293="","",Notes!CB293)</f>
        <v/>
      </c>
      <c r="E297" s="7" t="str">
        <f>IF(Notes!CC293="","",Notes!CC293)</f>
        <v/>
      </c>
      <c r="F297" s="7" t="str">
        <f>IF(Notes!CD293="","",Notes!CD293)</f>
        <v/>
      </c>
      <c r="G297" s="7" t="str">
        <f>IF(Notes!CE293="","",Notes!CE293)</f>
        <v/>
      </c>
      <c r="H297" s="7" t="str">
        <f>IF(Notes!CF293="","",Notes!CF293)</f>
        <v/>
      </c>
      <c r="I297" s="7"/>
      <c r="J297" s="7"/>
      <c r="K297" s="7"/>
    </row>
    <row r="298" spans="1:11" x14ac:dyDescent="0.35">
      <c r="A298" s="7" t="str">
        <f>IF(Notes!BY294="","",Notes!BY294)</f>
        <v/>
      </c>
      <c r="B298" s="7" t="str">
        <f>IF(Notes!BZ294="","",Notes!BZ294)</f>
        <v/>
      </c>
      <c r="C298" s="7" t="str">
        <f>IF(Notes!CA294="","",Notes!CA294)</f>
        <v/>
      </c>
      <c r="D298" s="7" t="str">
        <f>IF(Notes!CB294="","",Notes!CB294)</f>
        <v/>
      </c>
      <c r="E298" s="7" t="str">
        <f>IF(Notes!CC294="","",Notes!CC294)</f>
        <v/>
      </c>
      <c r="F298" s="7" t="str">
        <f>IF(Notes!CD294="","",Notes!CD294)</f>
        <v/>
      </c>
      <c r="G298" s="7" t="str">
        <f>IF(Notes!CE294="","",Notes!CE294)</f>
        <v/>
      </c>
      <c r="H298" s="7" t="str">
        <f>IF(Notes!CF294="","",Notes!CF294)</f>
        <v/>
      </c>
      <c r="I298" s="7"/>
      <c r="J298" s="7"/>
      <c r="K298" s="7"/>
    </row>
    <row r="299" spans="1:11" x14ac:dyDescent="0.35">
      <c r="A299" s="7" t="str">
        <f>IF(Notes!BY295="","",Notes!BY295)</f>
        <v/>
      </c>
      <c r="B299" s="7" t="str">
        <f>IF(Notes!BZ295="","",Notes!BZ295)</f>
        <v/>
      </c>
      <c r="C299" s="7" t="str">
        <f>IF(Notes!CA295="","",Notes!CA295)</f>
        <v/>
      </c>
      <c r="D299" s="7" t="str">
        <f>IF(Notes!CB295="","",Notes!CB295)</f>
        <v/>
      </c>
      <c r="E299" s="7" t="str">
        <f>IF(Notes!CC295="","",Notes!CC295)</f>
        <v/>
      </c>
      <c r="F299" s="7" t="str">
        <f>IF(Notes!CD295="","",Notes!CD295)</f>
        <v/>
      </c>
      <c r="G299" s="7" t="str">
        <f>IF(Notes!CE295="","",Notes!CE295)</f>
        <v/>
      </c>
      <c r="H299" s="7" t="str">
        <f>IF(Notes!CF295="","",Notes!CF295)</f>
        <v/>
      </c>
      <c r="I299" s="7"/>
      <c r="J299" s="7"/>
      <c r="K299" s="7"/>
    </row>
    <row r="300" spans="1:11" x14ac:dyDescent="0.35">
      <c r="A300" s="7" t="str">
        <f>IF(Notes!BY296="","",Notes!BY296)</f>
        <v/>
      </c>
      <c r="B300" s="7" t="str">
        <f>IF(Notes!BZ296="","",Notes!BZ296)</f>
        <v/>
      </c>
      <c r="C300" s="7" t="str">
        <f>IF(Notes!CA296="","",Notes!CA296)</f>
        <v/>
      </c>
      <c r="D300" s="7" t="str">
        <f>IF(Notes!CB296="","",Notes!CB296)</f>
        <v/>
      </c>
      <c r="E300" s="7" t="str">
        <f>IF(Notes!CC296="","",Notes!CC296)</f>
        <v/>
      </c>
      <c r="F300" s="7" t="str">
        <f>IF(Notes!CD296="","",Notes!CD296)</f>
        <v/>
      </c>
      <c r="G300" s="7" t="str">
        <f>IF(Notes!CE296="","",Notes!CE296)</f>
        <v/>
      </c>
      <c r="H300" s="7" t="str">
        <f>IF(Notes!CF296="","",Notes!CF296)</f>
        <v/>
      </c>
      <c r="I300" s="7"/>
      <c r="J300" s="7"/>
      <c r="K300" s="7"/>
    </row>
    <row r="301" spans="1:11" x14ac:dyDescent="0.35">
      <c r="A301" s="7" t="str">
        <f>IF(Notes!BY297="","",Notes!BY297)</f>
        <v/>
      </c>
      <c r="B301" s="7" t="str">
        <f>IF(Notes!BZ297="","",Notes!BZ297)</f>
        <v/>
      </c>
      <c r="C301" s="7" t="str">
        <f>IF(Notes!CA297="","",Notes!CA297)</f>
        <v/>
      </c>
      <c r="D301" s="7" t="str">
        <f>IF(Notes!CB297="","",Notes!CB297)</f>
        <v/>
      </c>
      <c r="E301" s="7" t="str">
        <f>IF(Notes!CC297="","",Notes!CC297)</f>
        <v/>
      </c>
      <c r="F301" s="7" t="str">
        <f>IF(Notes!CD297="","",Notes!CD297)</f>
        <v/>
      </c>
      <c r="G301" s="7" t="str">
        <f>IF(Notes!CE297="","",Notes!CE297)</f>
        <v/>
      </c>
      <c r="H301" s="7" t="str">
        <f>IF(Notes!CF297="","",Notes!CF297)</f>
        <v/>
      </c>
      <c r="I301" s="7"/>
      <c r="J301" s="7"/>
      <c r="K301" s="7"/>
    </row>
    <row r="302" spans="1:11" x14ac:dyDescent="0.35">
      <c r="A302" s="7" t="str">
        <f>IF(Notes!BY298="","",Notes!BY298)</f>
        <v/>
      </c>
      <c r="B302" s="7" t="str">
        <f>IF(Notes!BZ298="","",Notes!BZ298)</f>
        <v/>
      </c>
      <c r="C302" s="7" t="str">
        <f>IF(Notes!CA298="","",Notes!CA298)</f>
        <v/>
      </c>
      <c r="D302" s="7" t="str">
        <f>IF(Notes!CB298="","",Notes!CB298)</f>
        <v/>
      </c>
      <c r="E302" s="7" t="str">
        <f>IF(Notes!CC298="","",Notes!CC298)</f>
        <v/>
      </c>
      <c r="F302" s="7" t="str">
        <f>IF(Notes!CD298="","",Notes!CD298)</f>
        <v/>
      </c>
      <c r="G302" s="7" t="str">
        <f>IF(Notes!CE298="","",Notes!CE298)</f>
        <v/>
      </c>
      <c r="H302" s="7" t="str">
        <f>IF(Notes!CF298="","",Notes!CF298)</f>
        <v/>
      </c>
      <c r="I302" s="7"/>
      <c r="J302" s="7"/>
      <c r="K302" s="7"/>
    </row>
    <row r="303" spans="1:11" x14ac:dyDescent="0.35">
      <c r="A303" s="7" t="str">
        <f>IF(Notes!BY299="","",Notes!BY299)</f>
        <v/>
      </c>
      <c r="B303" s="7" t="str">
        <f>IF(Notes!BZ299="","",Notes!BZ299)</f>
        <v/>
      </c>
      <c r="C303" s="7" t="str">
        <f>IF(Notes!CA299="","",Notes!CA299)</f>
        <v/>
      </c>
      <c r="D303" s="7" t="str">
        <f>IF(Notes!CB299="","",Notes!CB299)</f>
        <v/>
      </c>
      <c r="E303" s="7" t="str">
        <f>IF(Notes!CC299="","",Notes!CC299)</f>
        <v/>
      </c>
      <c r="F303" s="7" t="str">
        <f>IF(Notes!CD299="","",Notes!CD299)</f>
        <v/>
      </c>
      <c r="G303" s="7" t="str">
        <f>IF(Notes!CE299="","",Notes!CE299)</f>
        <v/>
      </c>
      <c r="H303" s="7" t="str">
        <f>IF(Notes!CF299="","",Notes!CF299)</f>
        <v/>
      </c>
      <c r="I303" s="7"/>
      <c r="J303" s="7"/>
      <c r="K303" s="7"/>
    </row>
    <row r="304" spans="1:11" x14ac:dyDescent="0.35">
      <c r="A304" s="7" t="str">
        <f>IF(Notes!BY300="","",Notes!BY300)</f>
        <v/>
      </c>
      <c r="B304" s="7" t="str">
        <f>IF(Notes!BZ300="","",Notes!BZ300)</f>
        <v/>
      </c>
      <c r="C304" s="7" t="str">
        <f>IF(Notes!CA300="","",Notes!CA300)</f>
        <v/>
      </c>
      <c r="D304" s="7" t="str">
        <f>IF(Notes!CB300="","",Notes!CB300)</f>
        <v/>
      </c>
      <c r="E304" s="7" t="str">
        <f>IF(Notes!CC300="","",Notes!CC300)</f>
        <v/>
      </c>
      <c r="F304" s="7" t="str">
        <f>IF(Notes!CD300="","",Notes!CD300)</f>
        <v/>
      </c>
      <c r="G304" s="7" t="str">
        <f>IF(Notes!CE300="","",Notes!CE300)</f>
        <v/>
      </c>
      <c r="H304" s="7" t="str">
        <f>IF(Notes!CF300="","",Notes!CF300)</f>
        <v/>
      </c>
      <c r="I304" s="7"/>
      <c r="J304" s="7"/>
      <c r="K304" s="7"/>
    </row>
    <row r="305" spans="1:11" x14ac:dyDescent="0.35">
      <c r="A305" s="7" t="str">
        <f>IF(Notes!BY301="","",Notes!BY301)</f>
        <v/>
      </c>
      <c r="B305" s="7" t="str">
        <f>IF(Notes!BZ301="","",Notes!BZ301)</f>
        <v/>
      </c>
      <c r="C305" s="7" t="str">
        <f>IF(Notes!CA301="","",Notes!CA301)</f>
        <v/>
      </c>
      <c r="D305" s="7" t="str">
        <f>IF(Notes!CB301="","",Notes!CB301)</f>
        <v/>
      </c>
      <c r="E305" s="7" t="str">
        <f>IF(Notes!CC301="","",Notes!CC301)</f>
        <v/>
      </c>
      <c r="F305" s="7" t="str">
        <f>IF(Notes!CD301="","",Notes!CD301)</f>
        <v/>
      </c>
      <c r="G305" s="7" t="str">
        <f>IF(Notes!CE301="","",Notes!CE301)</f>
        <v/>
      </c>
      <c r="H305" s="7" t="str">
        <f>IF(Notes!CF301="","",Notes!CF301)</f>
        <v/>
      </c>
      <c r="I305" s="7"/>
      <c r="J305" s="7"/>
      <c r="K305" s="7"/>
    </row>
    <row r="306" spans="1:11" x14ac:dyDescent="0.35">
      <c r="A306" s="7" t="str">
        <f>IF(Notes!BY302="","",Notes!BY302)</f>
        <v/>
      </c>
      <c r="B306" s="7" t="str">
        <f>IF(Notes!BZ302="","",Notes!BZ302)</f>
        <v/>
      </c>
      <c r="C306" s="7" t="str">
        <f>IF(Notes!CA302="","",Notes!CA302)</f>
        <v/>
      </c>
      <c r="D306" s="7" t="str">
        <f>IF(Notes!CB302="","",Notes!CB302)</f>
        <v/>
      </c>
      <c r="E306" s="7" t="str">
        <f>IF(Notes!CC302="","",Notes!CC302)</f>
        <v/>
      </c>
      <c r="F306" s="7" t="str">
        <f>IF(Notes!CD302="","",Notes!CD302)</f>
        <v/>
      </c>
      <c r="G306" s="7" t="str">
        <f>IF(Notes!CE302="","",Notes!CE302)</f>
        <v/>
      </c>
      <c r="H306" s="7" t="str">
        <f>IF(Notes!CF302="","",Notes!CF302)</f>
        <v/>
      </c>
      <c r="I306" s="7"/>
      <c r="J306" s="7"/>
      <c r="K306" s="7"/>
    </row>
    <row r="307" spans="1:11" x14ac:dyDescent="0.35">
      <c r="A307" s="7" t="str">
        <f>IF(Notes!BY303="","",Notes!BY303)</f>
        <v/>
      </c>
      <c r="B307" s="7" t="str">
        <f>IF(Notes!BZ303="","",Notes!BZ303)</f>
        <v/>
      </c>
      <c r="C307" s="7" t="str">
        <f>IF(Notes!CA303="","",Notes!CA303)</f>
        <v/>
      </c>
      <c r="D307" s="7" t="str">
        <f>IF(Notes!CB303="","",Notes!CB303)</f>
        <v/>
      </c>
      <c r="E307" s="7" t="str">
        <f>IF(Notes!CC303="","",Notes!CC303)</f>
        <v/>
      </c>
      <c r="F307" s="7" t="str">
        <f>IF(Notes!CD303="","",Notes!CD303)</f>
        <v/>
      </c>
      <c r="G307" s="7" t="str">
        <f>IF(Notes!CE303="","",Notes!CE303)</f>
        <v/>
      </c>
      <c r="H307" s="7" t="str">
        <f>IF(Notes!CF303="","",Notes!CF303)</f>
        <v/>
      </c>
      <c r="I307" s="7"/>
      <c r="J307" s="7"/>
      <c r="K307" s="7"/>
    </row>
    <row r="308" spans="1:11" x14ac:dyDescent="0.35">
      <c r="A308" s="7" t="str">
        <f>IF(Notes!BY304="","",Notes!BY304)</f>
        <v/>
      </c>
      <c r="B308" s="7" t="str">
        <f>IF(Notes!BZ304="","",Notes!BZ304)</f>
        <v/>
      </c>
      <c r="C308" s="7" t="str">
        <f>IF(Notes!CA304="","",Notes!CA304)</f>
        <v/>
      </c>
      <c r="D308" s="7" t="str">
        <f>IF(Notes!CB304="","",Notes!CB304)</f>
        <v/>
      </c>
      <c r="E308" s="7" t="str">
        <f>IF(Notes!CC304="","",Notes!CC304)</f>
        <v/>
      </c>
      <c r="F308" s="7" t="str">
        <f>IF(Notes!CD304="","",Notes!CD304)</f>
        <v/>
      </c>
      <c r="G308" s="7" t="str">
        <f>IF(Notes!CE304="","",Notes!CE304)</f>
        <v/>
      </c>
      <c r="H308" s="7" t="str">
        <f>IF(Notes!CF304="","",Notes!CF304)</f>
        <v/>
      </c>
      <c r="I308" s="7"/>
      <c r="J308" s="7"/>
      <c r="K308" s="7"/>
    </row>
    <row r="309" spans="1:11" x14ac:dyDescent="0.35">
      <c r="A309" s="7" t="str">
        <f>IF(Notes!BY305="","",Notes!BY305)</f>
        <v/>
      </c>
      <c r="B309" s="7" t="str">
        <f>IF(Notes!BZ305="","",Notes!BZ305)</f>
        <v/>
      </c>
      <c r="C309" s="7" t="str">
        <f>IF(Notes!CA305="","",Notes!CA305)</f>
        <v/>
      </c>
      <c r="D309" s="7" t="str">
        <f>IF(Notes!CB305="","",Notes!CB305)</f>
        <v/>
      </c>
      <c r="E309" s="7" t="str">
        <f>IF(Notes!CC305="","",Notes!CC305)</f>
        <v/>
      </c>
      <c r="F309" s="7" t="str">
        <f>IF(Notes!CD305="","",Notes!CD305)</f>
        <v/>
      </c>
      <c r="G309" s="7" t="str">
        <f>IF(Notes!CE305="","",Notes!CE305)</f>
        <v/>
      </c>
      <c r="H309" s="7" t="str">
        <f>IF(Notes!CF305="","",Notes!CF305)</f>
        <v/>
      </c>
      <c r="I309" s="7"/>
      <c r="J309" s="7"/>
      <c r="K309" s="7"/>
    </row>
    <row r="310" spans="1:11" x14ac:dyDescent="0.35">
      <c r="A310" s="7" t="str">
        <f>IF(Notes!BY306="","",Notes!BY306)</f>
        <v/>
      </c>
      <c r="B310" s="7" t="str">
        <f>IF(Notes!BZ306="","",Notes!BZ306)</f>
        <v/>
      </c>
      <c r="C310" s="7" t="str">
        <f>IF(Notes!CA306="","",Notes!CA306)</f>
        <v/>
      </c>
      <c r="D310" s="7" t="str">
        <f>IF(Notes!CB306="","",Notes!CB306)</f>
        <v/>
      </c>
      <c r="E310" s="7" t="str">
        <f>IF(Notes!CC306="","",Notes!CC306)</f>
        <v/>
      </c>
      <c r="F310" s="7" t="str">
        <f>IF(Notes!CD306="","",Notes!CD306)</f>
        <v/>
      </c>
      <c r="G310" s="7" t="str">
        <f>IF(Notes!CE306="","",Notes!CE306)</f>
        <v/>
      </c>
      <c r="H310" s="7" t="str">
        <f>IF(Notes!CF306="","",Notes!CF306)</f>
        <v/>
      </c>
      <c r="I310" s="7"/>
      <c r="J310" s="7"/>
      <c r="K310" s="7"/>
    </row>
    <row r="311" spans="1:11" x14ac:dyDescent="0.35">
      <c r="A311" s="7" t="str">
        <f>IF(Notes!BY307="","",Notes!BY307)</f>
        <v/>
      </c>
      <c r="B311" s="7" t="str">
        <f>IF(Notes!BZ307="","",Notes!BZ307)</f>
        <v/>
      </c>
      <c r="C311" s="7" t="str">
        <f>IF(Notes!CA307="","",Notes!CA307)</f>
        <v/>
      </c>
      <c r="D311" s="7" t="str">
        <f>IF(Notes!CB307="","",Notes!CB307)</f>
        <v/>
      </c>
      <c r="E311" s="7" t="str">
        <f>IF(Notes!CC307="","",Notes!CC307)</f>
        <v/>
      </c>
      <c r="F311" s="7" t="str">
        <f>IF(Notes!CD307="","",Notes!CD307)</f>
        <v/>
      </c>
      <c r="G311" s="7" t="str">
        <f>IF(Notes!CE307="","",Notes!CE307)</f>
        <v/>
      </c>
      <c r="H311" s="7" t="str">
        <f>IF(Notes!CF307="","",Notes!CF307)</f>
        <v/>
      </c>
      <c r="I311" s="7"/>
      <c r="J311" s="7"/>
      <c r="K311" s="7"/>
    </row>
    <row r="312" spans="1:11" x14ac:dyDescent="0.35">
      <c r="A312" s="7" t="str">
        <f>IF(Notes!BY308="","",Notes!BY308)</f>
        <v/>
      </c>
      <c r="B312" s="7" t="str">
        <f>IF(Notes!BZ308="","",Notes!BZ308)</f>
        <v/>
      </c>
      <c r="C312" s="7" t="str">
        <f>IF(Notes!CA308="","",Notes!CA308)</f>
        <v/>
      </c>
      <c r="D312" s="7" t="str">
        <f>IF(Notes!CB308="","",Notes!CB308)</f>
        <v/>
      </c>
      <c r="E312" s="7" t="str">
        <f>IF(Notes!CC308="","",Notes!CC308)</f>
        <v/>
      </c>
      <c r="F312" s="7" t="str">
        <f>IF(Notes!CD308="","",Notes!CD308)</f>
        <v/>
      </c>
      <c r="G312" s="7" t="str">
        <f>IF(Notes!CE308="","",Notes!CE308)</f>
        <v/>
      </c>
      <c r="H312" s="7" t="str">
        <f>IF(Notes!CF308="","",Notes!CF308)</f>
        <v/>
      </c>
      <c r="I312" s="7"/>
      <c r="J312" s="7"/>
      <c r="K312" s="7"/>
    </row>
    <row r="313" spans="1:11" x14ac:dyDescent="0.35">
      <c r="A313" s="7" t="str">
        <f>IF(Notes!BY309="","",Notes!BY309)</f>
        <v/>
      </c>
      <c r="B313" s="7" t="str">
        <f>IF(Notes!BZ309="","",Notes!BZ309)</f>
        <v/>
      </c>
      <c r="C313" s="7" t="str">
        <f>IF(Notes!CA309="","",Notes!CA309)</f>
        <v/>
      </c>
      <c r="D313" s="7" t="str">
        <f>IF(Notes!CB309="","",Notes!CB309)</f>
        <v/>
      </c>
      <c r="E313" s="7" t="str">
        <f>IF(Notes!CC309="","",Notes!CC309)</f>
        <v/>
      </c>
      <c r="F313" s="7" t="str">
        <f>IF(Notes!CD309="","",Notes!CD309)</f>
        <v/>
      </c>
      <c r="G313" s="7" t="str">
        <f>IF(Notes!CE309="","",Notes!CE309)</f>
        <v/>
      </c>
      <c r="H313" s="7" t="str">
        <f>IF(Notes!CF309="","",Notes!CF309)</f>
        <v/>
      </c>
      <c r="I313" s="7"/>
      <c r="J313" s="7"/>
      <c r="K313" s="7"/>
    </row>
    <row r="314" spans="1:11" x14ac:dyDescent="0.35">
      <c r="A314" s="7" t="str">
        <f>IF(Notes!BY310="","",Notes!BY310)</f>
        <v/>
      </c>
      <c r="B314" s="7" t="str">
        <f>IF(Notes!BZ310="","",Notes!BZ310)</f>
        <v/>
      </c>
      <c r="C314" s="7" t="str">
        <f>IF(Notes!CA310="","",Notes!CA310)</f>
        <v/>
      </c>
      <c r="D314" s="7" t="str">
        <f>IF(Notes!CB310="","",Notes!CB310)</f>
        <v/>
      </c>
      <c r="E314" s="7" t="str">
        <f>IF(Notes!CC310="","",Notes!CC310)</f>
        <v/>
      </c>
      <c r="F314" s="7" t="str">
        <f>IF(Notes!CD310="","",Notes!CD310)</f>
        <v/>
      </c>
      <c r="G314" s="7" t="str">
        <f>IF(Notes!CE310="","",Notes!CE310)</f>
        <v/>
      </c>
      <c r="H314" s="7" t="str">
        <f>IF(Notes!CF310="","",Notes!CF310)</f>
        <v/>
      </c>
      <c r="I314" s="7"/>
      <c r="J314" s="7"/>
      <c r="K314" s="7"/>
    </row>
    <row r="315" spans="1:11" x14ac:dyDescent="0.35">
      <c r="A315" s="7" t="str">
        <f>IF(Notes!BY311="","",Notes!BY311)</f>
        <v/>
      </c>
      <c r="B315" s="7" t="str">
        <f>IF(Notes!BZ311="","",Notes!BZ311)</f>
        <v/>
      </c>
      <c r="C315" s="7" t="str">
        <f>IF(Notes!CA311="","",Notes!CA311)</f>
        <v/>
      </c>
      <c r="D315" s="7" t="str">
        <f>IF(Notes!CB311="","",Notes!CB311)</f>
        <v/>
      </c>
      <c r="E315" s="7" t="str">
        <f>IF(Notes!CC311="","",Notes!CC311)</f>
        <v/>
      </c>
      <c r="F315" s="7" t="str">
        <f>IF(Notes!CD311="","",Notes!CD311)</f>
        <v/>
      </c>
      <c r="G315" s="7" t="str">
        <f>IF(Notes!CE311="","",Notes!CE311)</f>
        <v/>
      </c>
      <c r="H315" s="7" t="str">
        <f>IF(Notes!CF311="","",Notes!CF311)</f>
        <v/>
      </c>
      <c r="I315" s="7"/>
      <c r="J315" s="7"/>
      <c r="K315" s="7"/>
    </row>
    <row r="316" spans="1:11" x14ac:dyDescent="0.35">
      <c r="A316" s="7" t="str">
        <f>IF(Notes!BY312="","",Notes!BY312)</f>
        <v/>
      </c>
      <c r="B316" s="7" t="str">
        <f>IF(Notes!BZ312="","",Notes!BZ312)</f>
        <v/>
      </c>
      <c r="C316" s="7" t="str">
        <f>IF(Notes!CA312="","",Notes!CA312)</f>
        <v/>
      </c>
      <c r="D316" s="7" t="str">
        <f>IF(Notes!CB312="","",Notes!CB312)</f>
        <v/>
      </c>
      <c r="E316" s="7" t="str">
        <f>IF(Notes!CC312="","",Notes!CC312)</f>
        <v/>
      </c>
      <c r="F316" s="7" t="str">
        <f>IF(Notes!CD312="","",Notes!CD312)</f>
        <v/>
      </c>
      <c r="G316" s="7" t="str">
        <f>IF(Notes!CE312="","",Notes!CE312)</f>
        <v/>
      </c>
      <c r="H316" s="7" t="str">
        <f>IF(Notes!CF312="","",Notes!CF312)</f>
        <v/>
      </c>
      <c r="I316" s="7"/>
      <c r="J316" s="7"/>
      <c r="K316" s="7"/>
    </row>
    <row r="317" spans="1:11" x14ac:dyDescent="0.35">
      <c r="A317" s="7" t="str">
        <f>IF(Notes!BY313="","",Notes!BY313)</f>
        <v/>
      </c>
      <c r="B317" s="7" t="str">
        <f>IF(Notes!BZ313="","",Notes!BZ313)</f>
        <v/>
      </c>
      <c r="C317" s="7" t="str">
        <f>IF(Notes!CA313="","",Notes!CA313)</f>
        <v/>
      </c>
      <c r="D317" s="7" t="str">
        <f>IF(Notes!CB313="","",Notes!CB313)</f>
        <v/>
      </c>
      <c r="E317" s="7" t="str">
        <f>IF(Notes!CC313="","",Notes!CC313)</f>
        <v/>
      </c>
      <c r="F317" s="7" t="str">
        <f>IF(Notes!CD313="","",Notes!CD313)</f>
        <v/>
      </c>
      <c r="G317" s="7" t="str">
        <f>IF(Notes!CE313="","",Notes!CE313)</f>
        <v/>
      </c>
      <c r="H317" s="7" t="str">
        <f>IF(Notes!CF313="","",Notes!CF313)</f>
        <v/>
      </c>
      <c r="I317" s="7"/>
      <c r="J317" s="7"/>
      <c r="K317" s="7"/>
    </row>
    <row r="318" spans="1:11" x14ac:dyDescent="0.35">
      <c r="A318" s="7" t="str">
        <f>IF(Notes!BY314="","",Notes!BY314)</f>
        <v/>
      </c>
      <c r="B318" s="7" t="str">
        <f>IF(Notes!BZ314="","",Notes!BZ314)</f>
        <v/>
      </c>
      <c r="C318" s="7" t="str">
        <f>IF(Notes!CA314="","",Notes!CA314)</f>
        <v/>
      </c>
      <c r="D318" s="7" t="str">
        <f>IF(Notes!CB314="","",Notes!CB314)</f>
        <v/>
      </c>
      <c r="E318" s="7" t="str">
        <f>IF(Notes!CC314="","",Notes!CC314)</f>
        <v/>
      </c>
      <c r="F318" s="7" t="str">
        <f>IF(Notes!CD314="","",Notes!CD314)</f>
        <v/>
      </c>
      <c r="G318" s="7" t="str">
        <f>IF(Notes!CE314="","",Notes!CE314)</f>
        <v/>
      </c>
      <c r="H318" s="7" t="str">
        <f>IF(Notes!CF314="","",Notes!CF314)</f>
        <v/>
      </c>
      <c r="I318" s="7"/>
      <c r="J318" s="7"/>
      <c r="K318" s="7"/>
    </row>
    <row r="319" spans="1:11" x14ac:dyDescent="0.35">
      <c r="A319" s="7" t="str">
        <f>IF(Notes!BY315="","",Notes!BY315)</f>
        <v/>
      </c>
      <c r="B319" s="7" t="str">
        <f>IF(Notes!BZ315="","",Notes!BZ315)</f>
        <v/>
      </c>
      <c r="C319" s="7" t="str">
        <f>IF(Notes!CA315="","",Notes!CA315)</f>
        <v/>
      </c>
      <c r="D319" s="7" t="str">
        <f>IF(Notes!CB315="","",Notes!CB315)</f>
        <v/>
      </c>
      <c r="E319" s="7" t="str">
        <f>IF(Notes!CC315="","",Notes!CC315)</f>
        <v/>
      </c>
      <c r="F319" s="7" t="str">
        <f>IF(Notes!CD315="","",Notes!CD315)</f>
        <v/>
      </c>
      <c r="G319" s="7" t="str">
        <f>IF(Notes!CE315="","",Notes!CE315)</f>
        <v/>
      </c>
      <c r="H319" s="7" t="str">
        <f>IF(Notes!CF315="","",Notes!CF315)</f>
        <v/>
      </c>
      <c r="I319" s="7"/>
      <c r="J319" s="7"/>
      <c r="K319" s="7"/>
    </row>
    <row r="320" spans="1:11" x14ac:dyDescent="0.35">
      <c r="A320" s="7" t="str">
        <f>IF(Notes!BY316="","",Notes!BY316)</f>
        <v/>
      </c>
      <c r="B320" s="7" t="str">
        <f>IF(Notes!BZ316="","",Notes!BZ316)</f>
        <v/>
      </c>
      <c r="C320" s="7" t="str">
        <f>IF(Notes!CA316="","",Notes!CA316)</f>
        <v/>
      </c>
      <c r="D320" s="7" t="str">
        <f>IF(Notes!CB316="","",Notes!CB316)</f>
        <v/>
      </c>
      <c r="E320" s="7" t="str">
        <f>IF(Notes!CC316="","",Notes!CC316)</f>
        <v/>
      </c>
      <c r="F320" s="7" t="str">
        <f>IF(Notes!CD316="","",Notes!CD316)</f>
        <v/>
      </c>
      <c r="G320" s="7" t="str">
        <f>IF(Notes!CE316="","",Notes!CE316)</f>
        <v/>
      </c>
      <c r="H320" s="7" t="str">
        <f>IF(Notes!CF316="","",Notes!CF316)</f>
        <v/>
      </c>
      <c r="I320" s="7"/>
      <c r="J320" s="7"/>
      <c r="K320" s="7"/>
    </row>
    <row r="321" spans="1:11" x14ac:dyDescent="0.35">
      <c r="A321" s="7" t="str">
        <f>IF(Notes!BY317="","",Notes!BY317)</f>
        <v/>
      </c>
      <c r="B321" s="7" t="str">
        <f>IF(Notes!BZ317="","",Notes!BZ317)</f>
        <v/>
      </c>
      <c r="C321" s="7" t="str">
        <f>IF(Notes!CA317="","",Notes!CA317)</f>
        <v/>
      </c>
      <c r="D321" s="7" t="str">
        <f>IF(Notes!CB317="","",Notes!CB317)</f>
        <v/>
      </c>
      <c r="E321" s="7" t="str">
        <f>IF(Notes!CC317="","",Notes!CC317)</f>
        <v/>
      </c>
      <c r="F321" s="7" t="str">
        <f>IF(Notes!CD317="","",Notes!CD317)</f>
        <v/>
      </c>
      <c r="G321" s="7" t="str">
        <f>IF(Notes!CE317="","",Notes!CE317)</f>
        <v/>
      </c>
      <c r="H321" s="7" t="str">
        <f>IF(Notes!CF317="","",Notes!CF317)</f>
        <v/>
      </c>
      <c r="I321" s="7"/>
      <c r="J321" s="7"/>
      <c r="K321" s="7"/>
    </row>
    <row r="322" spans="1:11" x14ac:dyDescent="0.35">
      <c r="A322" s="7" t="str">
        <f>IF(Notes!BY318="","",Notes!BY318)</f>
        <v/>
      </c>
      <c r="B322" s="7" t="str">
        <f>IF(Notes!BZ318="","",Notes!BZ318)</f>
        <v/>
      </c>
      <c r="C322" s="7" t="str">
        <f>IF(Notes!CA318="","",Notes!CA318)</f>
        <v/>
      </c>
      <c r="D322" s="7" t="str">
        <f>IF(Notes!CB318="","",Notes!CB318)</f>
        <v/>
      </c>
      <c r="E322" s="7" t="str">
        <f>IF(Notes!CC318="","",Notes!CC318)</f>
        <v/>
      </c>
      <c r="F322" s="7" t="str">
        <f>IF(Notes!CD318="","",Notes!CD318)</f>
        <v/>
      </c>
      <c r="G322" s="7" t="str">
        <f>IF(Notes!CE318="","",Notes!CE318)</f>
        <v/>
      </c>
      <c r="H322" s="7" t="str">
        <f>IF(Notes!CF318="","",Notes!CF318)</f>
        <v/>
      </c>
      <c r="I322" s="7"/>
      <c r="J322" s="7"/>
      <c r="K322" s="7"/>
    </row>
    <row r="323" spans="1:11" x14ac:dyDescent="0.35">
      <c r="A323" s="7" t="str">
        <f>IF(Notes!BY319="","",Notes!BY319)</f>
        <v/>
      </c>
      <c r="B323" s="7" t="str">
        <f>IF(Notes!BZ319="","",Notes!BZ319)</f>
        <v/>
      </c>
      <c r="C323" s="7" t="str">
        <f>IF(Notes!CA319="","",Notes!CA319)</f>
        <v/>
      </c>
      <c r="D323" s="7" t="str">
        <f>IF(Notes!CB319="","",Notes!CB319)</f>
        <v/>
      </c>
      <c r="E323" s="7" t="str">
        <f>IF(Notes!CC319="","",Notes!CC319)</f>
        <v/>
      </c>
      <c r="F323" s="7" t="str">
        <f>IF(Notes!CD319="","",Notes!CD319)</f>
        <v/>
      </c>
      <c r="G323" s="7" t="str">
        <f>IF(Notes!CE319="","",Notes!CE319)</f>
        <v/>
      </c>
      <c r="H323" s="7" t="str">
        <f>IF(Notes!CF319="","",Notes!CF319)</f>
        <v/>
      </c>
      <c r="I323" s="7"/>
      <c r="J323" s="7"/>
      <c r="K323" s="7"/>
    </row>
    <row r="324" spans="1:11" x14ac:dyDescent="0.35">
      <c r="A324" s="7" t="str">
        <f>IF(Notes!BY320="","",Notes!BY320)</f>
        <v/>
      </c>
      <c r="B324" s="7" t="str">
        <f>IF(Notes!BZ320="","",Notes!BZ320)</f>
        <v/>
      </c>
      <c r="C324" s="7" t="str">
        <f>IF(Notes!CA320="","",Notes!CA320)</f>
        <v/>
      </c>
      <c r="D324" s="7" t="str">
        <f>IF(Notes!CB320="","",Notes!CB320)</f>
        <v/>
      </c>
      <c r="E324" s="7" t="str">
        <f>IF(Notes!CC320="","",Notes!CC320)</f>
        <v/>
      </c>
      <c r="F324" s="7" t="str">
        <f>IF(Notes!CD320="","",Notes!CD320)</f>
        <v/>
      </c>
      <c r="G324" s="7" t="str">
        <f>IF(Notes!CE320="","",Notes!CE320)</f>
        <v/>
      </c>
      <c r="H324" s="7" t="str">
        <f>IF(Notes!CF320="","",Notes!CF320)</f>
        <v/>
      </c>
      <c r="I324" s="7"/>
      <c r="J324" s="7"/>
      <c r="K324" s="7"/>
    </row>
    <row r="325" spans="1:11" x14ac:dyDescent="0.35">
      <c r="A325" s="7" t="str">
        <f>IF(Notes!BY321="","",Notes!BY321)</f>
        <v/>
      </c>
      <c r="B325" s="7" t="str">
        <f>IF(Notes!BZ321="","",Notes!BZ321)</f>
        <v/>
      </c>
      <c r="C325" s="7" t="str">
        <f>IF(Notes!CA321="","",Notes!CA321)</f>
        <v/>
      </c>
      <c r="D325" s="7" t="str">
        <f>IF(Notes!CB321="","",Notes!CB321)</f>
        <v/>
      </c>
      <c r="E325" s="7" t="str">
        <f>IF(Notes!CC321="","",Notes!CC321)</f>
        <v/>
      </c>
      <c r="F325" s="7" t="str">
        <f>IF(Notes!CD321="","",Notes!CD321)</f>
        <v/>
      </c>
      <c r="G325" s="7" t="str">
        <f>IF(Notes!CE321="","",Notes!CE321)</f>
        <v/>
      </c>
      <c r="H325" s="7" t="str">
        <f>IF(Notes!CF321="","",Notes!CF321)</f>
        <v/>
      </c>
      <c r="I325" s="7"/>
      <c r="J325" s="7"/>
      <c r="K325" s="7"/>
    </row>
    <row r="326" spans="1:11" x14ac:dyDescent="0.35">
      <c r="A326" s="7" t="str">
        <f>IF(Notes!BY322="","",Notes!BY322)</f>
        <v/>
      </c>
      <c r="B326" s="7" t="str">
        <f>IF(Notes!BZ322="","",Notes!BZ322)</f>
        <v/>
      </c>
      <c r="C326" s="7" t="str">
        <f>IF(Notes!CA322="","",Notes!CA322)</f>
        <v/>
      </c>
      <c r="D326" s="7" t="str">
        <f>IF(Notes!CB322="","",Notes!CB322)</f>
        <v/>
      </c>
      <c r="E326" s="7" t="str">
        <f>IF(Notes!CC322="","",Notes!CC322)</f>
        <v/>
      </c>
      <c r="F326" s="7" t="str">
        <f>IF(Notes!CD322="","",Notes!CD322)</f>
        <v/>
      </c>
      <c r="G326" s="7" t="str">
        <f>IF(Notes!CE322="","",Notes!CE322)</f>
        <v/>
      </c>
      <c r="H326" s="7" t="str">
        <f>IF(Notes!CF322="","",Notes!CF322)</f>
        <v/>
      </c>
      <c r="I326" s="7"/>
      <c r="J326" s="7"/>
      <c r="K326" s="7"/>
    </row>
    <row r="327" spans="1:11" x14ac:dyDescent="0.35">
      <c r="A327" s="7" t="str">
        <f>IF(Notes!BY323="","",Notes!BY323)</f>
        <v/>
      </c>
      <c r="B327" s="7" t="str">
        <f>IF(Notes!BZ323="","",Notes!BZ323)</f>
        <v/>
      </c>
      <c r="C327" s="7" t="str">
        <f>IF(Notes!CA323="","",Notes!CA323)</f>
        <v/>
      </c>
      <c r="D327" s="7" t="str">
        <f>IF(Notes!CB323="","",Notes!CB323)</f>
        <v/>
      </c>
      <c r="E327" s="7" t="str">
        <f>IF(Notes!CC323="","",Notes!CC323)</f>
        <v/>
      </c>
      <c r="F327" s="7" t="str">
        <f>IF(Notes!CD323="","",Notes!CD323)</f>
        <v/>
      </c>
      <c r="G327" s="7" t="str">
        <f>IF(Notes!CE323="","",Notes!CE323)</f>
        <v/>
      </c>
      <c r="H327" s="7" t="str">
        <f>IF(Notes!CF323="","",Notes!CF323)</f>
        <v/>
      </c>
      <c r="I327" s="7"/>
      <c r="J327" s="7"/>
      <c r="K327" s="7"/>
    </row>
    <row r="328" spans="1:11" x14ac:dyDescent="0.35">
      <c r="A328" s="7" t="str">
        <f>IF(Notes!BY324="","",Notes!BY324)</f>
        <v/>
      </c>
      <c r="B328" s="7" t="str">
        <f>IF(Notes!BZ324="","",Notes!BZ324)</f>
        <v/>
      </c>
      <c r="C328" s="7" t="str">
        <f>IF(Notes!CA324="","",Notes!CA324)</f>
        <v/>
      </c>
      <c r="D328" s="7" t="str">
        <f>IF(Notes!CB324="","",Notes!CB324)</f>
        <v/>
      </c>
      <c r="E328" s="7" t="str">
        <f>IF(Notes!CC324="","",Notes!CC324)</f>
        <v/>
      </c>
      <c r="F328" s="7" t="str">
        <f>IF(Notes!CD324="","",Notes!CD324)</f>
        <v/>
      </c>
      <c r="G328" s="7" t="str">
        <f>IF(Notes!CE324="","",Notes!CE324)</f>
        <v/>
      </c>
      <c r="H328" s="7" t="str">
        <f>IF(Notes!CF324="","",Notes!CF324)</f>
        <v/>
      </c>
      <c r="I328" s="7"/>
      <c r="J328" s="7"/>
      <c r="K328" s="7"/>
    </row>
    <row r="329" spans="1:11" x14ac:dyDescent="0.35">
      <c r="A329" s="7" t="str">
        <f>IF(Notes!BY325="","",Notes!BY325)</f>
        <v/>
      </c>
      <c r="B329" s="7" t="str">
        <f>IF(Notes!BZ325="","",Notes!BZ325)</f>
        <v/>
      </c>
      <c r="C329" s="7" t="str">
        <f>IF(Notes!CA325="","",Notes!CA325)</f>
        <v/>
      </c>
      <c r="D329" s="7" t="str">
        <f>IF(Notes!CB325="","",Notes!CB325)</f>
        <v/>
      </c>
      <c r="E329" s="7" t="str">
        <f>IF(Notes!CC325="","",Notes!CC325)</f>
        <v/>
      </c>
      <c r="F329" s="7" t="str">
        <f>IF(Notes!CD325="","",Notes!CD325)</f>
        <v/>
      </c>
      <c r="G329" s="7" t="str">
        <f>IF(Notes!CE325="","",Notes!CE325)</f>
        <v/>
      </c>
      <c r="H329" s="7" t="str">
        <f>IF(Notes!CF325="","",Notes!CF325)</f>
        <v/>
      </c>
      <c r="I329" s="7"/>
      <c r="J329" s="7"/>
      <c r="K329" s="7"/>
    </row>
    <row r="330" spans="1:11" x14ac:dyDescent="0.35">
      <c r="A330" s="7" t="str">
        <f>IF(Notes!BY326="","",Notes!BY326)</f>
        <v/>
      </c>
      <c r="B330" s="7" t="str">
        <f>IF(Notes!BZ326="","",Notes!BZ326)</f>
        <v/>
      </c>
      <c r="C330" s="7" t="str">
        <f>IF(Notes!CA326="","",Notes!CA326)</f>
        <v/>
      </c>
      <c r="D330" s="7" t="str">
        <f>IF(Notes!CB326="","",Notes!CB326)</f>
        <v/>
      </c>
      <c r="E330" s="7" t="str">
        <f>IF(Notes!CC326="","",Notes!CC326)</f>
        <v/>
      </c>
      <c r="F330" s="7" t="str">
        <f>IF(Notes!CD326="","",Notes!CD326)</f>
        <v/>
      </c>
      <c r="G330" s="7" t="str">
        <f>IF(Notes!CE326="","",Notes!CE326)</f>
        <v/>
      </c>
      <c r="H330" s="7" t="str">
        <f>IF(Notes!CF326="","",Notes!CF326)</f>
        <v/>
      </c>
      <c r="I330" s="7"/>
      <c r="J330" s="7"/>
      <c r="K330" s="7"/>
    </row>
    <row r="331" spans="1:11" x14ac:dyDescent="0.35">
      <c r="A331" s="7" t="str">
        <f>IF(Notes!BY327="","",Notes!BY327)</f>
        <v/>
      </c>
      <c r="B331" s="7" t="str">
        <f>IF(Notes!BZ327="","",Notes!BZ327)</f>
        <v/>
      </c>
      <c r="C331" s="7" t="str">
        <f>IF(Notes!CA327="","",Notes!CA327)</f>
        <v/>
      </c>
      <c r="D331" s="7" t="str">
        <f>IF(Notes!CB327="","",Notes!CB327)</f>
        <v/>
      </c>
      <c r="E331" s="7" t="str">
        <f>IF(Notes!CC327="","",Notes!CC327)</f>
        <v/>
      </c>
      <c r="F331" s="7" t="str">
        <f>IF(Notes!CD327="","",Notes!CD327)</f>
        <v/>
      </c>
      <c r="G331" s="7" t="str">
        <f>IF(Notes!CE327="","",Notes!CE327)</f>
        <v/>
      </c>
      <c r="H331" s="7" t="str">
        <f>IF(Notes!CF327="","",Notes!CF327)</f>
        <v/>
      </c>
      <c r="I331" s="7"/>
      <c r="J331" s="7"/>
      <c r="K331" s="7"/>
    </row>
    <row r="332" spans="1:11" x14ac:dyDescent="0.35">
      <c r="A332" s="7" t="str">
        <f>IF(Notes!BY328="","",Notes!BY328)</f>
        <v/>
      </c>
      <c r="B332" s="7" t="str">
        <f>IF(Notes!BZ328="","",Notes!BZ328)</f>
        <v/>
      </c>
      <c r="C332" s="7" t="str">
        <f>IF(Notes!CA328="","",Notes!CA328)</f>
        <v/>
      </c>
      <c r="D332" s="7" t="str">
        <f>IF(Notes!CB328="","",Notes!CB328)</f>
        <v/>
      </c>
      <c r="E332" s="7" t="str">
        <f>IF(Notes!CC328="","",Notes!CC328)</f>
        <v/>
      </c>
      <c r="F332" s="7" t="str">
        <f>IF(Notes!CD328="","",Notes!CD328)</f>
        <v/>
      </c>
      <c r="G332" s="7" t="str">
        <f>IF(Notes!CE328="","",Notes!CE328)</f>
        <v/>
      </c>
      <c r="H332" s="7" t="str">
        <f>IF(Notes!CF328="","",Notes!CF328)</f>
        <v/>
      </c>
      <c r="I332" s="7"/>
      <c r="J332" s="7"/>
      <c r="K332" s="7"/>
    </row>
    <row r="333" spans="1:11" x14ac:dyDescent="0.35">
      <c r="A333" s="7" t="str">
        <f>IF(Notes!BY329="","",Notes!BY329)</f>
        <v/>
      </c>
      <c r="B333" s="7" t="str">
        <f>IF(Notes!BZ329="","",Notes!BZ329)</f>
        <v/>
      </c>
      <c r="C333" s="7" t="str">
        <f>IF(Notes!CA329="","",Notes!CA329)</f>
        <v/>
      </c>
      <c r="D333" s="7" t="str">
        <f>IF(Notes!CB329="","",Notes!CB329)</f>
        <v/>
      </c>
      <c r="E333" s="7" t="str">
        <f>IF(Notes!CC329="","",Notes!CC329)</f>
        <v/>
      </c>
      <c r="F333" s="7" t="str">
        <f>IF(Notes!CD329="","",Notes!CD329)</f>
        <v/>
      </c>
      <c r="G333" s="7" t="str">
        <f>IF(Notes!CE329="","",Notes!CE329)</f>
        <v/>
      </c>
      <c r="H333" s="7" t="str">
        <f>IF(Notes!CF329="","",Notes!CF329)</f>
        <v/>
      </c>
      <c r="I333" s="7"/>
      <c r="J333" s="7"/>
      <c r="K333" s="7"/>
    </row>
    <row r="334" spans="1:11" x14ac:dyDescent="0.35">
      <c r="A334" s="7" t="str">
        <f>IF(Notes!BY330="","",Notes!BY330)</f>
        <v/>
      </c>
      <c r="B334" s="7" t="str">
        <f>IF(Notes!BZ330="","",Notes!BZ330)</f>
        <v/>
      </c>
      <c r="C334" s="7" t="str">
        <f>IF(Notes!CA330="","",Notes!CA330)</f>
        <v/>
      </c>
      <c r="D334" s="7" t="str">
        <f>IF(Notes!CB330="","",Notes!CB330)</f>
        <v/>
      </c>
      <c r="E334" s="7" t="str">
        <f>IF(Notes!CC330="","",Notes!CC330)</f>
        <v/>
      </c>
      <c r="F334" s="7" t="str">
        <f>IF(Notes!CD330="","",Notes!CD330)</f>
        <v/>
      </c>
      <c r="G334" s="7" t="str">
        <f>IF(Notes!CE330="","",Notes!CE330)</f>
        <v/>
      </c>
      <c r="H334" s="7" t="str">
        <f>IF(Notes!CF330="","",Notes!CF330)</f>
        <v/>
      </c>
      <c r="I334" s="7"/>
      <c r="J334" s="7"/>
      <c r="K334" s="7"/>
    </row>
    <row r="335" spans="1:11" x14ac:dyDescent="0.35">
      <c r="A335" s="7" t="str">
        <f>IF(Notes!BY331="","",Notes!BY331)</f>
        <v/>
      </c>
      <c r="B335" s="7" t="str">
        <f>IF(Notes!BZ331="","",Notes!BZ331)</f>
        <v/>
      </c>
      <c r="C335" s="7" t="str">
        <f>IF(Notes!CA331="","",Notes!CA331)</f>
        <v/>
      </c>
      <c r="D335" s="7" t="str">
        <f>IF(Notes!CB331="","",Notes!CB331)</f>
        <v/>
      </c>
      <c r="E335" s="7" t="str">
        <f>IF(Notes!CC331="","",Notes!CC331)</f>
        <v/>
      </c>
      <c r="F335" s="7" t="str">
        <f>IF(Notes!CD331="","",Notes!CD331)</f>
        <v/>
      </c>
      <c r="G335" s="7" t="str">
        <f>IF(Notes!CE331="","",Notes!CE331)</f>
        <v/>
      </c>
      <c r="H335" s="7" t="str">
        <f>IF(Notes!CF331="","",Notes!CF331)</f>
        <v/>
      </c>
      <c r="I335" s="7"/>
      <c r="J335" s="7"/>
      <c r="K335" s="7"/>
    </row>
    <row r="336" spans="1:11" x14ac:dyDescent="0.35">
      <c r="A336" s="7" t="str">
        <f>IF(Notes!BY332="","",Notes!BY332)</f>
        <v/>
      </c>
      <c r="B336" s="7" t="str">
        <f>IF(Notes!BZ332="","",Notes!BZ332)</f>
        <v/>
      </c>
      <c r="C336" s="7" t="str">
        <f>IF(Notes!CA332="","",Notes!CA332)</f>
        <v/>
      </c>
      <c r="D336" s="7" t="str">
        <f>IF(Notes!CB332="","",Notes!CB332)</f>
        <v/>
      </c>
      <c r="E336" s="7" t="str">
        <f>IF(Notes!CC332="","",Notes!CC332)</f>
        <v/>
      </c>
      <c r="F336" s="7" t="str">
        <f>IF(Notes!CD332="","",Notes!CD332)</f>
        <v/>
      </c>
      <c r="G336" s="7" t="str">
        <f>IF(Notes!CE332="","",Notes!CE332)</f>
        <v/>
      </c>
      <c r="H336" s="7" t="str">
        <f>IF(Notes!CF332="","",Notes!CF332)</f>
        <v/>
      </c>
      <c r="I336" s="7"/>
      <c r="J336" s="7"/>
      <c r="K336" s="7"/>
    </row>
    <row r="337" spans="1:11" x14ac:dyDescent="0.35">
      <c r="A337" s="7" t="str">
        <f>IF(Notes!BY333="","",Notes!BY333)</f>
        <v/>
      </c>
      <c r="B337" s="7" t="str">
        <f>IF(Notes!BZ333="","",Notes!BZ333)</f>
        <v/>
      </c>
      <c r="C337" s="7" t="str">
        <f>IF(Notes!CA333="","",Notes!CA333)</f>
        <v/>
      </c>
      <c r="D337" s="7" t="str">
        <f>IF(Notes!CB333="","",Notes!CB333)</f>
        <v/>
      </c>
      <c r="E337" s="7" t="str">
        <f>IF(Notes!CC333="","",Notes!CC333)</f>
        <v/>
      </c>
      <c r="F337" s="7" t="str">
        <f>IF(Notes!CD333="","",Notes!CD333)</f>
        <v/>
      </c>
      <c r="G337" s="7" t="str">
        <f>IF(Notes!CE333="","",Notes!CE333)</f>
        <v/>
      </c>
      <c r="H337" s="7" t="str">
        <f>IF(Notes!CF333="","",Notes!CF333)</f>
        <v/>
      </c>
      <c r="I337" s="7"/>
      <c r="J337" s="7"/>
      <c r="K337" s="7"/>
    </row>
    <row r="338" spans="1:11" x14ac:dyDescent="0.35">
      <c r="A338" s="7" t="str">
        <f>IF(Notes!BY334="","",Notes!BY334)</f>
        <v/>
      </c>
      <c r="B338" s="7" t="str">
        <f>IF(Notes!BZ334="","",Notes!BZ334)</f>
        <v/>
      </c>
      <c r="C338" s="7" t="str">
        <f>IF(Notes!CA334="","",Notes!CA334)</f>
        <v/>
      </c>
      <c r="D338" s="7" t="str">
        <f>IF(Notes!CB334="","",Notes!CB334)</f>
        <v/>
      </c>
      <c r="E338" s="7" t="str">
        <f>IF(Notes!CC334="","",Notes!CC334)</f>
        <v/>
      </c>
      <c r="F338" s="7" t="str">
        <f>IF(Notes!CD334="","",Notes!CD334)</f>
        <v/>
      </c>
      <c r="G338" s="7" t="str">
        <f>IF(Notes!CE334="","",Notes!CE334)</f>
        <v/>
      </c>
      <c r="H338" s="7" t="str">
        <f>IF(Notes!CF334="","",Notes!CF334)</f>
        <v/>
      </c>
      <c r="I338" s="7"/>
      <c r="J338" s="7"/>
      <c r="K338" s="7"/>
    </row>
    <row r="339" spans="1:11" x14ac:dyDescent="0.35">
      <c r="A339" s="7" t="str">
        <f>IF(Notes!BY335="","",Notes!BY335)</f>
        <v/>
      </c>
      <c r="B339" s="7" t="str">
        <f>IF(Notes!BZ335="","",Notes!BZ335)</f>
        <v/>
      </c>
      <c r="C339" s="7" t="str">
        <f>IF(Notes!CA335="","",Notes!CA335)</f>
        <v/>
      </c>
      <c r="D339" s="7" t="str">
        <f>IF(Notes!CB335="","",Notes!CB335)</f>
        <v/>
      </c>
      <c r="E339" s="7" t="str">
        <f>IF(Notes!CC335="","",Notes!CC335)</f>
        <v/>
      </c>
      <c r="F339" s="7" t="str">
        <f>IF(Notes!CD335="","",Notes!CD335)</f>
        <v/>
      </c>
      <c r="G339" s="7" t="str">
        <f>IF(Notes!CE335="","",Notes!CE335)</f>
        <v/>
      </c>
      <c r="H339" s="7" t="str">
        <f>IF(Notes!CF335="","",Notes!CF335)</f>
        <v/>
      </c>
      <c r="I339" s="7"/>
      <c r="J339" s="7"/>
      <c r="K339" s="7"/>
    </row>
    <row r="340" spans="1:11" x14ac:dyDescent="0.35">
      <c r="A340" s="7" t="str">
        <f>IF(Notes!BY336="","",Notes!BY336)</f>
        <v/>
      </c>
      <c r="B340" s="7" t="str">
        <f>IF(Notes!BZ336="","",Notes!BZ336)</f>
        <v/>
      </c>
      <c r="C340" s="7" t="str">
        <f>IF(Notes!CA336="","",Notes!CA336)</f>
        <v/>
      </c>
      <c r="D340" s="7" t="str">
        <f>IF(Notes!CB336="","",Notes!CB336)</f>
        <v/>
      </c>
      <c r="E340" s="7" t="str">
        <f>IF(Notes!CC336="","",Notes!CC336)</f>
        <v/>
      </c>
      <c r="F340" s="7" t="str">
        <f>IF(Notes!CD336="","",Notes!CD336)</f>
        <v/>
      </c>
      <c r="G340" s="7" t="str">
        <f>IF(Notes!CE336="","",Notes!CE336)</f>
        <v/>
      </c>
      <c r="H340" s="7" t="str">
        <f>IF(Notes!CF336="","",Notes!CF336)</f>
        <v/>
      </c>
      <c r="I340" s="7"/>
      <c r="J340" s="7"/>
      <c r="K340" s="7"/>
    </row>
    <row r="341" spans="1:11" x14ac:dyDescent="0.35">
      <c r="A341" s="7" t="str">
        <f>IF(Notes!BY337="","",Notes!BY337)</f>
        <v/>
      </c>
      <c r="B341" s="7" t="str">
        <f>IF(Notes!BZ337="","",Notes!BZ337)</f>
        <v/>
      </c>
      <c r="C341" s="7" t="str">
        <f>IF(Notes!CA337="","",Notes!CA337)</f>
        <v/>
      </c>
      <c r="D341" s="7" t="str">
        <f>IF(Notes!CB337="","",Notes!CB337)</f>
        <v/>
      </c>
      <c r="E341" s="7" t="str">
        <f>IF(Notes!CC337="","",Notes!CC337)</f>
        <v/>
      </c>
      <c r="F341" s="7" t="str">
        <f>IF(Notes!CD337="","",Notes!CD337)</f>
        <v/>
      </c>
      <c r="G341" s="7" t="str">
        <f>IF(Notes!CE337="","",Notes!CE337)</f>
        <v/>
      </c>
      <c r="H341" s="7" t="str">
        <f>IF(Notes!CF337="","",Notes!CF337)</f>
        <v/>
      </c>
      <c r="I341" s="7"/>
      <c r="J341" s="7"/>
      <c r="K341" s="7"/>
    </row>
    <row r="342" spans="1:11" x14ac:dyDescent="0.35">
      <c r="A342" s="7" t="str">
        <f>IF(Notes!BY338="","",Notes!BY338)</f>
        <v/>
      </c>
      <c r="B342" s="7" t="str">
        <f>IF(Notes!BZ338="","",Notes!BZ338)</f>
        <v/>
      </c>
      <c r="C342" s="7" t="str">
        <f>IF(Notes!CA338="","",Notes!CA338)</f>
        <v/>
      </c>
      <c r="D342" s="7" t="str">
        <f>IF(Notes!CB338="","",Notes!CB338)</f>
        <v/>
      </c>
      <c r="E342" s="7" t="str">
        <f>IF(Notes!CC338="","",Notes!CC338)</f>
        <v/>
      </c>
      <c r="F342" s="7" t="str">
        <f>IF(Notes!CD338="","",Notes!CD338)</f>
        <v/>
      </c>
      <c r="G342" s="7" t="str">
        <f>IF(Notes!CE338="","",Notes!CE338)</f>
        <v/>
      </c>
      <c r="H342" s="7" t="str">
        <f>IF(Notes!CF338="","",Notes!CF338)</f>
        <v/>
      </c>
      <c r="I342" s="7"/>
      <c r="J342" s="7"/>
      <c r="K342" s="7"/>
    </row>
    <row r="343" spans="1:11" x14ac:dyDescent="0.35">
      <c r="A343" s="7" t="str">
        <f>IF(Notes!BY339="","",Notes!BY339)</f>
        <v/>
      </c>
      <c r="B343" s="7" t="str">
        <f>IF(Notes!BZ339="","",Notes!BZ339)</f>
        <v/>
      </c>
      <c r="C343" s="7" t="str">
        <f>IF(Notes!CA339="","",Notes!CA339)</f>
        <v/>
      </c>
      <c r="D343" s="7" t="str">
        <f>IF(Notes!CB339="","",Notes!CB339)</f>
        <v/>
      </c>
      <c r="E343" s="7" t="str">
        <f>IF(Notes!CC339="","",Notes!CC339)</f>
        <v/>
      </c>
      <c r="F343" s="7" t="str">
        <f>IF(Notes!CD339="","",Notes!CD339)</f>
        <v/>
      </c>
      <c r="G343" s="7" t="str">
        <f>IF(Notes!CE339="","",Notes!CE339)</f>
        <v/>
      </c>
      <c r="H343" s="7" t="str">
        <f>IF(Notes!CF339="","",Notes!CF339)</f>
        <v/>
      </c>
      <c r="I343" s="7"/>
      <c r="J343" s="7"/>
      <c r="K343" s="7"/>
    </row>
    <row r="344" spans="1:11" x14ac:dyDescent="0.35">
      <c r="A344" s="7" t="str">
        <f>IF(Notes!BY340="","",Notes!BY340)</f>
        <v/>
      </c>
      <c r="B344" s="7" t="str">
        <f>IF(Notes!BZ340="","",Notes!BZ340)</f>
        <v/>
      </c>
      <c r="C344" s="7" t="str">
        <f>IF(Notes!CA340="","",Notes!CA340)</f>
        <v/>
      </c>
      <c r="D344" s="7" t="str">
        <f>IF(Notes!CB340="","",Notes!CB340)</f>
        <v/>
      </c>
      <c r="E344" s="7" t="str">
        <f>IF(Notes!CC340="","",Notes!CC340)</f>
        <v/>
      </c>
      <c r="F344" s="7" t="str">
        <f>IF(Notes!CD340="","",Notes!CD340)</f>
        <v/>
      </c>
      <c r="G344" s="7" t="str">
        <f>IF(Notes!CE340="","",Notes!CE340)</f>
        <v/>
      </c>
      <c r="H344" s="7" t="str">
        <f>IF(Notes!CF340="","",Notes!CF340)</f>
        <v/>
      </c>
      <c r="I344" s="7"/>
      <c r="J344" s="7"/>
      <c r="K344" s="7"/>
    </row>
    <row r="345" spans="1:11" x14ac:dyDescent="0.35">
      <c r="A345" s="7" t="str">
        <f>IF(Notes!BY341="","",Notes!BY341)</f>
        <v/>
      </c>
      <c r="B345" s="7" t="str">
        <f>IF(Notes!BZ341="","",Notes!BZ341)</f>
        <v/>
      </c>
      <c r="C345" s="7" t="str">
        <f>IF(Notes!CA341="","",Notes!CA341)</f>
        <v/>
      </c>
      <c r="D345" s="7" t="str">
        <f>IF(Notes!CB341="","",Notes!CB341)</f>
        <v/>
      </c>
      <c r="E345" s="7" t="str">
        <f>IF(Notes!CC341="","",Notes!CC341)</f>
        <v/>
      </c>
      <c r="F345" s="7" t="str">
        <f>IF(Notes!CD341="","",Notes!CD341)</f>
        <v/>
      </c>
      <c r="G345" s="7" t="str">
        <f>IF(Notes!CE341="","",Notes!CE341)</f>
        <v/>
      </c>
      <c r="H345" s="7" t="str">
        <f>IF(Notes!CF341="","",Notes!CF341)</f>
        <v/>
      </c>
      <c r="I345" s="7"/>
      <c r="J345" s="7"/>
      <c r="K345" s="7"/>
    </row>
    <row r="346" spans="1:11" x14ac:dyDescent="0.35">
      <c r="A346" s="7" t="str">
        <f>IF(Notes!BY342="","",Notes!BY342)</f>
        <v/>
      </c>
      <c r="B346" s="7" t="str">
        <f>IF(Notes!BZ342="","",Notes!BZ342)</f>
        <v/>
      </c>
      <c r="C346" s="7" t="str">
        <f>IF(Notes!CA342="","",Notes!CA342)</f>
        <v/>
      </c>
      <c r="D346" s="7" t="str">
        <f>IF(Notes!CB342="","",Notes!CB342)</f>
        <v/>
      </c>
      <c r="E346" s="7" t="str">
        <f>IF(Notes!CC342="","",Notes!CC342)</f>
        <v/>
      </c>
      <c r="F346" s="7" t="str">
        <f>IF(Notes!CD342="","",Notes!CD342)</f>
        <v/>
      </c>
      <c r="G346" s="7" t="str">
        <f>IF(Notes!CE342="","",Notes!CE342)</f>
        <v/>
      </c>
      <c r="H346" s="7" t="str">
        <f>IF(Notes!CF342="","",Notes!CF342)</f>
        <v/>
      </c>
      <c r="I346" s="7"/>
      <c r="J346" s="7"/>
      <c r="K346" s="7"/>
    </row>
    <row r="347" spans="1:11" x14ac:dyDescent="0.35">
      <c r="A347" s="7" t="str">
        <f>IF(Notes!BY343="","",Notes!BY343)</f>
        <v/>
      </c>
      <c r="B347" s="7" t="str">
        <f>IF(Notes!BZ343="","",Notes!BZ343)</f>
        <v/>
      </c>
      <c r="C347" s="7" t="str">
        <f>IF(Notes!CA343="","",Notes!CA343)</f>
        <v/>
      </c>
      <c r="D347" s="7" t="str">
        <f>IF(Notes!CB343="","",Notes!CB343)</f>
        <v/>
      </c>
      <c r="E347" s="7" t="str">
        <f>IF(Notes!CC343="","",Notes!CC343)</f>
        <v/>
      </c>
      <c r="F347" s="7" t="str">
        <f>IF(Notes!CD343="","",Notes!CD343)</f>
        <v/>
      </c>
      <c r="G347" s="7" t="str">
        <f>IF(Notes!CE343="","",Notes!CE343)</f>
        <v/>
      </c>
      <c r="H347" s="7" t="str">
        <f>IF(Notes!CF343="","",Notes!CF343)</f>
        <v/>
      </c>
      <c r="I347" s="7"/>
      <c r="J347" s="7"/>
      <c r="K347" s="7"/>
    </row>
    <row r="348" spans="1:11" x14ac:dyDescent="0.35">
      <c r="A348" s="7" t="str">
        <f>IF(Notes!BY344="","",Notes!BY344)</f>
        <v/>
      </c>
      <c r="B348" s="7" t="str">
        <f>IF(Notes!BZ344="","",Notes!BZ344)</f>
        <v/>
      </c>
      <c r="C348" s="7" t="str">
        <f>IF(Notes!CA344="","",Notes!CA344)</f>
        <v/>
      </c>
      <c r="D348" s="7" t="str">
        <f>IF(Notes!CB344="","",Notes!CB344)</f>
        <v/>
      </c>
      <c r="E348" s="7" t="str">
        <f>IF(Notes!CC344="","",Notes!CC344)</f>
        <v/>
      </c>
      <c r="F348" s="7" t="str">
        <f>IF(Notes!CD344="","",Notes!CD344)</f>
        <v/>
      </c>
      <c r="G348" s="7" t="str">
        <f>IF(Notes!CE344="","",Notes!CE344)</f>
        <v/>
      </c>
      <c r="H348" s="7" t="str">
        <f>IF(Notes!CF344="","",Notes!CF344)</f>
        <v/>
      </c>
      <c r="I348" s="7"/>
      <c r="J348" s="7"/>
      <c r="K348" s="7"/>
    </row>
    <row r="349" spans="1:11" x14ac:dyDescent="0.35">
      <c r="A349" s="7" t="str">
        <f>IF(Notes!BY345="","",Notes!BY345)</f>
        <v/>
      </c>
      <c r="B349" s="7" t="str">
        <f>IF(Notes!BZ345="","",Notes!BZ345)</f>
        <v/>
      </c>
      <c r="C349" s="7" t="str">
        <f>IF(Notes!CA345="","",Notes!CA345)</f>
        <v/>
      </c>
      <c r="D349" s="7" t="str">
        <f>IF(Notes!CB345="","",Notes!CB345)</f>
        <v/>
      </c>
      <c r="E349" s="7" t="str">
        <f>IF(Notes!CC345="","",Notes!CC345)</f>
        <v/>
      </c>
      <c r="F349" s="7" t="str">
        <f>IF(Notes!CD345="","",Notes!CD345)</f>
        <v/>
      </c>
      <c r="G349" s="7" t="str">
        <f>IF(Notes!CE345="","",Notes!CE345)</f>
        <v/>
      </c>
      <c r="H349" s="7" t="str">
        <f>IF(Notes!CF345="","",Notes!CF345)</f>
        <v/>
      </c>
      <c r="I349" s="7"/>
      <c r="J349" s="7"/>
      <c r="K349" s="7"/>
    </row>
    <row r="350" spans="1:11" x14ac:dyDescent="0.35">
      <c r="A350" s="7" t="str">
        <f>IF(Notes!BY346="","",Notes!BY346)</f>
        <v/>
      </c>
      <c r="B350" s="7" t="str">
        <f>IF(Notes!BZ346="","",Notes!BZ346)</f>
        <v/>
      </c>
      <c r="C350" s="7" t="str">
        <f>IF(Notes!CA346="","",Notes!CA346)</f>
        <v/>
      </c>
      <c r="D350" s="7" t="str">
        <f>IF(Notes!CB346="","",Notes!CB346)</f>
        <v/>
      </c>
      <c r="E350" s="7" t="str">
        <f>IF(Notes!CC346="","",Notes!CC346)</f>
        <v/>
      </c>
      <c r="F350" s="7" t="str">
        <f>IF(Notes!CD346="","",Notes!CD346)</f>
        <v/>
      </c>
      <c r="G350" s="7" t="str">
        <f>IF(Notes!CE346="","",Notes!CE346)</f>
        <v/>
      </c>
      <c r="H350" s="7" t="str">
        <f>IF(Notes!CF346="","",Notes!CF346)</f>
        <v/>
      </c>
      <c r="I350" s="7"/>
      <c r="J350" s="7"/>
      <c r="K350" s="7"/>
    </row>
    <row r="351" spans="1:11" x14ac:dyDescent="0.35">
      <c r="A351" s="7" t="str">
        <f>IF(Notes!BY347="","",Notes!BY347)</f>
        <v/>
      </c>
      <c r="B351" s="7" t="str">
        <f>IF(Notes!BZ347="","",Notes!BZ347)</f>
        <v/>
      </c>
      <c r="C351" s="7" t="str">
        <f>IF(Notes!CA347="","",Notes!CA347)</f>
        <v/>
      </c>
      <c r="D351" s="7" t="str">
        <f>IF(Notes!CB347="","",Notes!CB347)</f>
        <v/>
      </c>
      <c r="E351" s="7" t="str">
        <f>IF(Notes!CC347="","",Notes!CC347)</f>
        <v/>
      </c>
      <c r="F351" s="7" t="str">
        <f>IF(Notes!CD347="","",Notes!CD347)</f>
        <v/>
      </c>
      <c r="G351" s="7" t="str">
        <f>IF(Notes!CE347="","",Notes!CE347)</f>
        <v/>
      </c>
      <c r="H351" s="7" t="str">
        <f>IF(Notes!CF347="","",Notes!CF347)</f>
        <v/>
      </c>
      <c r="I351" s="7"/>
      <c r="J351" s="7"/>
      <c r="K351" s="7"/>
    </row>
    <row r="352" spans="1:11" x14ac:dyDescent="0.35">
      <c r="A352" s="7" t="str">
        <f>IF(Notes!BY348="","",Notes!BY348)</f>
        <v/>
      </c>
      <c r="B352" s="7" t="str">
        <f>IF(Notes!BZ348="","",Notes!BZ348)</f>
        <v/>
      </c>
      <c r="C352" s="7" t="str">
        <f>IF(Notes!CA348="","",Notes!CA348)</f>
        <v/>
      </c>
      <c r="D352" s="7" t="str">
        <f>IF(Notes!CB348="","",Notes!CB348)</f>
        <v/>
      </c>
      <c r="E352" s="7" t="str">
        <f>IF(Notes!CC348="","",Notes!CC348)</f>
        <v/>
      </c>
      <c r="F352" s="7" t="str">
        <f>IF(Notes!CD348="","",Notes!CD348)</f>
        <v/>
      </c>
      <c r="G352" s="7" t="str">
        <f>IF(Notes!CE348="","",Notes!CE348)</f>
        <v/>
      </c>
      <c r="H352" s="7" t="str">
        <f>IF(Notes!CF348="","",Notes!CF348)</f>
        <v/>
      </c>
      <c r="I352" s="7"/>
      <c r="J352" s="7"/>
      <c r="K352" s="7"/>
    </row>
    <row r="353" spans="1:11" x14ac:dyDescent="0.35">
      <c r="A353" s="7" t="str">
        <f>IF(Notes!BY349="","",Notes!BY349)</f>
        <v/>
      </c>
      <c r="B353" s="7" t="str">
        <f>IF(Notes!BZ349="","",Notes!BZ349)</f>
        <v/>
      </c>
      <c r="C353" s="7" t="str">
        <f>IF(Notes!CA349="","",Notes!CA349)</f>
        <v/>
      </c>
      <c r="D353" s="7" t="str">
        <f>IF(Notes!CB349="","",Notes!CB349)</f>
        <v/>
      </c>
      <c r="E353" s="7" t="str">
        <f>IF(Notes!CC349="","",Notes!CC349)</f>
        <v/>
      </c>
      <c r="F353" s="7" t="str">
        <f>IF(Notes!CD349="","",Notes!CD349)</f>
        <v/>
      </c>
      <c r="G353" s="7" t="str">
        <f>IF(Notes!CE349="","",Notes!CE349)</f>
        <v/>
      </c>
      <c r="H353" s="7" t="str">
        <f>IF(Notes!CF349="","",Notes!CF349)</f>
        <v/>
      </c>
      <c r="I353" s="7"/>
      <c r="J353" s="7"/>
      <c r="K353" s="7"/>
    </row>
    <row r="354" spans="1:11" x14ac:dyDescent="0.35">
      <c r="A354" s="7" t="str">
        <f>IF(Notes!BY350="","",Notes!BY350)</f>
        <v/>
      </c>
      <c r="B354" s="7" t="str">
        <f>IF(Notes!BZ350="","",Notes!BZ350)</f>
        <v/>
      </c>
      <c r="C354" s="7" t="str">
        <f>IF(Notes!CA350="","",Notes!CA350)</f>
        <v/>
      </c>
      <c r="D354" s="7" t="str">
        <f>IF(Notes!CB350="","",Notes!CB350)</f>
        <v/>
      </c>
      <c r="E354" s="7" t="str">
        <f>IF(Notes!CC350="","",Notes!CC350)</f>
        <v/>
      </c>
      <c r="F354" s="7" t="str">
        <f>IF(Notes!CD350="","",Notes!CD350)</f>
        <v/>
      </c>
      <c r="G354" s="7" t="str">
        <f>IF(Notes!CE350="","",Notes!CE350)</f>
        <v/>
      </c>
      <c r="H354" s="7" t="str">
        <f>IF(Notes!CF350="","",Notes!CF350)</f>
        <v/>
      </c>
      <c r="I354" s="7"/>
      <c r="J354" s="7"/>
      <c r="K354" s="7"/>
    </row>
    <row r="355" spans="1:11" x14ac:dyDescent="0.35">
      <c r="A355" s="7" t="str">
        <f>IF(Notes!BY351="","",Notes!BY351)</f>
        <v/>
      </c>
      <c r="B355" s="7" t="str">
        <f>IF(Notes!BZ351="","",Notes!BZ351)</f>
        <v/>
      </c>
      <c r="C355" s="7" t="str">
        <f>IF(Notes!CA351="","",Notes!CA351)</f>
        <v/>
      </c>
      <c r="D355" s="7" t="str">
        <f>IF(Notes!CB351="","",Notes!CB351)</f>
        <v/>
      </c>
      <c r="E355" s="7" t="str">
        <f>IF(Notes!CC351="","",Notes!CC351)</f>
        <v/>
      </c>
      <c r="F355" s="7" t="str">
        <f>IF(Notes!CD351="","",Notes!CD351)</f>
        <v/>
      </c>
      <c r="G355" s="7" t="str">
        <f>IF(Notes!CE351="","",Notes!CE351)</f>
        <v/>
      </c>
      <c r="H355" s="7" t="str">
        <f>IF(Notes!CF351="","",Notes!CF351)</f>
        <v/>
      </c>
      <c r="I355" s="7"/>
      <c r="J355" s="7"/>
      <c r="K355" s="7"/>
    </row>
    <row r="356" spans="1:11" x14ac:dyDescent="0.35">
      <c r="A356" s="7" t="str">
        <f>IF(Notes!BY352="","",Notes!BY352)</f>
        <v/>
      </c>
      <c r="B356" s="7" t="str">
        <f>IF(Notes!BZ352="","",Notes!BZ352)</f>
        <v/>
      </c>
      <c r="C356" s="7" t="str">
        <f>IF(Notes!CA352="","",Notes!CA352)</f>
        <v/>
      </c>
      <c r="D356" s="7" t="str">
        <f>IF(Notes!CB352="","",Notes!CB352)</f>
        <v/>
      </c>
      <c r="E356" s="7" t="str">
        <f>IF(Notes!CC352="","",Notes!CC352)</f>
        <v/>
      </c>
      <c r="F356" s="7" t="str">
        <f>IF(Notes!CD352="","",Notes!CD352)</f>
        <v/>
      </c>
      <c r="G356" s="7" t="str">
        <f>IF(Notes!CE352="","",Notes!CE352)</f>
        <v/>
      </c>
      <c r="H356" s="7" t="str">
        <f>IF(Notes!CF352="","",Notes!CF352)</f>
        <v/>
      </c>
      <c r="I356" s="7"/>
      <c r="J356" s="7"/>
      <c r="K356" s="7"/>
    </row>
    <row r="357" spans="1:11" x14ac:dyDescent="0.35">
      <c r="A357" s="7" t="str">
        <f>IF(Notes!BY353="","",Notes!BY353)</f>
        <v/>
      </c>
      <c r="B357" s="7" t="str">
        <f>IF(Notes!BZ353="","",Notes!BZ353)</f>
        <v/>
      </c>
      <c r="C357" s="7" t="str">
        <f>IF(Notes!CA353="","",Notes!CA353)</f>
        <v/>
      </c>
      <c r="D357" s="7" t="str">
        <f>IF(Notes!CB353="","",Notes!CB353)</f>
        <v/>
      </c>
      <c r="E357" s="7" t="str">
        <f>IF(Notes!CC353="","",Notes!CC353)</f>
        <v/>
      </c>
      <c r="F357" s="7" t="str">
        <f>IF(Notes!CD353="","",Notes!CD353)</f>
        <v/>
      </c>
      <c r="G357" s="7" t="str">
        <f>IF(Notes!CE353="","",Notes!CE353)</f>
        <v/>
      </c>
      <c r="H357" s="7" t="str">
        <f>IF(Notes!CF353="","",Notes!CF353)</f>
        <v/>
      </c>
      <c r="I357" s="7"/>
      <c r="J357" s="7"/>
      <c r="K357" s="7"/>
    </row>
    <row r="358" spans="1:11" x14ac:dyDescent="0.35">
      <c r="A358" s="7" t="str">
        <f>IF(Notes!BY354="","",Notes!BY354)</f>
        <v/>
      </c>
      <c r="B358" s="7" t="str">
        <f>IF(Notes!BZ354="","",Notes!BZ354)</f>
        <v/>
      </c>
      <c r="C358" s="7" t="str">
        <f>IF(Notes!CA354="","",Notes!CA354)</f>
        <v/>
      </c>
      <c r="D358" s="7" t="str">
        <f>IF(Notes!CB354="","",Notes!CB354)</f>
        <v/>
      </c>
      <c r="E358" s="7" t="str">
        <f>IF(Notes!CC354="","",Notes!CC354)</f>
        <v/>
      </c>
      <c r="F358" s="7" t="str">
        <f>IF(Notes!CD354="","",Notes!CD354)</f>
        <v/>
      </c>
      <c r="G358" s="7" t="str">
        <f>IF(Notes!CE354="","",Notes!CE354)</f>
        <v/>
      </c>
      <c r="H358" s="7" t="str">
        <f>IF(Notes!CF354="","",Notes!CF354)</f>
        <v/>
      </c>
      <c r="I358" s="7"/>
      <c r="J358" s="7"/>
      <c r="K358" s="7"/>
    </row>
    <row r="359" spans="1:11" x14ac:dyDescent="0.35">
      <c r="A359" s="7" t="str">
        <f>IF(Notes!BY355="","",Notes!BY355)</f>
        <v/>
      </c>
      <c r="B359" s="7" t="str">
        <f>IF(Notes!BZ355="","",Notes!BZ355)</f>
        <v/>
      </c>
      <c r="C359" s="7" t="str">
        <f>IF(Notes!CA355="","",Notes!CA355)</f>
        <v/>
      </c>
      <c r="D359" s="7" t="str">
        <f>IF(Notes!CB355="","",Notes!CB355)</f>
        <v/>
      </c>
      <c r="E359" s="7" t="str">
        <f>IF(Notes!CC355="","",Notes!CC355)</f>
        <v/>
      </c>
      <c r="F359" s="7" t="str">
        <f>IF(Notes!CD355="","",Notes!CD355)</f>
        <v/>
      </c>
      <c r="G359" s="7" t="str">
        <f>IF(Notes!CE355="","",Notes!CE355)</f>
        <v/>
      </c>
      <c r="H359" s="7" t="str">
        <f>IF(Notes!CF355="","",Notes!CF355)</f>
        <v/>
      </c>
      <c r="I359" s="7"/>
      <c r="J359" s="7"/>
      <c r="K359" s="7"/>
    </row>
    <row r="360" spans="1:11" x14ac:dyDescent="0.35">
      <c r="A360" s="7" t="str">
        <f>IF(Notes!BY356="","",Notes!BY356)</f>
        <v/>
      </c>
      <c r="B360" s="7" t="str">
        <f>IF(Notes!BZ356="","",Notes!BZ356)</f>
        <v/>
      </c>
      <c r="C360" s="7" t="str">
        <f>IF(Notes!CA356="","",Notes!CA356)</f>
        <v/>
      </c>
      <c r="D360" s="7" t="str">
        <f>IF(Notes!CB356="","",Notes!CB356)</f>
        <v/>
      </c>
      <c r="E360" s="7" t="str">
        <f>IF(Notes!CC356="","",Notes!CC356)</f>
        <v/>
      </c>
      <c r="F360" s="7" t="str">
        <f>IF(Notes!CD356="","",Notes!CD356)</f>
        <v/>
      </c>
      <c r="G360" s="7" t="str">
        <f>IF(Notes!CE356="","",Notes!CE356)</f>
        <v/>
      </c>
      <c r="H360" s="7" t="str">
        <f>IF(Notes!CF356="","",Notes!CF356)</f>
        <v/>
      </c>
      <c r="I360" s="7"/>
      <c r="J360" s="7"/>
      <c r="K360" s="7"/>
    </row>
    <row r="361" spans="1:11" x14ac:dyDescent="0.35">
      <c r="A361" s="7" t="str">
        <f>IF(Notes!BY357="","",Notes!BY357)</f>
        <v/>
      </c>
      <c r="B361" s="7" t="str">
        <f>IF(Notes!BZ357="","",Notes!BZ357)</f>
        <v/>
      </c>
      <c r="C361" s="7" t="str">
        <f>IF(Notes!CA357="","",Notes!CA357)</f>
        <v/>
      </c>
      <c r="D361" s="7" t="str">
        <f>IF(Notes!CB357="","",Notes!CB357)</f>
        <v/>
      </c>
      <c r="E361" s="7" t="str">
        <f>IF(Notes!CC357="","",Notes!CC357)</f>
        <v/>
      </c>
      <c r="F361" s="7" t="str">
        <f>IF(Notes!CD357="","",Notes!CD357)</f>
        <v/>
      </c>
      <c r="G361" s="7" t="str">
        <f>IF(Notes!CE357="","",Notes!CE357)</f>
        <v/>
      </c>
      <c r="H361" s="7" t="str">
        <f>IF(Notes!CF357="","",Notes!CF357)</f>
        <v/>
      </c>
      <c r="I361" s="7"/>
      <c r="J361" s="7"/>
      <c r="K361" s="7"/>
    </row>
    <row r="362" spans="1:11" x14ac:dyDescent="0.35">
      <c r="A362" s="7" t="str">
        <f>IF(Notes!BY358="","",Notes!BY358)</f>
        <v/>
      </c>
      <c r="B362" s="7" t="str">
        <f>IF(Notes!BZ358="","",Notes!BZ358)</f>
        <v/>
      </c>
      <c r="C362" s="7" t="str">
        <f>IF(Notes!CA358="","",Notes!CA358)</f>
        <v/>
      </c>
      <c r="D362" s="7" t="str">
        <f>IF(Notes!CB358="","",Notes!CB358)</f>
        <v/>
      </c>
      <c r="E362" s="7" t="str">
        <f>IF(Notes!CC358="","",Notes!CC358)</f>
        <v/>
      </c>
      <c r="F362" s="7" t="str">
        <f>IF(Notes!CD358="","",Notes!CD358)</f>
        <v/>
      </c>
      <c r="G362" s="7" t="str">
        <f>IF(Notes!CE358="","",Notes!CE358)</f>
        <v/>
      </c>
      <c r="H362" s="7" t="str">
        <f>IF(Notes!CF358="","",Notes!CF358)</f>
        <v/>
      </c>
      <c r="I362" s="7"/>
      <c r="J362" s="7"/>
      <c r="K362" s="7"/>
    </row>
    <row r="363" spans="1:11" x14ac:dyDescent="0.35">
      <c r="A363" s="7" t="str">
        <f>IF(Notes!BY359="","",Notes!BY359)</f>
        <v/>
      </c>
      <c r="B363" s="7" t="str">
        <f>IF(Notes!BZ359="","",Notes!BZ359)</f>
        <v/>
      </c>
      <c r="C363" s="7" t="str">
        <f>IF(Notes!CA359="","",Notes!CA359)</f>
        <v/>
      </c>
      <c r="D363" s="7" t="str">
        <f>IF(Notes!CB359="","",Notes!CB359)</f>
        <v/>
      </c>
      <c r="E363" s="7" t="str">
        <f>IF(Notes!CC359="","",Notes!CC359)</f>
        <v/>
      </c>
      <c r="F363" s="7" t="str">
        <f>IF(Notes!CD359="","",Notes!CD359)</f>
        <v/>
      </c>
      <c r="G363" s="7" t="str">
        <f>IF(Notes!CE359="","",Notes!CE359)</f>
        <v/>
      </c>
      <c r="H363" s="7" t="str">
        <f>IF(Notes!CF359="","",Notes!CF359)</f>
        <v/>
      </c>
      <c r="I363" s="7"/>
      <c r="J363" s="7"/>
      <c r="K363" s="7"/>
    </row>
    <row r="364" spans="1:11" x14ac:dyDescent="0.35">
      <c r="A364" s="7" t="str">
        <f>IF(Notes!BY360="","",Notes!BY360)</f>
        <v/>
      </c>
      <c r="B364" s="7" t="str">
        <f>IF(Notes!BZ360="","",Notes!BZ360)</f>
        <v/>
      </c>
      <c r="C364" s="7" t="str">
        <f>IF(Notes!CA360="","",Notes!CA360)</f>
        <v/>
      </c>
      <c r="D364" s="7" t="str">
        <f>IF(Notes!CB360="","",Notes!CB360)</f>
        <v/>
      </c>
      <c r="E364" s="7" t="str">
        <f>IF(Notes!CC360="","",Notes!CC360)</f>
        <v/>
      </c>
      <c r="F364" s="7" t="str">
        <f>IF(Notes!CD360="","",Notes!CD360)</f>
        <v/>
      </c>
      <c r="G364" s="7" t="str">
        <f>IF(Notes!CE360="","",Notes!CE360)</f>
        <v/>
      </c>
      <c r="H364" s="7" t="str">
        <f>IF(Notes!CF360="","",Notes!CF360)</f>
        <v/>
      </c>
      <c r="I364" s="7"/>
      <c r="J364" s="7"/>
      <c r="K364" s="7"/>
    </row>
    <row r="365" spans="1:11" x14ac:dyDescent="0.35">
      <c r="A365" s="7" t="str">
        <f>IF(Notes!BY361="","",Notes!BY361)</f>
        <v/>
      </c>
      <c r="B365" s="7" t="str">
        <f>IF(Notes!BZ361="","",Notes!BZ361)</f>
        <v/>
      </c>
      <c r="C365" s="7" t="str">
        <f>IF(Notes!CA361="","",Notes!CA361)</f>
        <v/>
      </c>
      <c r="D365" s="7" t="str">
        <f>IF(Notes!CB361="","",Notes!CB361)</f>
        <v/>
      </c>
      <c r="E365" s="7" t="str">
        <f>IF(Notes!CC361="","",Notes!CC361)</f>
        <v/>
      </c>
      <c r="F365" s="7" t="str">
        <f>IF(Notes!CD361="","",Notes!CD361)</f>
        <v/>
      </c>
      <c r="G365" s="7" t="str">
        <f>IF(Notes!CE361="","",Notes!CE361)</f>
        <v/>
      </c>
      <c r="H365" s="7" t="str">
        <f>IF(Notes!CF361="","",Notes!CF361)</f>
        <v/>
      </c>
      <c r="I365" s="7"/>
      <c r="J365" s="7"/>
      <c r="K365" s="7"/>
    </row>
    <row r="366" spans="1:11" x14ac:dyDescent="0.35">
      <c r="A366" s="7" t="str">
        <f>IF(Notes!BY362="","",Notes!BY362)</f>
        <v/>
      </c>
      <c r="B366" s="7" t="str">
        <f>IF(Notes!BZ362="","",Notes!BZ362)</f>
        <v/>
      </c>
      <c r="C366" s="7" t="str">
        <f>IF(Notes!CA362="","",Notes!CA362)</f>
        <v/>
      </c>
      <c r="D366" s="7" t="str">
        <f>IF(Notes!CB362="","",Notes!CB362)</f>
        <v/>
      </c>
      <c r="E366" s="7" t="str">
        <f>IF(Notes!CC362="","",Notes!CC362)</f>
        <v/>
      </c>
      <c r="F366" s="7" t="str">
        <f>IF(Notes!CD362="","",Notes!CD362)</f>
        <v/>
      </c>
      <c r="G366" s="7" t="str">
        <f>IF(Notes!CE362="","",Notes!CE362)</f>
        <v/>
      </c>
      <c r="H366" s="7" t="str">
        <f>IF(Notes!CF362="","",Notes!CF362)</f>
        <v/>
      </c>
      <c r="I366" s="7"/>
      <c r="J366" s="7"/>
      <c r="K366" s="7"/>
    </row>
    <row r="367" spans="1:11" x14ac:dyDescent="0.35">
      <c r="A367" s="7" t="str">
        <f>IF(Notes!BY363="","",Notes!BY363)</f>
        <v/>
      </c>
      <c r="B367" s="7" t="str">
        <f>IF(Notes!BZ363="","",Notes!BZ363)</f>
        <v/>
      </c>
      <c r="C367" s="7" t="str">
        <f>IF(Notes!CA363="","",Notes!CA363)</f>
        <v/>
      </c>
      <c r="D367" s="7" t="str">
        <f>IF(Notes!CB363="","",Notes!CB363)</f>
        <v/>
      </c>
      <c r="E367" s="7" t="str">
        <f>IF(Notes!CC363="","",Notes!CC363)</f>
        <v/>
      </c>
      <c r="F367" s="7" t="str">
        <f>IF(Notes!CD363="","",Notes!CD363)</f>
        <v/>
      </c>
      <c r="G367" s="7" t="str">
        <f>IF(Notes!CE363="","",Notes!CE363)</f>
        <v/>
      </c>
      <c r="H367" s="7" t="str">
        <f>IF(Notes!CF363="","",Notes!CF363)</f>
        <v/>
      </c>
      <c r="I367" s="7"/>
      <c r="J367" s="7"/>
      <c r="K367" s="7"/>
    </row>
    <row r="368" spans="1:11" x14ac:dyDescent="0.35">
      <c r="A368" s="7" t="str">
        <f>IF(Notes!BY364="","",Notes!BY364)</f>
        <v/>
      </c>
      <c r="B368" s="7" t="str">
        <f>IF(Notes!BZ364="","",Notes!BZ364)</f>
        <v/>
      </c>
      <c r="C368" s="7" t="str">
        <f>IF(Notes!CA364="","",Notes!CA364)</f>
        <v/>
      </c>
      <c r="D368" s="7" t="str">
        <f>IF(Notes!CB364="","",Notes!CB364)</f>
        <v/>
      </c>
      <c r="E368" s="7" t="str">
        <f>IF(Notes!CC364="","",Notes!CC364)</f>
        <v/>
      </c>
      <c r="F368" s="7" t="str">
        <f>IF(Notes!CD364="","",Notes!CD364)</f>
        <v/>
      </c>
      <c r="G368" s="7" t="str">
        <f>IF(Notes!CE364="","",Notes!CE364)</f>
        <v/>
      </c>
      <c r="H368" s="7" t="str">
        <f>IF(Notes!CF364="","",Notes!CF364)</f>
        <v/>
      </c>
      <c r="I368" s="7"/>
      <c r="J368" s="7"/>
      <c r="K368" s="7"/>
    </row>
    <row r="369" spans="1:11" x14ac:dyDescent="0.35">
      <c r="A369" s="7" t="str">
        <f>IF(Notes!BY365="","",Notes!BY365)</f>
        <v/>
      </c>
      <c r="B369" s="7" t="str">
        <f>IF(Notes!BZ365="","",Notes!BZ365)</f>
        <v/>
      </c>
      <c r="C369" s="7" t="str">
        <f>IF(Notes!CA365="","",Notes!CA365)</f>
        <v/>
      </c>
      <c r="D369" s="7" t="str">
        <f>IF(Notes!CB365="","",Notes!CB365)</f>
        <v/>
      </c>
      <c r="E369" s="7" t="str">
        <f>IF(Notes!CC365="","",Notes!CC365)</f>
        <v/>
      </c>
      <c r="F369" s="7" t="str">
        <f>IF(Notes!CD365="","",Notes!CD365)</f>
        <v/>
      </c>
      <c r="G369" s="7" t="str">
        <f>IF(Notes!CE365="","",Notes!CE365)</f>
        <v/>
      </c>
      <c r="H369" s="7" t="str">
        <f>IF(Notes!CF365="","",Notes!CF365)</f>
        <v/>
      </c>
      <c r="I369" s="7"/>
      <c r="J369" s="7"/>
      <c r="K369" s="7"/>
    </row>
    <row r="370" spans="1:11" x14ac:dyDescent="0.35">
      <c r="A370" s="7" t="str">
        <f>IF(Notes!BY366="","",Notes!BY366)</f>
        <v/>
      </c>
      <c r="B370" s="7" t="str">
        <f>IF(Notes!BZ366="","",Notes!BZ366)</f>
        <v/>
      </c>
      <c r="C370" s="7" t="str">
        <f>IF(Notes!CA366="","",Notes!CA366)</f>
        <v/>
      </c>
      <c r="D370" s="7" t="str">
        <f>IF(Notes!CB366="","",Notes!CB366)</f>
        <v/>
      </c>
      <c r="E370" s="7" t="str">
        <f>IF(Notes!CC366="","",Notes!CC366)</f>
        <v/>
      </c>
      <c r="F370" s="7" t="str">
        <f>IF(Notes!CD366="","",Notes!CD366)</f>
        <v/>
      </c>
      <c r="G370" s="7" t="str">
        <f>IF(Notes!CE366="","",Notes!CE366)</f>
        <v/>
      </c>
      <c r="H370" s="7" t="str">
        <f>IF(Notes!CF366="","",Notes!CF366)</f>
        <v/>
      </c>
      <c r="I370" s="7"/>
      <c r="J370" s="7"/>
      <c r="K370" s="7"/>
    </row>
    <row r="371" spans="1:11" x14ac:dyDescent="0.35">
      <c r="A371" s="7" t="str">
        <f>IF(Notes!BY367="","",Notes!BY367)</f>
        <v/>
      </c>
      <c r="B371" s="7" t="str">
        <f>IF(Notes!BZ367="","",Notes!BZ367)</f>
        <v/>
      </c>
      <c r="C371" s="7" t="str">
        <f>IF(Notes!CA367="","",Notes!CA367)</f>
        <v/>
      </c>
      <c r="D371" s="7" t="str">
        <f>IF(Notes!CB367="","",Notes!CB367)</f>
        <v/>
      </c>
      <c r="E371" s="7" t="str">
        <f>IF(Notes!CC367="","",Notes!CC367)</f>
        <v/>
      </c>
      <c r="F371" s="7" t="str">
        <f>IF(Notes!CD367="","",Notes!CD367)</f>
        <v/>
      </c>
      <c r="G371" s="7" t="str">
        <f>IF(Notes!CE367="","",Notes!CE367)</f>
        <v/>
      </c>
      <c r="H371" s="7" t="str">
        <f>IF(Notes!CF367="","",Notes!CF367)</f>
        <v/>
      </c>
      <c r="I371" s="7"/>
      <c r="J371" s="7"/>
      <c r="K371" s="7"/>
    </row>
    <row r="372" spans="1:11" x14ac:dyDescent="0.35">
      <c r="A372" s="7" t="str">
        <f>IF(Notes!BY368="","",Notes!BY368)</f>
        <v/>
      </c>
      <c r="B372" s="7" t="str">
        <f>IF(Notes!BZ368="","",Notes!BZ368)</f>
        <v/>
      </c>
      <c r="C372" s="7" t="str">
        <f>IF(Notes!CA368="","",Notes!CA368)</f>
        <v/>
      </c>
      <c r="D372" s="7" t="str">
        <f>IF(Notes!CB368="","",Notes!CB368)</f>
        <v/>
      </c>
      <c r="E372" s="7" t="str">
        <f>IF(Notes!CC368="","",Notes!CC368)</f>
        <v/>
      </c>
      <c r="F372" s="7" t="str">
        <f>IF(Notes!CD368="","",Notes!CD368)</f>
        <v/>
      </c>
      <c r="G372" s="7" t="str">
        <f>IF(Notes!CE368="","",Notes!CE368)</f>
        <v/>
      </c>
      <c r="H372" s="7" t="str">
        <f>IF(Notes!CF368="","",Notes!CF368)</f>
        <v/>
      </c>
      <c r="I372" s="7"/>
      <c r="J372" s="7"/>
      <c r="K372" s="7"/>
    </row>
    <row r="373" spans="1:11" x14ac:dyDescent="0.35">
      <c r="A373" s="7" t="str">
        <f>IF(Notes!BY369="","",Notes!BY369)</f>
        <v/>
      </c>
      <c r="B373" s="7" t="str">
        <f>IF(Notes!BZ369="","",Notes!BZ369)</f>
        <v/>
      </c>
      <c r="C373" s="7" t="str">
        <f>IF(Notes!CA369="","",Notes!CA369)</f>
        <v/>
      </c>
      <c r="D373" s="7" t="str">
        <f>IF(Notes!CB369="","",Notes!CB369)</f>
        <v/>
      </c>
      <c r="E373" s="7" t="str">
        <f>IF(Notes!CC369="","",Notes!CC369)</f>
        <v/>
      </c>
      <c r="F373" s="7" t="str">
        <f>IF(Notes!CD369="","",Notes!CD369)</f>
        <v/>
      </c>
      <c r="G373" s="7" t="str">
        <f>IF(Notes!CE369="","",Notes!CE369)</f>
        <v/>
      </c>
      <c r="H373" s="7" t="str">
        <f>IF(Notes!CF369="","",Notes!CF369)</f>
        <v/>
      </c>
      <c r="I373" s="7"/>
      <c r="J373" s="7"/>
      <c r="K373" s="7"/>
    </row>
    <row r="374" spans="1:11" x14ac:dyDescent="0.35">
      <c r="A374" s="7" t="str">
        <f>IF(Notes!BY370="","",Notes!BY370)</f>
        <v/>
      </c>
      <c r="B374" s="7" t="str">
        <f>IF(Notes!BZ370="","",Notes!BZ370)</f>
        <v/>
      </c>
      <c r="C374" s="7" t="str">
        <f>IF(Notes!CA370="","",Notes!CA370)</f>
        <v/>
      </c>
      <c r="D374" s="7" t="str">
        <f>IF(Notes!CB370="","",Notes!CB370)</f>
        <v/>
      </c>
      <c r="E374" s="7" t="str">
        <f>IF(Notes!CC370="","",Notes!CC370)</f>
        <v/>
      </c>
      <c r="F374" s="7" t="str">
        <f>IF(Notes!CD370="","",Notes!CD370)</f>
        <v/>
      </c>
      <c r="G374" s="7" t="str">
        <f>IF(Notes!CE370="","",Notes!CE370)</f>
        <v/>
      </c>
      <c r="H374" s="7" t="str">
        <f>IF(Notes!CF370="","",Notes!CF370)</f>
        <v/>
      </c>
      <c r="I374" s="7"/>
      <c r="J374" s="7"/>
      <c r="K374" s="7"/>
    </row>
    <row r="375" spans="1:11" x14ac:dyDescent="0.35">
      <c r="A375" s="7" t="str">
        <f>IF(Notes!BY371="","",Notes!BY371)</f>
        <v/>
      </c>
      <c r="B375" s="7" t="str">
        <f>IF(Notes!BZ371="","",Notes!BZ371)</f>
        <v/>
      </c>
      <c r="C375" s="7" t="str">
        <f>IF(Notes!CA371="","",Notes!CA371)</f>
        <v/>
      </c>
      <c r="D375" s="7" t="str">
        <f>IF(Notes!CB371="","",Notes!CB371)</f>
        <v/>
      </c>
      <c r="E375" s="7" t="str">
        <f>IF(Notes!CC371="","",Notes!CC371)</f>
        <v/>
      </c>
      <c r="F375" s="7" t="str">
        <f>IF(Notes!CD371="","",Notes!CD371)</f>
        <v/>
      </c>
      <c r="G375" s="7" t="str">
        <f>IF(Notes!CE371="","",Notes!CE371)</f>
        <v/>
      </c>
      <c r="H375" s="7" t="str">
        <f>IF(Notes!CF371="","",Notes!CF371)</f>
        <v/>
      </c>
      <c r="I375" s="7"/>
      <c r="J375" s="7"/>
      <c r="K375" s="7"/>
    </row>
    <row r="376" spans="1:11" x14ac:dyDescent="0.35">
      <c r="A376" s="7" t="str">
        <f>IF(Notes!BY372="","",Notes!BY372)</f>
        <v/>
      </c>
      <c r="B376" s="7" t="str">
        <f>IF(Notes!BZ372="","",Notes!BZ372)</f>
        <v/>
      </c>
      <c r="C376" s="7" t="str">
        <f>IF(Notes!CA372="","",Notes!CA372)</f>
        <v/>
      </c>
      <c r="D376" s="7" t="str">
        <f>IF(Notes!CB372="","",Notes!CB372)</f>
        <v/>
      </c>
      <c r="E376" s="7" t="str">
        <f>IF(Notes!CC372="","",Notes!CC372)</f>
        <v/>
      </c>
      <c r="F376" s="7" t="str">
        <f>IF(Notes!CD372="","",Notes!CD372)</f>
        <v/>
      </c>
      <c r="G376" s="7" t="str">
        <f>IF(Notes!CE372="","",Notes!CE372)</f>
        <v/>
      </c>
      <c r="H376" s="7" t="str">
        <f>IF(Notes!CF372="","",Notes!CF372)</f>
        <v/>
      </c>
      <c r="I376" s="7"/>
      <c r="J376" s="7"/>
      <c r="K376" s="7"/>
    </row>
    <row r="377" spans="1:11" x14ac:dyDescent="0.35">
      <c r="A377" s="7" t="str">
        <f>IF(Notes!BY373="","",Notes!BY373)</f>
        <v/>
      </c>
      <c r="B377" s="7" t="str">
        <f>IF(Notes!BZ373="","",Notes!BZ373)</f>
        <v/>
      </c>
      <c r="C377" s="7" t="str">
        <f>IF(Notes!CA373="","",Notes!CA373)</f>
        <v/>
      </c>
      <c r="D377" s="7" t="str">
        <f>IF(Notes!CB373="","",Notes!CB373)</f>
        <v/>
      </c>
      <c r="E377" s="7" t="str">
        <f>IF(Notes!CC373="","",Notes!CC373)</f>
        <v/>
      </c>
      <c r="F377" s="7" t="str">
        <f>IF(Notes!CD373="","",Notes!CD373)</f>
        <v/>
      </c>
      <c r="G377" s="7" t="str">
        <f>IF(Notes!CE373="","",Notes!CE373)</f>
        <v/>
      </c>
      <c r="H377" s="7" t="str">
        <f>IF(Notes!CF373="","",Notes!CF373)</f>
        <v/>
      </c>
      <c r="I377" s="7"/>
      <c r="J377" s="7"/>
      <c r="K377" s="7"/>
    </row>
    <row r="378" spans="1:11" x14ac:dyDescent="0.35">
      <c r="A378" s="7" t="str">
        <f>IF(Notes!BY374="","",Notes!BY374)</f>
        <v/>
      </c>
      <c r="B378" s="7" t="str">
        <f>IF(Notes!BZ374="","",Notes!BZ374)</f>
        <v/>
      </c>
      <c r="C378" s="7" t="str">
        <f>IF(Notes!CA374="","",Notes!CA374)</f>
        <v/>
      </c>
      <c r="D378" s="7" t="str">
        <f>IF(Notes!CB374="","",Notes!CB374)</f>
        <v/>
      </c>
      <c r="E378" s="7" t="str">
        <f>IF(Notes!CC374="","",Notes!CC374)</f>
        <v/>
      </c>
      <c r="F378" s="7" t="str">
        <f>IF(Notes!CD374="","",Notes!CD374)</f>
        <v/>
      </c>
      <c r="G378" s="7" t="str">
        <f>IF(Notes!CE374="","",Notes!CE374)</f>
        <v/>
      </c>
      <c r="H378" s="7" t="str">
        <f>IF(Notes!CF374="","",Notes!CF374)</f>
        <v/>
      </c>
      <c r="I378" s="7"/>
      <c r="J378" s="7"/>
      <c r="K378" s="7"/>
    </row>
    <row r="379" spans="1:11" x14ac:dyDescent="0.35">
      <c r="A379" s="7" t="str">
        <f>IF(Notes!BY375="","",Notes!BY375)</f>
        <v/>
      </c>
      <c r="B379" s="7" t="str">
        <f>IF(Notes!BZ375="","",Notes!BZ375)</f>
        <v/>
      </c>
      <c r="C379" s="7" t="str">
        <f>IF(Notes!CA375="","",Notes!CA375)</f>
        <v/>
      </c>
      <c r="D379" s="7" t="str">
        <f>IF(Notes!CB375="","",Notes!CB375)</f>
        <v/>
      </c>
      <c r="E379" s="7" t="str">
        <f>IF(Notes!CC375="","",Notes!CC375)</f>
        <v/>
      </c>
      <c r="F379" s="7" t="str">
        <f>IF(Notes!CD375="","",Notes!CD375)</f>
        <v/>
      </c>
      <c r="G379" s="7" t="str">
        <f>IF(Notes!CE375="","",Notes!CE375)</f>
        <v/>
      </c>
      <c r="H379" s="7" t="str">
        <f>IF(Notes!CF375="","",Notes!CF375)</f>
        <v/>
      </c>
      <c r="I379" s="7"/>
      <c r="J379" s="7"/>
      <c r="K379" s="7"/>
    </row>
    <row r="380" spans="1:11" x14ac:dyDescent="0.35">
      <c r="A380" s="7" t="str">
        <f>IF(Notes!BY376="","",Notes!BY376)</f>
        <v/>
      </c>
      <c r="B380" s="7" t="str">
        <f>IF(Notes!BZ376="","",Notes!BZ376)</f>
        <v/>
      </c>
      <c r="C380" s="7" t="str">
        <f>IF(Notes!CA376="","",Notes!CA376)</f>
        <v/>
      </c>
      <c r="D380" s="7" t="str">
        <f>IF(Notes!CB376="","",Notes!CB376)</f>
        <v/>
      </c>
      <c r="E380" s="7" t="str">
        <f>IF(Notes!CC376="","",Notes!CC376)</f>
        <v/>
      </c>
      <c r="F380" s="7" t="str">
        <f>IF(Notes!CD376="","",Notes!CD376)</f>
        <v/>
      </c>
      <c r="G380" s="7" t="str">
        <f>IF(Notes!CE376="","",Notes!CE376)</f>
        <v/>
      </c>
      <c r="H380" s="7" t="str">
        <f>IF(Notes!CF376="","",Notes!CF376)</f>
        <v/>
      </c>
      <c r="I380" s="7"/>
      <c r="J380" s="7"/>
      <c r="K380" s="7"/>
    </row>
    <row r="381" spans="1:11" x14ac:dyDescent="0.35">
      <c r="A381" s="7" t="str">
        <f>IF(Notes!BY377="","",Notes!BY377)</f>
        <v/>
      </c>
      <c r="B381" s="7" t="str">
        <f>IF(Notes!BZ377="","",Notes!BZ377)</f>
        <v/>
      </c>
      <c r="C381" s="7" t="str">
        <f>IF(Notes!CA377="","",Notes!CA377)</f>
        <v/>
      </c>
      <c r="D381" s="7" t="str">
        <f>IF(Notes!CB377="","",Notes!CB377)</f>
        <v/>
      </c>
      <c r="E381" s="7" t="str">
        <f>IF(Notes!CC377="","",Notes!CC377)</f>
        <v/>
      </c>
      <c r="F381" s="7" t="str">
        <f>IF(Notes!CD377="","",Notes!CD377)</f>
        <v/>
      </c>
      <c r="G381" s="7" t="str">
        <f>IF(Notes!CE377="","",Notes!CE377)</f>
        <v/>
      </c>
      <c r="H381" s="7" t="str">
        <f>IF(Notes!CF377="","",Notes!CF377)</f>
        <v/>
      </c>
      <c r="I381" s="7"/>
      <c r="J381" s="7"/>
      <c r="K381" s="7"/>
    </row>
    <row r="382" spans="1:11" x14ac:dyDescent="0.35">
      <c r="A382" s="7" t="str">
        <f>IF(Notes!BY378="","",Notes!BY378)</f>
        <v/>
      </c>
      <c r="B382" s="7" t="str">
        <f>IF(Notes!BZ378="","",Notes!BZ378)</f>
        <v/>
      </c>
      <c r="C382" s="7" t="str">
        <f>IF(Notes!CA378="","",Notes!CA378)</f>
        <v/>
      </c>
      <c r="D382" s="7" t="str">
        <f>IF(Notes!CB378="","",Notes!CB378)</f>
        <v/>
      </c>
      <c r="E382" s="7" t="str">
        <f>IF(Notes!CC378="","",Notes!CC378)</f>
        <v/>
      </c>
      <c r="F382" s="7" t="str">
        <f>IF(Notes!CD378="","",Notes!CD378)</f>
        <v/>
      </c>
      <c r="G382" s="7" t="str">
        <f>IF(Notes!CE378="","",Notes!CE378)</f>
        <v/>
      </c>
      <c r="H382" s="7" t="str">
        <f>IF(Notes!CF378="","",Notes!CF378)</f>
        <v/>
      </c>
      <c r="I382" s="7"/>
      <c r="J382" s="7"/>
      <c r="K382" s="7"/>
    </row>
    <row r="383" spans="1:11" x14ac:dyDescent="0.35">
      <c r="A383" s="7" t="str">
        <f>IF(Notes!BY379="","",Notes!BY379)</f>
        <v/>
      </c>
      <c r="B383" s="7" t="str">
        <f>IF(Notes!BZ379="","",Notes!BZ379)</f>
        <v/>
      </c>
      <c r="C383" s="7" t="str">
        <f>IF(Notes!CA379="","",Notes!CA379)</f>
        <v/>
      </c>
      <c r="D383" s="7" t="str">
        <f>IF(Notes!CB379="","",Notes!CB379)</f>
        <v/>
      </c>
      <c r="E383" s="7" t="str">
        <f>IF(Notes!CC379="","",Notes!CC379)</f>
        <v/>
      </c>
      <c r="F383" s="7" t="str">
        <f>IF(Notes!CD379="","",Notes!CD379)</f>
        <v/>
      </c>
      <c r="G383" s="7" t="str">
        <f>IF(Notes!CE379="","",Notes!CE379)</f>
        <v/>
      </c>
      <c r="H383" s="7" t="str">
        <f>IF(Notes!CF379="","",Notes!CF379)</f>
        <v/>
      </c>
      <c r="I383" s="7"/>
      <c r="J383" s="7"/>
      <c r="K383" s="7"/>
    </row>
    <row r="384" spans="1:11" x14ac:dyDescent="0.35">
      <c r="A384" s="7" t="str">
        <f>IF(Notes!BY380="","",Notes!BY380)</f>
        <v/>
      </c>
      <c r="B384" s="7" t="str">
        <f>IF(Notes!BZ380="","",Notes!BZ380)</f>
        <v/>
      </c>
      <c r="C384" s="7" t="str">
        <f>IF(Notes!CA380="","",Notes!CA380)</f>
        <v/>
      </c>
      <c r="D384" s="7" t="str">
        <f>IF(Notes!CB380="","",Notes!CB380)</f>
        <v/>
      </c>
      <c r="E384" s="7" t="str">
        <f>IF(Notes!CC380="","",Notes!CC380)</f>
        <v/>
      </c>
      <c r="F384" s="7" t="str">
        <f>IF(Notes!CD380="","",Notes!CD380)</f>
        <v/>
      </c>
      <c r="G384" s="7" t="str">
        <f>IF(Notes!CE380="","",Notes!CE380)</f>
        <v/>
      </c>
      <c r="H384" s="7" t="str">
        <f>IF(Notes!CF380="","",Notes!CF380)</f>
        <v/>
      </c>
      <c r="I384" s="7"/>
      <c r="J384" s="7"/>
      <c r="K384" s="7"/>
    </row>
    <row r="385" spans="1:11" x14ac:dyDescent="0.35">
      <c r="A385" s="7" t="str">
        <f>IF(Notes!BY381="","",Notes!BY381)</f>
        <v/>
      </c>
      <c r="B385" s="7" t="str">
        <f>IF(Notes!BZ381="","",Notes!BZ381)</f>
        <v/>
      </c>
      <c r="C385" s="7" t="str">
        <f>IF(Notes!CA381="","",Notes!CA381)</f>
        <v/>
      </c>
      <c r="D385" s="7" t="str">
        <f>IF(Notes!CB381="","",Notes!CB381)</f>
        <v/>
      </c>
      <c r="E385" s="7" t="str">
        <f>IF(Notes!CC381="","",Notes!CC381)</f>
        <v/>
      </c>
      <c r="F385" s="7" t="str">
        <f>IF(Notes!CD381="","",Notes!CD381)</f>
        <v/>
      </c>
      <c r="G385" s="7" t="str">
        <f>IF(Notes!CE381="","",Notes!CE381)</f>
        <v/>
      </c>
      <c r="H385" s="7" t="str">
        <f>IF(Notes!CF381="","",Notes!CF381)</f>
        <v/>
      </c>
      <c r="I385" s="7"/>
      <c r="J385" s="7"/>
      <c r="K385" s="7"/>
    </row>
    <row r="386" spans="1:11" x14ac:dyDescent="0.35">
      <c r="A386" s="7" t="str">
        <f>IF(Notes!BY382="","",Notes!BY382)</f>
        <v/>
      </c>
      <c r="B386" s="7" t="str">
        <f>IF(Notes!BZ382="","",Notes!BZ382)</f>
        <v/>
      </c>
      <c r="C386" s="7" t="str">
        <f>IF(Notes!CA382="","",Notes!CA382)</f>
        <v/>
      </c>
      <c r="D386" s="7" t="str">
        <f>IF(Notes!CB382="","",Notes!CB382)</f>
        <v/>
      </c>
      <c r="E386" s="7" t="str">
        <f>IF(Notes!CC382="","",Notes!CC382)</f>
        <v/>
      </c>
      <c r="F386" s="7" t="str">
        <f>IF(Notes!CD382="","",Notes!CD382)</f>
        <v/>
      </c>
      <c r="G386" s="7" t="str">
        <f>IF(Notes!CE382="","",Notes!CE382)</f>
        <v/>
      </c>
      <c r="H386" s="7" t="str">
        <f>IF(Notes!CF382="","",Notes!CF382)</f>
        <v/>
      </c>
      <c r="I386" s="7"/>
      <c r="J386" s="7"/>
      <c r="K386" s="7"/>
    </row>
    <row r="387" spans="1:11" x14ac:dyDescent="0.35">
      <c r="A387" s="7" t="str">
        <f>IF(Notes!BY383="","",Notes!BY383)</f>
        <v/>
      </c>
      <c r="B387" s="7" t="str">
        <f>IF(Notes!BZ383="","",Notes!BZ383)</f>
        <v/>
      </c>
      <c r="C387" s="7" t="str">
        <f>IF(Notes!CA383="","",Notes!CA383)</f>
        <v/>
      </c>
      <c r="D387" s="7" t="str">
        <f>IF(Notes!CB383="","",Notes!CB383)</f>
        <v/>
      </c>
      <c r="E387" s="7" t="str">
        <f>IF(Notes!CC383="","",Notes!CC383)</f>
        <v/>
      </c>
      <c r="F387" s="7" t="str">
        <f>IF(Notes!CD383="","",Notes!CD383)</f>
        <v/>
      </c>
      <c r="G387" s="7" t="str">
        <f>IF(Notes!CE383="","",Notes!CE383)</f>
        <v/>
      </c>
      <c r="H387" s="7" t="str">
        <f>IF(Notes!CF383="","",Notes!CF383)</f>
        <v/>
      </c>
      <c r="I387" s="7"/>
      <c r="J387" s="7"/>
      <c r="K387" s="7"/>
    </row>
    <row r="388" spans="1:11" x14ac:dyDescent="0.35">
      <c r="A388" s="7" t="str">
        <f>IF(Notes!BY384="","",Notes!BY384)</f>
        <v/>
      </c>
      <c r="B388" s="7" t="str">
        <f>IF(Notes!BZ384="","",Notes!BZ384)</f>
        <v/>
      </c>
      <c r="C388" s="7" t="str">
        <f>IF(Notes!CA384="","",Notes!CA384)</f>
        <v/>
      </c>
      <c r="D388" s="7" t="str">
        <f>IF(Notes!CB384="","",Notes!CB384)</f>
        <v/>
      </c>
      <c r="E388" s="7" t="str">
        <f>IF(Notes!CC384="","",Notes!CC384)</f>
        <v/>
      </c>
      <c r="F388" s="7" t="str">
        <f>IF(Notes!CD384="","",Notes!CD384)</f>
        <v/>
      </c>
      <c r="G388" s="7" t="str">
        <f>IF(Notes!CE384="","",Notes!CE384)</f>
        <v/>
      </c>
      <c r="H388" s="7" t="str">
        <f>IF(Notes!CF384="","",Notes!CF384)</f>
        <v/>
      </c>
      <c r="I388" s="7"/>
      <c r="J388" s="7"/>
      <c r="K388" s="7"/>
    </row>
    <row r="389" spans="1:11" x14ac:dyDescent="0.35">
      <c r="A389" s="7" t="str">
        <f>IF(Notes!BY385="","",Notes!BY385)</f>
        <v/>
      </c>
      <c r="B389" s="7" t="str">
        <f>IF(Notes!BZ385="","",Notes!BZ385)</f>
        <v/>
      </c>
      <c r="C389" s="7" t="str">
        <f>IF(Notes!CA385="","",Notes!CA385)</f>
        <v/>
      </c>
      <c r="D389" s="7" t="str">
        <f>IF(Notes!CB385="","",Notes!CB385)</f>
        <v/>
      </c>
      <c r="E389" s="7" t="str">
        <f>IF(Notes!CC385="","",Notes!CC385)</f>
        <v/>
      </c>
      <c r="F389" s="7" t="str">
        <f>IF(Notes!CD385="","",Notes!CD385)</f>
        <v/>
      </c>
      <c r="G389" s="7" t="str">
        <f>IF(Notes!CE385="","",Notes!CE385)</f>
        <v/>
      </c>
      <c r="H389" s="7" t="str">
        <f>IF(Notes!CF385="","",Notes!CF385)</f>
        <v/>
      </c>
      <c r="I389" s="7"/>
      <c r="J389" s="7"/>
      <c r="K389" s="7"/>
    </row>
    <row r="390" spans="1:11" x14ac:dyDescent="0.35">
      <c r="A390" s="7" t="str">
        <f>IF(Notes!BY386="","",Notes!BY386)</f>
        <v/>
      </c>
      <c r="B390" s="7" t="str">
        <f>IF(Notes!BZ386="","",Notes!BZ386)</f>
        <v/>
      </c>
      <c r="C390" s="7" t="str">
        <f>IF(Notes!CA386="","",Notes!CA386)</f>
        <v/>
      </c>
      <c r="D390" s="7" t="str">
        <f>IF(Notes!CB386="","",Notes!CB386)</f>
        <v/>
      </c>
      <c r="E390" s="7" t="str">
        <f>IF(Notes!CC386="","",Notes!CC386)</f>
        <v/>
      </c>
      <c r="F390" s="7" t="str">
        <f>IF(Notes!CD386="","",Notes!CD386)</f>
        <v/>
      </c>
      <c r="G390" s="7" t="str">
        <f>IF(Notes!CE386="","",Notes!CE386)</f>
        <v/>
      </c>
      <c r="H390" s="7" t="str">
        <f>IF(Notes!CF386="","",Notes!CF386)</f>
        <v/>
      </c>
      <c r="I390" s="7"/>
      <c r="J390" s="7"/>
      <c r="K390" s="7"/>
    </row>
    <row r="391" spans="1:11" x14ac:dyDescent="0.35">
      <c r="A391" s="7" t="str">
        <f>IF(Notes!BY387="","",Notes!BY387)</f>
        <v/>
      </c>
      <c r="B391" s="7" t="str">
        <f>IF(Notes!BZ387="","",Notes!BZ387)</f>
        <v/>
      </c>
      <c r="C391" s="7" t="str">
        <f>IF(Notes!CA387="","",Notes!CA387)</f>
        <v/>
      </c>
      <c r="D391" s="7" t="str">
        <f>IF(Notes!CB387="","",Notes!CB387)</f>
        <v/>
      </c>
      <c r="E391" s="7" t="str">
        <f>IF(Notes!CC387="","",Notes!CC387)</f>
        <v/>
      </c>
      <c r="F391" s="7" t="str">
        <f>IF(Notes!CD387="","",Notes!CD387)</f>
        <v/>
      </c>
      <c r="G391" s="7" t="str">
        <f>IF(Notes!CE387="","",Notes!CE387)</f>
        <v/>
      </c>
      <c r="H391" s="7" t="str">
        <f>IF(Notes!CF387="","",Notes!CF387)</f>
        <v/>
      </c>
      <c r="I391" s="7"/>
      <c r="J391" s="7"/>
      <c r="K391" s="7"/>
    </row>
    <row r="392" spans="1:11" x14ac:dyDescent="0.35">
      <c r="A392" s="7" t="str">
        <f>IF(Notes!BY388="","",Notes!BY388)</f>
        <v/>
      </c>
      <c r="B392" s="7" t="str">
        <f>IF(Notes!BZ388="","",Notes!BZ388)</f>
        <v/>
      </c>
      <c r="C392" s="7" t="str">
        <f>IF(Notes!CA388="","",Notes!CA388)</f>
        <v/>
      </c>
      <c r="D392" s="7" t="str">
        <f>IF(Notes!CB388="","",Notes!CB388)</f>
        <v/>
      </c>
      <c r="E392" s="7" t="str">
        <f>IF(Notes!CC388="","",Notes!CC388)</f>
        <v/>
      </c>
      <c r="F392" s="7" t="str">
        <f>IF(Notes!CD388="","",Notes!CD388)</f>
        <v/>
      </c>
      <c r="G392" s="7" t="str">
        <f>IF(Notes!CE388="","",Notes!CE388)</f>
        <v/>
      </c>
      <c r="H392" s="7" t="str">
        <f>IF(Notes!CF388="","",Notes!CF388)</f>
        <v/>
      </c>
      <c r="I392" s="7"/>
      <c r="J392" s="7"/>
      <c r="K392" s="7"/>
    </row>
    <row r="393" spans="1:11" x14ac:dyDescent="0.35">
      <c r="A393" s="7" t="str">
        <f>IF(Notes!BY389="","",Notes!BY389)</f>
        <v/>
      </c>
      <c r="B393" s="7" t="str">
        <f>IF(Notes!BZ389="","",Notes!BZ389)</f>
        <v/>
      </c>
      <c r="C393" s="7" t="str">
        <f>IF(Notes!CA389="","",Notes!CA389)</f>
        <v/>
      </c>
      <c r="D393" s="7" t="str">
        <f>IF(Notes!CB389="","",Notes!CB389)</f>
        <v/>
      </c>
      <c r="E393" s="7" t="str">
        <f>IF(Notes!CC389="","",Notes!CC389)</f>
        <v/>
      </c>
      <c r="F393" s="7" t="str">
        <f>IF(Notes!CD389="","",Notes!CD389)</f>
        <v/>
      </c>
      <c r="G393" s="7" t="str">
        <f>IF(Notes!CE389="","",Notes!CE389)</f>
        <v/>
      </c>
      <c r="H393" s="7" t="str">
        <f>IF(Notes!CF389="","",Notes!CF389)</f>
        <v/>
      </c>
      <c r="I393" s="7"/>
      <c r="J393" s="7"/>
      <c r="K393" s="7"/>
    </row>
    <row r="394" spans="1:11" x14ac:dyDescent="0.35">
      <c r="A394" s="7" t="str">
        <f>IF(Notes!BY390="","",Notes!BY390)</f>
        <v/>
      </c>
      <c r="B394" s="7" t="str">
        <f>IF(Notes!BZ390="","",Notes!BZ390)</f>
        <v/>
      </c>
      <c r="C394" s="7" t="str">
        <f>IF(Notes!CA390="","",Notes!CA390)</f>
        <v/>
      </c>
      <c r="D394" s="7" t="str">
        <f>IF(Notes!CB390="","",Notes!CB390)</f>
        <v/>
      </c>
      <c r="E394" s="7" t="str">
        <f>IF(Notes!CC390="","",Notes!CC390)</f>
        <v/>
      </c>
      <c r="F394" s="7" t="str">
        <f>IF(Notes!CD390="","",Notes!CD390)</f>
        <v/>
      </c>
      <c r="G394" s="7" t="str">
        <f>IF(Notes!CE390="","",Notes!CE390)</f>
        <v/>
      </c>
      <c r="H394" s="7" t="str">
        <f>IF(Notes!CF390="","",Notes!CF390)</f>
        <v/>
      </c>
      <c r="I394" s="7"/>
      <c r="J394" s="7"/>
      <c r="K394" s="7"/>
    </row>
    <row r="395" spans="1:11" x14ac:dyDescent="0.35">
      <c r="A395" s="7" t="str">
        <f>IF(Notes!BY391="","",Notes!BY391)</f>
        <v/>
      </c>
      <c r="B395" s="7" t="str">
        <f>IF(Notes!BZ391="","",Notes!BZ391)</f>
        <v/>
      </c>
      <c r="C395" s="7" t="str">
        <f>IF(Notes!CA391="","",Notes!CA391)</f>
        <v/>
      </c>
      <c r="D395" s="7" t="str">
        <f>IF(Notes!CB391="","",Notes!CB391)</f>
        <v/>
      </c>
      <c r="E395" s="7" t="str">
        <f>IF(Notes!CC391="","",Notes!CC391)</f>
        <v/>
      </c>
      <c r="F395" s="7" t="str">
        <f>IF(Notes!CD391="","",Notes!CD391)</f>
        <v/>
      </c>
      <c r="G395" s="7" t="str">
        <f>IF(Notes!CE391="","",Notes!CE391)</f>
        <v/>
      </c>
      <c r="H395" s="7" t="str">
        <f>IF(Notes!CF391="","",Notes!CF391)</f>
        <v/>
      </c>
      <c r="I395" s="7"/>
      <c r="J395" s="7"/>
      <c r="K395" s="7"/>
    </row>
    <row r="396" spans="1:11" x14ac:dyDescent="0.35">
      <c r="A396" s="7" t="str">
        <f>IF(Notes!BY392="","",Notes!BY392)</f>
        <v/>
      </c>
      <c r="B396" s="7" t="str">
        <f>IF(Notes!BZ392="","",Notes!BZ392)</f>
        <v/>
      </c>
      <c r="C396" s="7" t="str">
        <f>IF(Notes!CA392="","",Notes!CA392)</f>
        <v/>
      </c>
      <c r="D396" s="7" t="str">
        <f>IF(Notes!CB392="","",Notes!CB392)</f>
        <v/>
      </c>
      <c r="E396" s="7" t="str">
        <f>IF(Notes!CC392="","",Notes!CC392)</f>
        <v/>
      </c>
      <c r="F396" s="7" t="str">
        <f>IF(Notes!CD392="","",Notes!CD392)</f>
        <v/>
      </c>
      <c r="G396" s="7" t="str">
        <f>IF(Notes!CE392="","",Notes!CE392)</f>
        <v/>
      </c>
      <c r="H396" s="7" t="str">
        <f>IF(Notes!CF392="","",Notes!CF392)</f>
        <v/>
      </c>
      <c r="I396" s="7"/>
      <c r="J396" s="7"/>
      <c r="K396" s="7"/>
    </row>
    <row r="397" spans="1:11" x14ac:dyDescent="0.35">
      <c r="A397" s="7" t="str">
        <f>IF(Notes!BY393="","",Notes!BY393)</f>
        <v/>
      </c>
      <c r="B397" s="7" t="str">
        <f>IF(Notes!BZ393="","",Notes!BZ393)</f>
        <v/>
      </c>
      <c r="C397" s="7" t="str">
        <f>IF(Notes!CA393="","",Notes!CA393)</f>
        <v/>
      </c>
      <c r="D397" s="7" t="str">
        <f>IF(Notes!CB393="","",Notes!CB393)</f>
        <v/>
      </c>
      <c r="E397" s="7" t="str">
        <f>IF(Notes!CC393="","",Notes!CC393)</f>
        <v/>
      </c>
      <c r="F397" s="7" t="str">
        <f>IF(Notes!CD393="","",Notes!CD393)</f>
        <v/>
      </c>
      <c r="G397" s="7" t="str">
        <f>IF(Notes!CE393="","",Notes!CE393)</f>
        <v/>
      </c>
      <c r="H397" s="7" t="str">
        <f>IF(Notes!CF393="","",Notes!CF393)</f>
        <v/>
      </c>
      <c r="I397" s="7"/>
      <c r="J397" s="7"/>
      <c r="K397" s="7"/>
    </row>
    <row r="398" spans="1:11" x14ac:dyDescent="0.35">
      <c r="A398" s="7" t="str">
        <f>IF(Notes!BY394="","",Notes!BY394)</f>
        <v/>
      </c>
      <c r="B398" s="7" t="str">
        <f>IF(Notes!BZ394="","",Notes!BZ394)</f>
        <v/>
      </c>
      <c r="C398" s="7" t="str">
        <f>IF(Notes!CA394="","",Notes!CA394)</f>
        <v/>
      </c>
      <c r="D398" s="7" t="str">
        <f>IF(Notes!CB394="","",Notes!CB394)</f>
        <v/>
      </c>
      <c r="E398" s="7" t="str">
        <f>IF(Notes!CC394="","",Notes!CC394)</f>
        <v/>
      </c>
      <c r="F398" s="7" t="str">
        <f>IF(Notes!CD394="","",Notes!CD394)</f>
        <v/>
      </c>
      <c r="G398" s="7" t="str">
        <f>IF(Notes!CE394="","",Notes!CE394)</f>
        <v/>
      </c>
      <c r="H398" s="7" t="str">
        <f>IF(Notes!CF394="","",Notes!CF394)</f>
        <v/>
      </c>
      <c r="I398" s="7"/>
      <c r="J398" s="7"/>
      <c r="K398" s="7"/>
    </row>
    <row r="399" spans="1:11" x14ac:dyDescent="0.35">
      <c r="A399" s="7" t="str">
        <f>IF(Notes!BY395="","",Notes!BY395)</f>
        <v/>
      </c>
      <c r="B399" s="7" t="str">
        <f>IF(Notes!BZ395="","",Notes!BZ395)</f>
        <v/>
      </c>
      <c r="C399" s="7" t="str">
        <f>IF(Notes!CA395="","",Notes!CA395)</f>
        <v/>
      </c>
      <c r="D399" s="7" t="str">
        <f>IF(Notes!CB395="","",Notes!CB395)</f>
        <v/>
      </c>
      <c r="E399" s="7" t="str">
        <f>IF(Notes!CC395="","",Notes!CC395)</f>
        <v/>
      </c>
      <c r="F399" s="7" t="str">
        <f>IF(Notes!CD395="","",Notes!CD395)</f>
        <v/>
      </c>
      <c r="G399" s="7" t="str">
        <f>IF(Notes!CE395="","",Notes!CE395)</f>
        <v/>
      </c>
      <c r="H399" s="7" t="str">
        <f>IF(Notes!CF395="","",Notes!CF395)</f>
        <v/>
      </c>
      <c r="I399" s="7"/>
      <c r="J399" s="7"/>
      <c r="K399" s="7"/>
    </row>
    <row r="400" spans="1:11" x14ac:dyDescent="0.35">
      <c r="A400" s="7" t="str">
        <f>IF(Notes!BY396="","",Notes!BY396)</f>
        <v/>
      </c>
      <c r="B400" s="7" t="str">
        <f>IF(Notes!BZ396="","",Notes!BZ396)</f>
        <v/>
      </c>
      <c r="C400" s="7" t="str">
        <f>IF(Notes!CA396="","",Notes!CA396)</f>
        <v/>
      </c>
      <c r="D400" s="7" t="str">
        <f>IF(Notes!CB396="","",Notes!CB396)</f>
        <v/>
      </c>
      <c r="E400" s="7" t="str">
        <f>IF(Notes!CC396="","",Notes!CC396)</f>
        <v/>
      </c>
      <c r="F400" s="7" t="str">
        <f>IF(Notes!CD396="","",Notes!CD396)</f>
        <v/>
      </c>
      <c r="G400" s="7" t="str">
        <f>IF(Notes!CE396="","",Notes!CE396)</f>
        <v/>
      </c>
      <c r="H400" s="7" t="str">
        <f>IF(Notes!CF396="","",Notes!CF396)</f>
        <v/>
      </c>
      <c r="I400" s="7"/>
      <c r="J400" s="7"/>
      <c r="K400" s="7"/>
    </row>
    <row r="401" spans="1:11" x14ac:dyDescent="0.35">
      <c r="A401" s="7" t="str">
        <f>IF(Notes!BY397="","",Notes!BY397)</f>
        <v/>
      </c>
      <c r="B401" s="7" t="str">
        <f>IF(Notes!BZ397="","",Notes!BZ397)</f>
        <v/>
      </c>
      <c r="C401" s="7" t="str">
        <f>IF(Notes!CA397="","",Notes!CA397)</f>
        <v/>
      </c>
      <c r="D401" s="7" t="str">
        <f>IF(Notes!CB397="","",Notes!CB397)</f>
        <v/>
      </c>
      <c r="E401" s="7" t="str">
        <f>IF(Notes!CC397="","",Notes!CC397)</f>
        <v/>
      </c>
      <c r="F401" s="7" t="str">
        <f>IF(Notes!CD397="","",Notes!CD397)</f>
        <v/>
      </c>
      <c r="G401" s="7" t="str">
        <f>IF(Notes!CE397="","",Notes!CE397)</f>
        <v/>
      </c>
      <c r="H401" s="7" t="str">
        <f>IF(Notes!CF397="","",Notes!CF397)</f>
        <v/>
      </c>
      <c r="I401" s="7"/>
      <c r="J401" s="7"/>
      <c r="K401" s="7"/>
    </row>
    <row r="402" spans="1:11" x14ac:dyDescent="0.35">
      <c r="A402" s="7" t="str">
        <f>IF(Notes!BY398="","",Notes!BY398)</f>
        <v/>
      </c>
      <c r="B402" s="7" t="str">
        <f>IF(Notes!BZ398="","",Notes!BZ398)</f>
        <v/>
      </c>
      <c r="C402" s="7" t="str">
        <f>IF(Notes!CA398="","",Notes!CA398)</f>
        <v/>
      </c>
      <c r="D402" s="7" t="str">
        <f>IF(Notes!CB398="","",Notes!CB398)</f>
        <v/>
      </c>
      <c r="E402" s="7" t="str">
        <f>IF(Notes!CC398="","",Notes!CC398)</f>
        <v/>
      </c>
      <c r="F402" s="7" t="str">
        <f>IF(Notes!CD398="","",Notes!CD398)</f>
        <v/>
      </c>
      <c r="G402" s="7" t="str">
        <f>IF(Notes!CE398="","",Notes!CE398)</f>
        <v/>
      </c>
      <c r="H402" s="7" t="str">
        <f>IF(Notes!CF398="","",Notes!CF398)</f>
        <v/>
      </c>
      <c r="I402" s="7"/>
      <c r="J402" s="7"/>
      <c r="K402" s="7"/>
    </row>
    <row r="403" spans="1:11" x14ac:dyDescent="0.35">
      <c r="A403" s="7" t="str">
        <f>IF(Notes!BY399="","",Notes!BY399)</f>
        <v/>
      </c>
      <c r="B403" s="7" t="str">
        <f>IF(Notes!BZ399="","",Notes!BZ399)</f>
        <v/>
      </c>
      <c r="C403" s="7" t="str">
        <f>IF(Notes!CA399="","",Notes!CA399)</f>
        <v/>
      </c>
      <c r="D403" s="7" t="str">
        <f>IF(Notes!CB399="","",Notes!CB399)</f>
        <v/>
      </c>
      <c r="E403" s="7" t="str">
        <f>IF(Notes!CC399="","",Notes!CC399)</f>
        <v/>
      </c>
      <c r="F403" s="7" t="str">
        <f>IF(Notes!CD399="","",Notes!CD399)</f>
        <v/>
      </c>
      <c r="G403" s="7" t="str">
        <f>IF(Notes!CE399="","",Notes!CE399)</f>
        <v/>
      </c>
      <c r="H403" s="7" t="str">
        <f>IF(Notes!CF399="","",Notes!CF399)</f>
        <v/>
      </c>
      <c r="I403" s="7"/>
      <c r="J403" s="7"/>
      <c r="K403" s="7"/>
    </row>
    <row r="404" spans="1:11" x14ac:dyDescent="0.35">
      <c r="A404" s="7" t="str">
        <f>IF(Notes!BY400="","",Notes!BY400)</f>
        <v/>
      </c>
      <c r="B404" s="7" t="str">
        <f>IF(Notes!BZ400="","",Notes!BZ400)</f>
        <v/>
      </c>
      <c r="C404" s="7" t="str">
        <f>IF(Notes!CA400="","",Notes!CA400)</f>
        <v/>
      </c>
      <c r="D404" s="7" t="str">
        <f>IF(Notes!CB400="","",Notes!CB400)</f>
        <v/>
      </c>
      <c r="E404" s="7" t="str">
        <f>IF(Notes!CC400="","",Notes!CC400)</f>
        <v/>
      </c>
      <c r="F404" s="7" t="str">
        <f>IF(Notes!CD400="","",Notes!CD400)</f>
        <v/>
      </c>
      <c r="G404" s="7" t="str">
        <f>IF(Notes!CE400="","",Notes!CE400)</f>
        <v/>
      </c>
      <c r="H404" s="7" t="str">
        <f>IF(Notes!CF400="","",Notes!CF400)</f>
        <v/>
      </c>
      <c r="I404" s="7"/>
      <c r="J404" s="7"/>
      <c r="K404" s="7"/>
    </row>
    <row r="405" spans="1:11" x14ac:dyDescent="0.35">
      <c r="A405" s="7" t="str">
        <f>IF(Notes!BY401="","",Notes!BY401)</f>
        <v/>
      </c>
      <c r="B405" s="7" t="str">
        <f>IF(Notes!BZ401="","",Notes!BZ401)</f>
        <v/>
      </c>
      <c r="C405" s="7" t="str">
        <f>IF(Notes!CA401="","",Notes!CA401)</f>
        <v/>
      </c>
      <c r="D405" s="7" t="str">
        <f>IF(Notes!CB401="","",Notes!CB401)</f>
        <v/>
      </c>
      <c r="E405" s="7" t="str">
        <f>IF(Notes!CC401="","",Notes!CC401)</f>
        <v/>
      </c>
      <c r="F405" s="7" t="str">
        <f>IF(Notes!CD401="","",Notes!CD401)</f>
        <v/>
      </c>
      <c r="G405" s="7" t="str">
        <f>IF(Notes!CE401="","",Notes!CE401)</f>
        <v/>
      </c>
      <c r="H405" s="7" t="str">
        <f>IF(Notes!CF401="","",Notes!CF401)</f>
        <v/>
      </c>
      <c r="I405" s="7"/>
      <c r="J405" s="7"/>
      <c r="K405" s="7"/>
    </row>
    <row r="406" spans="1:11" x14ac:dyDescent="0.35">
      <c r="A406" s="7" t="str">
        <f>IF(Notes!BY402="","",Notes!BY402)</f>
        <v/>
      </c>
      <c r="B406" s="7" t="str">
        <f>IF(Notes!BZ402="","",Notes!BZ402)</f>
        <v/>
      </c>
      <c r="C406" s="7" t="str">
        <f>IF(Notes!CA402="","",Notes!CA402)</f>
        <v/>
      </c>
      <c r="D406" s="7" t="str">
        <f>IF(Notes!CB402="","",Notes!CB402)</f>
        <v/>
      </c>
      <c r="E406" s="7" t="str">
        <f>IF(Notes!CC402="","",Notes!CC402)</f>
        <v/>
      </c>
      <c r="F406" s="7" t="str">
        <f>IF(Notes!CD402="","",Notes!CD402)</f>
        <v/>
      </c>
      <c r="G406" s="7" t="str">
        <f>IF(Notes!CE402="","",Notes!CE402)</f>
        <v/>
      </c>
      <c r="H406" s="7" t="str">
        <f>IF(Notes!CF402="","",Notes!CF402)</f>
        <v/>
      </c>
      <c r="I406" s="7"/>
      <c r="J406" s="7"/>
      <c r="K406" s="7"/>
    </row>
    <row r="407" spans="1:11" x14ac:dyDescent="0.35">
      <c r="A407" s="7" t="str">
        <f>IF(Notes!BY403="","",Notes!BY403)</f>
        <v/>
      </c>
      <c r="B407" s="7" t="str">
        <f>IF(Notes!BZ403="","",Notes!BZ403)</f>
        <v/>
      </c>
      <c r="C407" s="7" t="str">
        <f>IF(Notes!CA403="","",Notes!CA403)</f>
        <v/>
      </c>
      <c r="D407" s="7" t="str">
        <f>IF(Notes!CB403="","",Notes!CB403)</f>
        <v/>
      </c>
      <c r="E407" s="7" t="str">
        <f>IF(Notes!CC403="","",Notes!CC403)</f>
        <v/>
      </c>
      <c r="F407" s="7" t="str">
        <f>IF(Notes!CD403="","",Notes!CD403)</f>
        <v/>
      </c>
      <c r="G407" s="7" t="str">
        <f>IF(Notes!CE403="","",Notes!CE403)</f>
        <v/>
      </c>
      <c r="H407" s="7" t="str">
        <f>IF(Notes!CF403="","",Notes!CF403)</f>
        <v/>
      </c>
      <c r="I407" s="7"/>
      <c r="J407" s="7"/>
      <c r="K407" s="7"/>
    </row>
    <row r="408" spans="1:11" x14ac:dyDescent="0.35">
      <c r="A408" s="7" t="str">
        <f>IF(Notes!BY404="","",Notes!BY404)</f>
        <v/>
      </c>
      <c r="B408" s="7" t="str">
        <f>IF(Notes!BZ404="","",Notes!BZ404)</f>
        <v/>
      </c>
      <c r="C408" s="7" t="str">
        <f>IF(Notes!CA404="","",Notes!CA404)</f>
        <v/>
      </c>
      <c r="D408" s="7" t="str">
        <f>IF(Notes!CB404="","",Notes!CB404)</f>
        <v/>
      </c>
      <c r="E408" s="7" t="str">
        <f>IF(Notes!CC404="","",Notes!CC404)</f>
        <v/>
      </c>
      <c r="F408" s="7" t="str">
        <f>IF(Notes!CD404="","",Notes!CD404)</f>
        <v/>
      </c>
      <c r="G408" s="7" t="str">
        <f>IF(Notes!CE404="","",Notes!CE404)</f>
        <v/>
      </c>
      <c r="H408" s="7" t="str">
        <f>IF(Notes!CF404="","",Notes!CF404)</f>
        <v/>
      </c>
      <c r="I408" s="7"/>
      <c r="J408" s="7"/>
      <c r="K408" s="7"/>
    </row>
    <row r="409" spans="1:11" x14ac:dyDescent="0.35">
      <c r="A409" s="7" t="str">
        <f>IF(Notes!BY405="","",Notes!BY405)</f>
        <v/>
      </c>
      <c r="B409" s="7" t="str">
        <f>IF(Notes!BZ405="","",Notes!BZ405)</f>
        <v/>
      </c>
      <c r="C409" s="7" t="str">
        <f>IF(Notes!CA405="","",Notes!CA405)</f>
        <v/>
      </c>
      <c r="D409" s="7" t="str">
        <f>IF(Notes!CB405="","",Notes!CB405)</f>
        <v/>
      </c>
      <c r="E409" s="7" t="str">
        <f>IF(Notes!CC405="","",Notes!CC405)</f>
        <v/>
      </c>
      <c r="F409" s="7" t="str">
        <f>IF(Notes!CD405="","",Notes!CD405)</f>
        <v/>
      </c>
      <c r="G409" s="7" t="str">
        <f>IF(Notes!CE405="","",Notes!CE405)</f>
        <v/>
      </c>
      <c r="H409" s="7" t="str">
        <f>IF(Notes!CF405="","",Notes!CF405)</f>
        <v/>
      </c>
      <c r="I409" s="7"/>
      <c r="J409" s="7"/>
      <c r="K409" s="7"/>
    </row>
    <row r="410" spans="1:11" x14ac:dyDescent="0.35">
      <c r="A410" s="7" t="str">
        <f>IF(Notes!BY406="","",Notes!BY406)</f>
        <v/>
      </c>
      <c r="B410" s="7" t="str">
        <f>IF(Notes!BZ406="","",Notes!BZ406)</f>
        <v/>
      </c>
      <c r="C410" s="7" t="str">
        <f>IF(Notes!CA406="","",Notes!CA406)</f>
        <v/>
      </c>
      <c r="D410" s="7" t="str">
        <f>IF(Notes!CB406="","",Notes!CB406)</f>
        <v/>
      </c>
      <c r="E410" s="7" t="str">
        <f>IF(Notes!CC406="","",Notes!CC406)</f>
        <v/>
      </c>
      <c r="F410" s="7" t="str">
        <f>IF(Notes!CD406="","",Notes!CD406)</f>
        <v/>
      </c>
      <c r="G410" s="7" t="str">
        <f>IF(Notes!CE406="","",Notes!CE406)</f>
        <v/>
      </c>
      <c r="H410" s="7" t="str">
        <f>IF(Notes!CF406="","",Notes!CF406)</f>
        <v/>
      </c>
      <c r="I410" s="7"/>
      <c r="J410" s="7"/>
      <c r="K410" s="7"/>
    </row>
    <row r="411" spans="1:11" x14ac:dyDescent="0.35">
      <c r="A411" s="7" t="str">
        <f>IF(Notes!BY407="","",Notes!BY407)</f>
        <v/>
      </c>
      <c r="B411" s="7" t="str">
        <f>IF(Notes!BZ407="","",Notes!BZ407)</f>
        <v/>
      </c>
      <c r="C411" s="7" t="str">
        <f>IF(Notes!CA407="","",Notes!CA407)</f>
        <v/>
      </c>
      <c r="D411" s="7" t="str">
        <f>IF(Notes!CB407="","",Notes!CB407)</f>
        <v/>
      </c>
      <c r="E411" s="7" t="str">
        <f>IF(Notes!CC407="","",Notes!CC407)</f>
        <v/>
      </c>
      <c r="F411" s="7" t="str">
        <f>IF(Notes!CD407="","",Notes!CD407)</f>
        <v/>
      </c>
      <c r="G411" s="7" t="str">
        <f>IF(Notes!CE407="","",Notes!CE407)</f>
        <v/>
      </c>
      <c r="H411" s="7" t="str">
        <f>IF(Notes!CF407="","",Notes!CF407)</f>
        <v/>
      </c>
      <c r="I411" s="7"/>
      <c r="J411" s="7"/>
      <c r="K411" s="7"/>
    </row>
    <row r="412" spans="1:11" x14ac:dyDescent="0.35">
      <c r="A412" s="7" t="str">
        <f>IF(Notes!BY408="","",Notes!BY408)</f>
        <v/>
      </c>
      <c r="B412" s="7" t="str">
        <f>IF(Notes!BZ408="","",Notes!BZ408)</f>
        <v/>
      </c>
      <c r="C412" s="7" t="str">
        <f>IF(Notes!CA408="","",Notes!CA408)</f>
        <v/>
      </c>
      <c r="D412" s="7" t="str">
        <f>IF(Notes!CB408="","",Notes!CB408)</f>
        <v/>
      </c>
      <c r="E412" s="7" t="str">
        <f>IF(Notes!CC408="","",Notes!CC408)</f>
        <v/>
      </c>
      <c r="F412" s="7" t="str">
        <f>IF(Notes!CD408="","",Notes!CD408)</f>
        <v/>
      </c>
      <c r="G412" s="7" t="str">
        <f>IF(Notes!CE408="","",Notes!CE408)</f>
        <v/>
      </c>
      <c r="H412" s="7" t="str">
        <f>IF(Notes!CF408="","",Notes!CF408)</f>
        <v/>
      </c>
      <c r="I412" s="7"/>
      <c r="J412" s="7"/>
      <c r="K412" s="7"/>
    </row>
    <row r="413" spans="1:11" x14ac:dyDescent="0.35">
      <c r="A413" s="7" t="str">
        <f>IF(Notes!BY409="","",Notes!BY409)</f>
        <v/>
      </c>
      <c r="B413" s="7" t="str">
        <f>IF(Notes!BZ409="","",Notes!BZ409)</f>
        <v/>
      </c>
      <c r="C413" s="7" t="str">
        <f>IF(Notes!CA409="","",Notes!CA409)</f>
        <v/>
      </c>
      <c r="D413" s="7" t="str">
        <f>IF(Notes!CB409="","",Notes!CB409)</f>
        <v/>
      </c>
      <c r="E413" s="7" t="str">
        <f>IF(Notes!CC409="","",Notes!CC409)</f>
        <v/>
      </c>
      <c r="F413" s="7" t="str">
        <f>IF(Notes!CD409="","",Notes!CD409)</f>
        <v/>
      </c>
      <c r="G413" s="7" t="str">
        <f>IF(Notes!CE409="","",Notes!CE409)</f>
        <v/>
      </c>
      <c r="H413" s="7" t="str">
        <f>IF(Notes!CF409="","",Notes!CF409)</f>
        <v/>
      </c>
      <c r="I413" s="7"/>
      <c r="J413" s="7"/>
      <c r="K413" s="7"/>
    </row>
    <row r="414" spans="1:11" x14ac:dyDescent="0.35">
      <c r="A414" s="7" t="str">
        <f>IF(Notes!BY410="","",Notes!BY410)</f>
        <v/>
      </c>
      <c r="B414" s="7" t="str">
        <f>IF(Notes!BZ410="","",Notes!BZ410)</f>
        <v/>
      </c>
      <c r="C414" s="7" t="str">
        <f>IF(Notes!CA410="","",Notes!CA410)</f>
        <v/>
      </c>
      <c r="D414" s="7" t="str">
        <f>IF(Notes!CB410="","",Notes!CB410)</f>
        <v/>
      </c>
      <c r="E414" s="7" t="str">
        <f>IF(Notes!CC410="","",Notes!CC410)</f>
        <v/>
      </c>
      <c r="F414" s="7" t="str">
        <f>IF(Notes!CD410="","",Notes!CD410)</f>
        <v/>
      </c>
      <c r="G414" s="7" t="str">
        <f>IF(Notes!CE410="","",Notes!CE410)</f>
        <v/>
      </c>
      <c r="H414" s="7" t="str">
        <f>IF(Notes!CF410="","",Notes!CF410)</f>
        <v/>
      </c>
      <c r="I414" s="7"/>
      <c r="J414" s="7"/>
      <c r="K414" s="7"/>
    </row>
    <row r="415" spans="1:11" x14ac:dyDescent="0.35">
      <c r="A415" s="7" t="str">
        <f>IF(Notes!BY411="","",Notes!BY411)</f>
        <v/>
      </c>
      <c r="B415" s="7" t="str">
        <f>IF(Notes!BZ411="","",Notes!BZ411)</f>
        <v/>
      </c>
      <c r="C415" s="7" t="str">
        <f>IF(Notes!CA411="","",Notes!CA411)</f>
        <v/>
      </c>
      <c r="D415" s="7" t="str">
        <f>IF(Notes!CB411="","",Notes!CB411)</f>
        <v/>
      </c>
      <c r="E415" s="7" t="str">
        <f>IF(Notes!CC411="","",Notes!CC411)</f>
        <v/>
      </c>
      <c r="F415" s="7" t="str">
        <f>IF(Notes!CD411="","",Notes!CD411)</f>
        <v/>
      </c>
      <c r="G415" s="7" t="str">
        <f>IF(Notes!CE411="","",Notes!CE411)</f>
        <v/>
      </c>
      <c r="H415" s="7" t="str">
        <f>IF(Notes!CF411="","",Notes!CF411)</f>
        <v/>
      </c>
      <c r="I415" s="7"/>
      <c r="J415" s="7"/>
      <c r="K415" s="7"/>
    </row>
    <row r="416" spans="1:11" x14ac:dyDescent="0.35">
      <c r="A416" s="7" t="str">
        <f>IF(Notes!BY412="","",Notes!BY412)</f>
        <v/>
      </c>
      <c r="B416" s="7" t="str">
        <f>IF(Notes!BZ412="","",Notes!BZ412)</f>
        <v/>
      </c>
      <c r="C416" s="7" t="str">
        <f>IF(Notes!CA412="","",Notes!CA412)</f>
        <v/>
      </c>
      <c r="D416" s="7" t="str">
        <f>IF(Notes!CB412="","",Notes!CB412)</f>
        <v/>
      </c>
      <c r="E416" s="7" t="str">
        <f>IF(Notes!CC412="","",Notes!CC412)</f>
        <v/>
      </c>
      <c r="F416" s="7" t="str">
        <f>IF(Notes!CD412="","",Notes!CD412)</f>
        <v/>
      </c>
      <c r="G416" s="7" t="str">
        <f>IF(Notes!CE412="","",Notes!CE412)</f>
        <v/>
      </c>
      <c r="H416" s="7" t="str">
        <f>IF(Notes!CF412="","",Notes!CF412)</f>
        <v/>
      </c>
      <c r="I416" s="7"/>
      <c r="J416" s="7"/>
      <c r="K416" s="7"/>
    </row>
    <row r="417" spans="1:11" x14ac:dyDescent="0.35">
      <c r="A417" s="7" t="str">
        <f>IF(Notes!BY413="","",Notes!BY413)</f>
        <v/>
      </c>
      <c r="B417" s="7" t="str">
        <f>IF(Notes!BZ413="","",Notes!BZ413)</f>
        <v/>
      </c>
      <c r="C417" s="7" t="str">
        <f>IF(Notes!CA413="","",Notes!CA413)</f>
        <v/>
      </c>
      <c r="D417" s="7" t="str">
        <f>IF(Notes!CB413="","",Notes!CB413)</f>
        <v/>
      </c>
      <c r="E417" s="7" t="str">
        <f>IF(Notes!CC413="","",Notes!CC413)</f>
        <v/>
      </c>
      <c r="F417" s="7" t="str">
        <f>IF(Notes!CD413="","",Notes!CD413)</f>
        <v/>
      </c>
      <c r="G417" s="7" t="str">
        <f>IF(Notes!CE413="","",Notes!CE413)</f>
        <v/>
      </c>
      <c r="H417" s="7" t="str">
        <f>IF(Notes!CF413="","",Notes!CF413)</f>
        <v/>
      </c>
      <c r="I417" s="7"/>
      <c r="J417" s="7"/>
      <c r="K417" s="7"/>
    </row>
    <row r="418" spans="1:11" x14ac:dyDescent="0.35">
      <c r="A418" s="7" t="str">
        <f>IF(Notes!BY414="","",Notes!BY414)</f>
        <v/>
      </c>
      <c r="B418" s="7" t="str">
        <f>IF(Notes!BZ414="","",Notes!BZ414)</f>
        <v/>
      </c>
      <c r="C418" s="7" t="str">
        <f>IF(Notes!CA414="","",Notes!CA414)</f>
        <v/>
      </c>
      <c r="D418" s="7" t="str">
        <f>IF(Notes!CB414="","",Notes!CB414)</f>
        <v/>
      </c>
      <c r="E418" s="7" t="str">
        <f>IF(Notes!CC414="","",Notes!CC414)</f>
        <v/>
      </c>
      <c r="F418" s="7" t="str">
        <f>IF(Notes!CD414="","",Notes!CD414)</f>
        <v/>
      </c>
      <c r="G418" s="7" t="str">
        <f>IF(Notes!CE414="","",Notes!CE414)</f>
        <v/>
      </c>
      <c r="H418" s="7" t="str">
        <f>IF(Notes!CF414="","",Notes!CF414)</f>
        <v/>
      </c>
      <c r="I418" s="7"/>
      <c r="J418" s="7"/>
      <c r="K418" s="7"/>
    </row>
    <row r="419" spans="1:11" x14ac:dyDescent="0.35">
      <c r="A419" s="7" t="str">
        <f>IF(Notes!BY415="","",Notes!BY415)</f>
        <v/>
      </c>
      <c r="B419" s="7" t="str">
        <f>IF(Notes!BZ415="","",Notes!BZ415)</f>
        <v/>
      </c>
      <c r="C419" s="7" t="str">
        <f>IF(Notes!CA415="","",Notes!CA415)</f>
        <v/>
      </c>
      <c r="D419" s="7" t="str">
        <f>IF(Notes!CB415="","",Notes!CB415)</f>
        <v/>
      </c>
      <c r="E419" s="7" t="str">
        <f>IF(Notes!CC415="","",Notes!CC415)</f>
        <v/>
      </c>
      <c r="F419" s="7" t="str">
        <f>IF(Notes!CD415="","",Notes!CD415)</f>
        <v/>
      </c>
      <c r="G419" s="7" t="str">
        <f>IF(Notes!CE415="","",Notes!CE415)</f>
        <v/>
      </c>
      <c r="H419" s="7" t="str">
        <f>IF(Notes!CF415="","",Notes!CF415)</f>
        <v/>
      </c>
      <c r="I419" s="7"/>
      <c r="J419" s="7"/>
      <c r="K419" s="7"/>
    </row>
    <row r="420" spans="1:11" x14ac:dyDescent="0.35">
      <c r="A420" s="7" t="str">
        <f>IF(Notes!BY416="","",Notes!BY416)</f>
        <v/>
      </c>
      <c r="B420" s="7" t="str">
        <f>IF(Notes!BZ416="","",Notes!BZ416)</f>
        <v/>
      </c>
      <c r="C420" s="7" t="str">
        <f>IF(Notes!CA416="","",Notes!CA416)</f>
        <v/>
      </c>
      <c r="D420" s="7" t="str">
        <f>IF(Notes!CB416="","",Notes!CB416)</f>
        <v/>
      </c>
      <c r="E420" s="7" t="str">
        <f>IF(Notes!CC416="","",Notes!CC416)</f>
        <v/>
      </c>
      <c r="F420" s="7" t="str">
        <f>IF(Notes!CD416="","",Notes!CD416)</f>
        <v/>
      </c>
      <c r="G420" s="7" t="str">
        <f>IF(Notes!CE416="","",Notes!CE416)</f>
        <v/>
      </c>
      <c r="H420" s="7" t="str">
        <f>IF(Notes!CF416="","",Notes!CF416)</f>
        <v/>
      </c>
      <c r="I420" s="7"/>
      <c r="J420" s="7"/>
      <c r="K420" s="7"/>
    </row>
    <row r="421" spans="1:11" x14ac:dyDescent="0.35">
      <c r="A421" s="7" t="str">
        <f>IF(Notes!BY417="","",Notes!BY417)</f>
        <v/>
      </c>
      <c r="B421" s="7" t="str">
        <f>IF(Notes!BZ417="","",Notes!BZ417)</f>
        <v/>
      </c>
      <c r="C421" s="7" t="str">
        <f>IF(Notes!CA417="","",Notes!CA417)</f>
        <v/>
      </c>
      <c r="D421" s="7" t="str">
        <f>IF(Notes!CB417="","",Notes!CB417)</f>
        <v/>
      </c>
      <c r="E421" s="7" t="str">
        <f>IF(Notes!CC417="","",Notes!CC417)</f>
        <v/>
      </c>
      <c r="F421" s="7" t="str">
        <f>IF(Notes!CD417="","",Notes!CD417)</f>
        <v/>
      </c>
      <c r="G421" s="7" t="str">
        <f>IF(Notes!CE417="","",Notes!CE417)</f>
        <v/>
      </c>
      <c r="H421" s="7" t="str">
        <f>IF(Notes!CF417="","",Notes!CF417)</f>
        <v/>
      </c>
      <c r="I421" s="7"/>
      <c r="J421" s="7"/>
      <c r="K421" s="7"/>
    </row>
    <row r="422" spans="1:11" x14ac:dyDescent="0.35">
      <c r="A422" s="7" t="str">
        <f>IF(Notes!BY418="","",Notes!BY418)</f>
        <v/>
      </c>
      <c r="B422" s="7" t="str">
        <f>IF(Notes!BZ418="","",Notes!BZ418)</f>
        <v/>
      </c>
      <c r="C422" s="7" t="str">
        <f>IF(Notes!CA418="","",Notes!CA418)</f>
        <v/>
      </c>
      <c r="D422" s="7" t="str">
        <f>IF(Notes!CB418="","",Notes!CB418)</f>
        <v/>
      </c>
      <c r="E422" s="7" t="str">
        <f>IF(Notes!CC418="","",Notes!CC418)</f>
        <v/>
      </c>
      <c r="F422" s="7" t="str">
        <f>IF(Notes!CD418="","",Notes!CD418)</f>
        <v/>
      </c>
      <c r="G422" s="7" t="str">
        <f>IF(Notes!CE418="","",Notes!CE418)</f>
        <v/>
      </c>
      <c r="H422" s="7" t="str">
        <f>IF(Notes!CF418="","",Notes!CF418)</f>
        <v/>
      </c>
      <c r="I422" s="7"/>
      <c r="J422" s="7"/>
      <c r="K422" s="7"/>
    </row>
    <row r="423" spans="1:11" x14ac:dyDescent="0.35">
      <c r="A423" s="7" t="str">
        <f>IF(Notes!BY419="","",Notes!BY419)</f>
        <v/>
      </c>
      <c r="B423" s="7" t="str">
        <f>IF(Notes!BZ419="","",Notes!BZ419)</f>
        <v/>
      </c>
      <c r="C423" s="7" t="str">
        <f>IF(Notes!CA419="","",Notes!CA419)</f>
        <v/>
      </c>
      <c r="D423" s="7" t="str">
        <f>IF(Notes!CB419="","",Notes!CB419)</f>
        <v/>
      </c>
      <c r="E423" s="7" t="str">
        <f>IF(Notes!CC419="","",Notes!CC419)</f>
        <v/>
      </c>
      <c r="F423" s="7" t="str">
        <f>IF(Notes!CD419="","",Notes!CD419)</f>
        <v/>
      </c>
      <c r="G423" s="7" t="str">
        <f>IF(Notes!CE419="","",Notes!CE419)</f>
        <v/>
      </c>
      <c r="H423" s="7" t="str">
        <f>IF(Notes!CF419="","",Notes!CF419)</f>
        <v/>
      </c>
      <c r="I423" s="7"/>
      <c r="J423" s="7"/>
      <c r="K423" s="7"/>
    </row>
    <row r="424" spans="1:11" x14ac:dyDescent="0.35">
      <c r="A424" s="7" t="str">
        <f>IF(Notes!BY420="","",Notes!BY420)</f>
        <v/>
      </c>
      <c r="B424" s="7" t="str">
        <f>IF(Notes!BZ420="","",Notes!BZ420)</f>
        <v/>
      </c>
      <c r="C424" s="7" t="str">
        <f>IF(Notes!CA420="","",Notes!CA420)</f>
        <v/>
      </c>
      <c r="D424" s="7" t="str">
        <f>IF(Notes!CB420="","",Notes!CB420)</f>
        <v/>
      </c>
      <c r="E424" s="7" t="str">
        <f>IF(Notes!CC420="","",Notes!CC420)</f>
        <v/>
      </c>
      <c r="F424" s="7" t="str">
        <f>IF(Notes!CD420="","",Notes!CD420)</f>
        <v/>
      </c>
      <c r="G424" s="7" t="str">
        <f>IF(Notes!CE420="","",Notes!CE420)</f>
        <v/>
      </c>
      <c r="H424" s="7" t="str">
        <f>IF(Notes!CF420="","",Notes!CF420)</f>
        <v/>
      </c>
      <c r="I424" s="7"/>
      <c r="J424" s="7"/>
      <c r="K424" s="7"/>
    </row>
    <row r="425" spans="1:11" x14ac:dyDescent="0.35">
      <c r="A425" s="7" t="str">
        <f>IF(Notes!BY421="","",Notes!BY421)</f>
        <v/>
      </c>
      <c r="B425" s="7" t="str">
        <f>IF(Notes!BZ421="","",Notes!BZ421)</f>
        <v/>
      </c>
      <c r="C425" s="7" t="str">
        <f>IF(Notes!CA421="","",Notes!CA421)</f>
        <v/>
      </c>
      <c r="D425" s="7" t="str">
        <f>IF(Notes!CB421="","",Notes!CB421)</f>
        <v/>
      </c>
      <c r="E425" s="7" t="str">
        <f>IF(Notes!CC421="","",Notes!CC421)</f>
        <v/>
      </c>
      <c r="F425" s="7" t="str">
        <f>IF(Notes!CD421="","",Notes!CD421)</f>
        <v/>
      </c>
      <c r="G425" s="7" t="str">
        <f>IF(Notes!CE421="","",Notes!CE421)</f>
        <v/>
      </c>
      <c r="H425" s="7" t="str">
        <f>IF(Notes!CF421="","",Notes!CF421)</f>
        <v/>
      </c>
      <c r="I425" s="7"/>
      <c r="J425" s="7"/>
      <c r="K425" s="7"/>
    </row>
    <row r="426" spans="1:11" x14ac:dyDescent="0.35">
      <c r="A426" s="7" t="str">
        <f>IF(Notes!BY422="","",Notes!BY422)</f>
        <v/>
      </c>
      <c r="B426" s="7" t="str">
        <f>IF(Notes!BZ422="","",Notes!BZ422)</f>
        <v/>
      </c>
      <c r="C426" s="7" t="str">
        <f>IF(Notes!CA422="","",Notes!CA422)</f>
        <v/>
      </c>
      <c r="D426" s="7" t="str">
        <f>IF(Notes!CB422="","",Notes!CB422)</f>
        <v/>
      </c>
      <c r="E426" s="7" t="str">
        <f>IF(Notes!CC422="","",Notes!CC422)</f>
        <v/>
      </c>
      <c r="F426" s="7" t="str">
        <f>IF(Notes!CD422="","",Notes!CD422)</f>
        <v/>
      </c>
      <c r="G426" s="7" t="str">
        <f>IF(Notes!CE422="","",Notes!CE422)</f>
        <v/>
      </c>
      <c r="H426" s="7" t="str">
        <f>IF(Notes!CF422="","",Notes!CF422)</f>
        <v/>
      </c>
      <c r="I426" s="7"/>
      <c r="J426" s="7"/>
      <c r="K426" s="7"/>
    </row>
    <row r="427" spans="1:11" x14ac:dyDescent="0.35">
      <c r="A427" s="7" t="str">
        <f>IF(Notes!BY423="","",Notes!BY423)</f>
        <v/>
      </c>
      <c r="B427" s="7" t="str">
        <f>IF(Notes!BZ423="","",Notes!BZ423)</f>
        <v/>
      </c>
      <c r="C427" s="7" t="str">
        <f>IF(Notes!CA423="","",Notes!CA423)</f>
        <v/>
      </c>
      <c r="D427" s="7" t="str">
        <f>IF(Notes!CB423="","",Notes!CB423)</f>
        <v/>
      </c>
      <c r="E427" s="7" t="str">
        <f>IF(Notes!CC423="","",Notes!CC423)</f>
        <v/>
      </c>
      <c r="F427" s="7" t="str">
        <f>IF(Notes!CD423="","",Notes!CD423)</f>
        <v/>
      </c>
      <c r="G427" s="7" t="str">
        <f>IF(Notes!CE423="","",Notes!CE423)</f>
        <v/>
      </c>
      <c r="H427" s="7" t="str">
        <f>IF(Notes!CF423="","",Notes!CF423)</f>
        <v/>
      </c>
      <c r="I427" s="7"/>
      <c r="J427" s="7"/>
      <c r="K427" s="7"/>
    </row>
    <row r="428" spans="1:11" x14ac:dyDescent="0.35">
      <c r="A428" s="7" t="str">
        <f>IF(Notes!BY424="","",Notes!BY424)</f>
        <v/>
      </c>
      <c r="B428" s="7" t="str">
        <f>IF(Notes!BZ424="","",Notes!BZ424)</f>
        <v/>
      </c>
      <c r="C428" s="7" t="str">
        <f>IF(Notes!CA424="","",Notes!CA424)</f>
        <v/>
      </c>
      <c r="D428" s="7" t="str">
        <f>IF(Notes!CB424="","",Notes!CB424)</f>
        <v/>
      </c>
      <c r="E428" s="7" t="str">
        <f>IF(Notes!CC424="","",Notes!CC424)</f>
        <v/>
      </c>
      <c r="F428" s="7" t="str">
        <f>IF(Notes!CD424="","",Notes!CD424)</f>
        <v/>
      </c>
      <c r="G428" s="7" t="str">
        <f>IF(Notes!CE424="","",Notes!CE424)</f>
        <v/>
      </c>
      <c r="H428" s="7" t="str">
        <f>IF(Notes!CF424="","",Notes!CF424)</f>
        <v/>
      </c>
      <c r="I428" s="7"/>
      <c r="J428" s="7"/>
      <c r="K428" s="7"/>
    </row>
    <row r="429" spans="1:11" x14ac:dyDescent="0.35">
      <c r="A429" s="7" t="str">
        <f>IF(Notes!BY425="","",Notes!BY425)</f>
        <v/>
      </c>
      <c r="B429" s="7" t="str">
        <f>IF(Notes!BZ425="","",Notes!BZ425)</f>
        <v/>
      </c>
      <c r="C429" s="7" t="str">
        <f>IF(Notes!CA425="","",Notes!CA425)</f>
        <v/>
      </c>
      <c r="D429" s="7" t="str">
        <f>IF(Notes!CB425="","",Notes!CB425)</f>
        <v/>
      </c>
      <c r="E429" s="7" t="str">
        <f>IF(Notes!CC425="","",Notes!CC425)</f>
        <v/>
      </c>
      <c r="F429" s="7" t="str">
        <f>IF(Notes!CD425="","",Notes!CD425)</f>
        <v/>
      </c>
      <c r="G429" s="7" t="str">
        <f>IF(Notes!CE425="","",Notes!CE425)</f>
        <v/>
      </c>
      <c r="H429" s="7" t="str">
        <f>IF(Notes!CF425="","",Notes!CF425)</f>
        <v/>
      </c>
      <c r="I429" s="7"/>
      <c r="J429" s="7"/>
      <c r="K429" s="7"/>
    </row>
    <row r="430" spans="1:11" x14ac:dyDescent="0.35">
      <c r="A430" s="7" t="str">
        <f>IF(Notes!BY426="","",Notes!BY426)</f>
        <v/>
      </c>
      <c r="B430" s="7" t="str">
        <f>IF(Notes!BZ426="","",Notes!BZ426)</f>
        <v/>
      </c>
      <c r="C430" s="7" t="str">
        <f>IF(Notes!CA426="","",Notes!CA426)</f>
        <v/>
      </c>
      <c r="D430" s="7" t="str">
        <f>IF(Notes!CB426="","",Notes!CB426)</f>
        <v/>
      </c>
      <c r="E430" s="7" t="str">
        <f>IF(Notes!CC426="","",Notes!CC426)</f>
        <v/>
      </c>
      <c r="F430" s="7" t="str">
        <f>IF(Notes!CD426="","",Notes!CD426)</f>
        <v/>
      </c>
      <c r="G430" s="7" t="str">
        <f>IF(Notes!CE426="","",Notes!CE426)</f>
        <v/>
      </c>
      <c r="H430" s="7" t="str">
        <f>IF(Notes!CF426="","",Notes!CF426)</f>
        <v/>
      </c>
      <c r="I430" s="7"/>
      <c r="J430" s="7"/>
      <c r="K430" s="7"/>
    </row>
    <row r="431" spans="1:11" x14ac:dyDescent="0.35">
      <c r="A431" s="7" t="str">
        <f>IF(Notes!BY427="","",Notes!BY427)</f>
        <v/>
      </c>
      <c r="B431" s="7" t="str">
        <f>IF(Notes!BZ427="","",Notes!BZ427)</f>
        <v/>
      </c>
      <c r="C431" s="7" t="str">
        <f>IF(Notes!CA427="","",Notes!CA427)</f>
        <v/>
      </c>
      <c r="D431" s="7" t="str">
        <f>IF(Notes!CB427="","",Notes!CB427)</f>
        <v/>
      </c>
      <c r="E431" s="7" t="str">
        <f>IF(Notes!CC427="","",Notes!CC427)</f>
        <v/>
      </c>
      <c r="F431" s="7" t="str">
        <f>IF(Notes!CD427="","",Notes!CD427)</f>
        <v/>
      </c>
      <c r="G431" s="7" t="str">
        <f>IF(Notes!CE427="","",Notes!CE427)</f>
        <v/>
      </c>
      <c r="H431" s="7" t="str">
        <f>IF(Notes!CF427="","",Notes!CF427)</f>
        <v/>
      </c>
      <c r="I431" s="7"/>
      <c r="J431" s="7"/>
      <c r="K431" s="7"/>
    </row>
    <row r="432" spans="1:11" x14ac:dyDescent="0.35">
      <c r="A432" s="7" t="str">
        <f>IF(Notes!BY428="","",Notes!BY428)</f>
        <v/>
      </c>
      <c r="B432" s="7" t="str">
        <f>IF(Notes!BZ428="","",Notes!BZ428)</f>
        <v/>
      </c>
      <c r="C432" s="7" t="str">
        <f>IF(Notes!CA428="","",Notes!CA428)</f>
        <v/>
      </c>
      <c r="D432" s="7" t="str">
        <f>IF(Notes!CB428="","",Notes!CB428)</f>
        <v/>
      </c>
      <c r="E432" s="7" t="str">
        <f>IF(Notes!CC428="","",Notes!CC428)</f>
        <v/>
      </c>
      <c r="F432" s="7" t="str">
        <f>IF(Notes!CD428="","",Notes!CD428)</f>
        <v/>
      </c>
      <c r="G432" s="7" t="str">
        <f>IF(Notes!CE428="","",Notes!CE428)</f>
        <v/>
      </c>
      <c r="H432" s="7" t="str">
        <f>IF(Notes!CF428="","",Notes!CF428)</f>
        <v/>
      </c>
      <c r="I432" s="7"/>
      <c r="J432" s="7"/>
      <c r="K432" s="7"/>
    </row>
    <row r="433" spans="1:11" x14ac:dyDescent="0.35">
      <c r="A433" s="7" t="str">
        <f>IF(Notes!BY429="","",Notes!BY429)</f>
        <v/>
      </c>
      <c r="B433" s="7" t="str">
        <f>IF(Notes!BZ429="","",Notes!BZ429)</f>
        <v/>
      </c>
      <c r="C433" s="7" t="str">
        <f>IF(Notes!CA429="","",Notes!CA429)</f>
        <v/>
      </c>
      <c r="D433" s="7" t="str">
        <f>IF(Notes!CB429="","",Notes!CB429)</f>
        <v/>
      </c>
      <c r="E433" s="7" t="str">
        <f>IF(Notes!CC429="","",Notes!CC429)</f>
        <v/>
      </c>
      <c r="F433" s="7" t="str">
        <f>IF(Notes!CD429="","",Notes!CD429)</f>
        <v/>
      </c>
      <c r="G433" s="7" t="str">
        <f>IF(Notes!CE429="","",Notes!CE429)</f>
        <v/>
      </c>
      <c r="H433" s="7" t="str">
        <f>IF(Notes!CF429="","",Notes!CF429)</f>
        <v/>
      </c>
      <c r="I433" s="7"/>
      <c r="J433" s="7"/>
      <c r="K433" s="7"/>
    </row>
    <row r="434" spans="1:11" x14ac:dyDescent="0.35">
      <c r="A434" s="7" t="str">
        <f>IF(Notes!BY430="","",Notes!BY430)</f>
        <v/>
      </c>
      <c r="B434" s="7" t="str">
        <f>IF(Notes!BZ430="","",Notes!BZ430)</f>
        <v/>
      </c>
      <c r="C434" s="7" t="str">
        <f>IF(Notes!CA430="","",Notes!CA430)</f>
        <v/>
      </c>
      <c r="D434" s="7" t="str">
        <f>IF(Notes!CB430="","",Notes!CB430)</f>
        <v/>
      </c>
      <c r="E434" s="7" t="str">
        <f>IF(Notes!CC430="","",Notes!CC430)</f>
        <v/>
      </c>
      <c r="F434" s="7" t="str">
        <f>IF(Notes!CD430="","",Notes!CD430)</f>
        <v/>
      </c>
      <c r="G434" s="7" t="str">
        <f>IF(Notes!CE430="","",Notes!CE430)</f>
        <v/>
      </c>
      <c r="H434" s="7" t="str">
        <f>IF(Notes!CF430="","",Notes!CF430)</f>
        <v/>
      </c>
      <c r="I434" s="7"/>
      <c r="J434" s="7"/>
      <c r="K434" s="7"/>
    </row>
    <row r="435" spans="1:11" x14ac:dyDescent="0.35">
      <c r="A435" s="7" t="str">
        <f>IF(Notes!BY431="","",Notes!BY431)</f>
        <v/>
      </c>
      <c r="B435" s="7" t="str">
        <f>IF(Notes!BZ431="","",Notes!BZ431)</f>
        <v/>
      </c>
      <c r="C435" s="7" t="str">
        <f>IF(Notes!CA431="","",Notes!CA431)</f>
        <v/>
      </c>
      <c r="D435" s="7" t="str">
        <f>IF(Notes!CB431="","",Notes!CB431)</f>
        <v/>
      </c>
      <c r="E435" s="7" t="str">
        <f>IF(Notes!CC431="","",Notes!CC431)</f>
        <v/>
      </c>
      <c r="F435" s="7" t="str">
        <f>IF(Notes!CD431="","",Notes!CD431)</f>
        <v/>
      </c>
      <c r="G435" s="7" t="str">
        <f>IF(Notes!CE431="","",Notes!CE431)</f>
        <v/>
      </c>
      <c r="H435" s="7" t="str">
        <f>IF(Notes!CF431="","",Notes!CF431)</f>
        <v/>
      </c>
      <c r="I435" s="7"/>
      <c r="J435" s="7"/>
      <c r="K435" s="7"/>
    </row>
    <row r="436" spans="1:11" x14ac:dyDescent="0.35">
      <c r="A436" s="7" t="str">
        <f>IF(Notes!BY432="","",Notes!BY432)</f>
        <v/>
      </c>
      <c r="B436" s="7" t="str">
        <f>IF(Notes!BZ432="","",Notes!BZ432)</f>
        <v/>
      </c>
      <c r="C436" s="7" t="str">
        <f>IF(Notes!CA432="","",Notes!CA432)</f>
        <v/>
      </c>
      <c r="D436" s="7" t="str">
        <f>IF(Notes!CB432="","",Notes!CB432)</f>
        <v/>
      </c>
      <c r="E436" s="7" t="str">
        <f>IF(Notes!CC432="","",Notes!CC432)</f>
        <v/>
      </c>
      <c r="F436" s="7" t="str">
        <f>IF(Notes!CD432="","",Notes!CD432)</f>
        <v/>
      </c>
      <c r="G436" s="7" t="str">
        <f>IF(Notes!CE432="","",Notes!CE432)</f>
        <v/>
      </c>
      <c r="H436" s="7" t="str">
        <f>IF(Notes!CF432="","",Notes!CF432)</f>
        <v/>
      </c>
      <c r="I436" s="7"/>
      <c r="J436" s="7"/>
      <c r="K436" s="7"/>
    </row>
    <row r="437" spans="1:11" x14ac:dyDescent="0.35">
      <c r="A437" s="7" t="str">
        <f>IF(Notes!BY433="","",Notes!BY433)</f>
        <v/>
      </c>
      <c r="B437" s="7" t="str">
        <f>IF(Notes!BZ433="","",Notes!BZ433)</f>
        <v/>
      </c>
      <c r="C437" s="7" t="str">
        <f>IF(Notes!CA433="","",Notes!CA433)</f>
        <v/>
      </c>
      <c r="D437" s="7" t="str">
        <f>IF(Notes!CB433="","",Notes!CB433)</f>
        <v/>
      </c>
      <c r="E437" s="7" t="str">
        <f>IF(Notes!CC433="","",Notes!CC433)</f>
        <v/>
      </c>
      <c r="F437" s="7" t="str">
        <f>IF(Notes!CD433="","",Notes!CD433)</f>
        <v/>
      </c>
      <c r="G437" s="7" t="str">
        <f>IF(Notes!CE433="","",Notes!CE433)</f>
        <v/>
      </c>
      <c r="H437" s="7" t="str">
        <f>IF(Notes!CF433="","",Notes!CF433)</f>
        <v/>
      </c>
      <c r="I437" s="7"/>
      <c r="J437" s="7"/>
      <c r="K437" s="7"/>
    </row>
    <row r="438" spans="1:11" x14ac:dyDescent="0.35">
      <c r="A438" s="7" t="str">
        <f>IF(Notes!BY434="","",Notes!BY434)</f>
        <v/>
      </c>
      <c r="B438" s="7" t="str">
        <f>IF(Notes!BZ434="","",Notes!BZ434)</f>
        <v/>
      </c>
      <c r="C438" s="7" t="str">
        <f>IF(Notes!CA434="","",Notes!CA434)</f>
        <v/>
      </c>
      <c r="D438" s="7" t="str">
        <f>IF(Notes!CB434="","",Notes!CB434)</f>
        <v/>
      </c>
      <c r="E438" s="7" t="str">
        <f>IF(Notes!CC434="","",Notes!CC434)</f>
        <v/>
      </c>
      <c r="F438" s="7" t="str">
        <f>IF(Notes!CD434="","",Notes!CD434)</f>
        <v/>
      </c>
      <c r="G438" s="7" t="str">
        <f>IF(Notes!CE434="","",Notes!CE434)</f>
        <v/>
      </c>
      <c r="H438" s="7" t="str">
        <f>IF(Notes!CF434="","",Notes!CF434)</f>
        <v/>
      </c>
      <c r="I438" s="7"/>
      <c r="J438" s="7"/>
      <c r="K438" s="7"/>
    </row>
    <row r="439" spans="1:11" x14ac:dyDescent="0.35">
      <c r="A439" s="7" t="str">
        <f>IF(Notes!BY435="","",Notes!BY435)</f>
        <v/>
      </c>
      <c r="B439" s="7" t="str">
        <f>IF(Notes!BZ435="","",Notes!BZ435)</f>
        <v/>
      </c>
      <c r="C439" s="7" t="str">
        <f>IF(Notes!CA435="","",Notes!CA435)</f>
        <v/>
      </c>
      <c r="D439" s="7" t="str">
        <f>IF(Notes!CB435="","",Notes!CB435)</f>
        <v/>
      </c>
      <c r="E439" s="7" t="str">
        <f>IF(Notes!CC435="","",Notes!CC435)</f>
        <v/>
      </c>
      <c r="F439" s="7" t="str">
        <f>IF(Notes!CD435="","",Notes!CD435)</f>
        <v/>
      </c>
      <c r="G439" s="7" t="str">
        <f>IF(Notes!CE435="","",Notes!CE435)</f>
        <v/>
      </c>
      <c r="H439" s="7" t="str">
        <f>IF(Notes!CF435="","",Notes!CF435)</f>
        <v/>
      </c>
      <c r="I439" s="7"/>
      <c r="J439" s="7"/>
      <c r="K439" s="7"/>
    </row>
    <row r="440" spans="1:11" x14ac:dyDescent="0.35">
      <c r="A440" s="7" t="str">
        <f>IF(Notes!BY436="","",Notes!BY436)</f>
        <v/>
      </c>
      <c r="B440" s="7" t="str">
        <f>IF(Notes!BZ436="","",Notes!BZ436)</f>
        <v/>
      </c>
      <c r="C440" s="7" t="str">
        <f>IF(Notes!CA436="","",Notes!CA436)</f>
        <v/>
      </c>
      <c r="D440" s="7" t="str">
        <f>IF(Notes!CB436="","",Notes!CB436)</f>
        <v/>
      </c>
      <c r="E440" s="7" t="str">
        <f>IF(Notes!CC436="","",Notes!CC436)</f>
        <v/>
      </c>
      <c r="F440" s="7" t="str">
        <f>IF(Notes!CD436="","",Notes!CD436)</f>
        <v/>
      </c>
      <c r="G440" s="7" t="str">
        <f>IF(Notes!CE436="","",Notes!CE436)</f>
        <v/>
      </c>
      <c r="H440" s="7" t="str">
        <f>IF(Notes!CF436="","",Notes!CF436)</f>
        <v/>
      </c>
      <c r="I440" s="7"/>
      <c r="J440" s="7"/>
      <c r="K440" s="7"/>
    </row>
    <row r="441" spans="1:11" x14ac:dyDescent="0.35">
      <c r="A441" s="7" t="str">
        <f>IF(Notes!BY437="","",Notes!BY437)</f>
        <v/>
      </c>
      <c r="B441" s="7" t="str">
        <f>IF(Notes!BZ437="","",Notes!BZ437)</f>
        <v/>
      </c>
      <c r="C441" s="7" t="str">
        <f>IF(Notes!CA437="","",Notes!CA437)</f>
        <v/>
      </c>
      <c r="D441" s="7" t="str">
        <f>IF(Notes!CB437="","",Notes!CB437)</f>
        <v/>
      </c>
      <c r="E441" s="7" t="str">
        <f>IF(Notes!CC437="","",Notes!CC437)</f>
        <v/>
      </c>
      <c r="F441" s="7" t="str">
        <f>IF(Notes!CD437="","",Notes!CD437)</f>
        <v/>
      </c>
      <c r="G441" s="7" t="str">
        <f>IF(Notes!CE437="","",Notes!CE437)</f>
        <v/>
      </c>
      <c r="H441" s="7" t="str">
        <f>IF(Notes!CF437="","",Notes!CF437)</f>
        <v/>
      </c>
      <c r="I441" s="7"/>
      <c r="J441" s="7"/>
      <c r="K441" s="7"/>
    </row>
    <row r="442" spans="1:11" x14ac:dyDescent="0.35">
      <c r="A442" s="7" t="str">
        <f>IF(Notes!BY438="","",Notes!BY438)</f>
        <v/>
      </c>
      <c r="B442" s="7" t="str">
        <f>IF(Notes!BZ438="","",Notes!BZ438)</f>
        <v/>
      </c>
      <c r="C442" s="7" t="str">
        <f>IF(Notes!CA438="","",Notes!CA438)</f>
        <v/>
      </c>
      <c r="D442" s="7" t="str">
        <f>IF(Notes!CB438="","",Notes!CB438)</f>
        <v/>
      </c>
      <c r="E442" s="7" t="str">
        <f>IF(Notes!CC438="","",Notes!CC438)</f>
        <v/>
      </c>
      <c r="F442" s="7" t="str">
        <f>IF(Notes!CD438="","",Notes!CD438)</f>
        <v/>
      </c>
      <c r="G442" s="7" t="str">
        <f>IF(Notes!CE438="","",Notes!CE438)</f>
        <v/>
      </c>
      <c r="H442" s="7" t="str">
        <f>IF(Notes!CF438="","",Notes!CF438)</f>
        <v/>
      </c>
      <c r="I442" s="7"/>
      <c r="J442" s="7"/>
      <c r="K442" s="7"/>
    </row>
    <row r="443" spans="1:11" x14ac:dyDescent="0.35">
      <c r="A443" s="7" t="str">
        <f>IF(Notes!BY439="","",Notes!BY439)</f>
        <v/>
      </c>
      <c r="B443" s="7" t="str">
        <f>IF(Notes!BZ439="","",Notes!BZ439)</f>
        <v/>
      </c>
      <c r="C443" s="7" t="str">
        <f>IF(Notes!CA439="","",Notes!CA439)</f>
        <v/>
      </c>
      <c r="D443" s="7" t="str">
        <f>IF(Notes!CB439="","",Notes!CB439)</f>
        <v/>
      </c>
      <c r="E443" s="7" t="str">
        <f>IF(Notes!CC439="","",Notes!CC439)</f>
        <v/>
      </c>
      <c r="F443" s="7" t="str">
        <f>IF(Notes!CD439="","",Notes!CD439)</f>
        <v/>
      </c>
      <c r="G443" s="7" t="str">
        <f>IF(Notes!CE439="","",Notes!CE439)</f>
        <v/>
      </c>
      <c r="H443" s="7" t="str">
        <f>IF(Notes!CF439="","",Notes!CF439)</f>
        <v/>
      </c>
      <c r="I443" s="7"/>
      <c r="J443" s="7"/>
      <c r="K443" s="7"/>
    </row>
    <row r="444" spans="1:11" x14ac:dyDescent="0.35">
      <c r="A444" s="7" t="str">
        <f>IF(Notes!BY440="","",Notes!BY440)</f>
        <v/>
      </c>
      <c r="B444" s="7" t="str">
        <f>IF(Notes!BZ440="","",Notes!BZ440)</f>
        <v/>
      </c>
      <c r="C444" s="7" t="str">
        <f>IF(Notes!CA440="","",Notes!CA440)</f>
        <v/>
      </c>
      <c r="D444" s="7" t="str">
        <f>IF(Notes!CB440="","",Notes!CB440)</f>
        <v/>
      </c>
      <c r="E444" s="7" t="str">
        <f>IF(Notes!CC440="","",Notes!CC440)</f>
        <v/>
      </c>
      <c r="F444" s="7" t="str">
        <f>IF(Notes!CD440="","",Notes!CD440)</f>
        <v/>
      </c>
      <c r="G444" s="7" t="str">
        <f>IF(Notes!CE440="","",Notes!CE440)</f>
        <v/>
      </c>
      <c r="H444" s="7" t="str">
        <f>IF(Notes!CF440="","",Notes!CF440)</f>
        <v/>
      </c>
      <c r="I444" s="7"/>
      <c r="J444" s="7"/>
      <c r="K444" s="7"/>
    </row>
    <row r="445" spans="1:11" x14ac:dyDescent="0.35">
      <c r="A445" s="7" t="str">
        <f>IF(Notes!BY441="","",Notes!BY441)</f>
        <v/>
      </c>
      <c r="B445" s="7" t="str">
        <f>IF(Notes!BZ441="","",Notes!BZ441)</f>
        <v/>
      </c>
      <c r="C445" s="7" t="str">
        <f>IF(Notes!CA441="","",Notes!CA441)</f>
        <v/>
      </c>
      <c r="D445" s="7" t="str">
        <f>IF(Notes!CB441="","",Notes!CB441)</f>
        <v/>
      </c>
      <c r="E445" s="7" t="str">
        <f>IF(Notes!CC441="","",Notes!CC441)</f>
        <v/>
      </c>
      <c r="F445" s="7" t="str">
        <f>IF(Notes!CD441="","",Notes!CD441)</f>
        <v/>
      </c>
      <c r="G445" s="7" t="str">
        <f>IF(Notes!CE441="","",Notes!CE441)</f>
        <v/>
      </c>
      <c r="H445" s="7" t="str">
        <f>IF(Notes!CF441="","",Notes!CF441)</f>
        <v/>
      </c>
      <c r="I445" s="7"/>
      <c r="J445" s="7"/>
      <c r="K445" s="7"/>
    </row>
    <row r="446" spans="1:11" x14ac:dyDescent="0.35">
      <c r="A446" s="7" t="str">
        <f>IF(Notes!BY442="","",Notes!BY442)</f>
        <v/>
      </c>
      <c r="B446" s="7" t="str">
        <f>IF(Notes!BZ442="","",Notes!BZ442)</f>
        <v/>
      </c>
      <c r="C446" s="7" t="str">
        <f>IF(Notes!CA442="","",Notes!CA442)</f>
        <v/>
      </c>
      <c r="D446" s="7" t="str">
        <f>IF(Notes!CB442="","",Notes!CB442)</f>
        <v/>
      </c>
      <c r="E446" s="7" t="str">
        <f>IF(Notes!CC442="","",Notes!CC442)</f>
        <v/>
      </c>
      <c r="F446" s="7" t="str">
        <f>IF(Notes!CD442="","",Notes!CD442)</f>
        <v/>
      </c>
      <c r="G446" s="7" t="str">
        <f>IF(Notes!CE442="","",Notes!CE442)</f>
        <v/>
      </c>
      <c r="H446" s="7" t="str">
        <f>IF(Notes!CF442="","",Notes!CF442)</f>
        <v/>
      </c>
      <c r="I446" s="7"/>
      <c r="J446" s="7"/>
      <c r="K446" s="7"/>
    </row>
    <row r="447" spans="1:11" x14ac:dyDescent="0.35">
      <c r="A447" s="7" t="str">
        <f>IF(Notes!BY443="","",Notes!BY443)</f>
        <v/>
      </c>
      <c r="B447" s="7" t="str">
        <f>IF(Notes!BZ443="","",Notes!BZ443)</f>
        <v/>
      </c>
      <c r="C447" s="7" t="str">
        <f>IF(Notes!CA443="","",Notes!CA443)</f>
        <v/>
      </c>
      <c r="D447" s="7" t="str">
        <f>IF(Notes!CB443="","",Notes!CB443)</f>
        <v/>
      </c>
      <c r="E447" s="7" t="str">
        <f>IF(Notes!CC443="","",Notes!CC443)</f>
        <v/>
      </c>
      <c r="F447" s="7" t="str">
        <f>IF(Notes!CD443="","",Notes!CD443)</f>
        <v/>
      </c>
      <c r="G447" s="7" t="str">
        <f>IF(Notes!CE443="","",Notes!CE443)</f>
        <v/>
      </c>
      <c r="H447" s="7" t="str">
        <f>IF(Notes!CF443="","",Notes!CF443)</f>
        <v/>
      </c>
      <c r="I447" s="7"/>
      <c r="J447" s="7"/>
      <c r="K447" s="7"/>
    </row>
    <row r="448" spans="1:11" x14ac:dyDescent="0.35">
      <c r="A448" s="7" t="str">
        <f>IF(Notes!BY444="","",Notes!BY444)</f>
        <v/>
      </c>
      <c r="B448" s="7" t="str">
        <f>IF(Notes!BZ444="","",Notes!BZ444)</f>
        <v/>
      </c>
      <c r="C448" s="7" t="str">
        <f>IF(Notes!CA444="","",Notes!CA444)</f>
        <v/>
      </c>
      <c r="D448" s="7" t="str">
        <f>IF(Notes!CB444="","",Notes!CB444)</f>
        <v/>
      </c>
      <c r="E448" s="7" t="str">
        <f>IF(Notes!CC444="","",Notes!CC444)</f>
        <v/>
      </c>
      <c r="F448" s="7" t="str">
        <f>IF(Notes!CD444="","",Notes!CD444)</f>
        <v/>
      </c>
      <c r="G448" s="7" t="str">
        <f>IF(Notes!CE444="","",Notes!CE444)</f>
        <v/>
      </c>
      <c r="H448" s="7" t="str">
        <f>IF(Notes!CF444="","",Notes!CF444)</f>
        <v/>
      </c>
      <c r="I448" s="7"/>
      <c r="J448" s="7"/>
      <c r="K448" s="7"/>
    </row>
    <row r="449" spans="1:11" x14ac:dyDescent="0.35">
      <c r="A449" s="7" t="str">
        <f>IF(Notes!BY445="","",Notes!BY445)</f>
        <v/>
      </c>
      <c r="B449" s="7" t="str">
        <f>IF(Notes!BZ445="","",Notes!BZ445)</f>
        <v/>
      </c>
      <c r="C449" s="7" t="str">
        <f>IF(Notes!CA445="","",Notes!CA445)</f>
        <v/>
      </c>
      <c r="D449" s="7" t="str">
        <f>IF(Notes!CB445="","",Notes!CB445)</f>
        <v/>
      </c>
      <c r="E449" s="7" t="str">
        <f>IF(Notes!CC445="","",Notes!CC445)</f>
        <v/>
      </c>
      <c r="F449" s="7" t="str">
        <f>IF(Notes!CD445="","",Notes!CD445)</f>
        <v/>
      </c>
      <c r="G449" s="7" t="str">
        <f>IF(Notes!CE445="","",Notes!CE445)</f>
        <v/>
      </c>
      <c r="H449" s="7" t="str">
        <f>IF(Notes!CF445="","",Notes!CF445)</f>
        <v/>
      </c>
      <c r="I449" s="7"/>
      <c r="J449" s="7"/>
      <c r="K449" s="7"/>
    </row>
    <row r="450" spans="1:11" x14ac:dyDescent="0.35">
      <c r="A450" s="7" t="str">
        <f>IF(Notes!BY446="","",Notes!BY446)</f>
        <v/>
      </c>
      <c r="B450" s="7" t="str">
        <f>IF(Notes!BZ446="","",Notes!BZ446)</f>
        <v/>
      </c>
      <c r="C450" s="7" t="str">
        <f>IF(Notes!CA446="","",Notes!CA446)</f>
        <v/>
      </c>
      <c r="D450" s="7" t="str">
        <f>IF(Notes!CB446="","",Notes!CB446)</f>
        <v/>
      </c>
      <c r="E450" s="7" t="str">
        <f>IF(Notes!CC446="","",Notes!CC446)</f>
        <v/>
      </c>
      <c r="F450" s="7" t="str">
        <f>IF(Notes!CD446="","",Notes!CD446)</f>
        <v/>
      </c>
      <c r="G450" s="7" t="str">
        <f>IF(Notes!CE446="","",Notes!CE446)</f>
        <v/>
      </c>
      <c r="H450" s="7" t="str">
        <f>IF(Notes!CF446="","",Notes!CF446)</f>
        <v/>
      </c>
      <c r="I450" s="7"/>
      <c r="J450" s="7"/>
      <c r="K450" s="7"/>
    </row>
    <row r="451" spans="1:11" x14ac:dyDescent="0.35">
      <c r="A451" s="7" t="str">
        <f>IF(Notes!BY447="","",Notes!BY447)</f>
        <v/>
      </c>
      <c r="B451" s="7" t="str">
        <f>IF(Notes!BZ447="","",Notes!BZ447)</f>
        <v/>
      </c>
      <c r="C451" s="7" t="str">
        <f>IF(Notes!CA447="","",Notes!CA447)</f>
        <v/>
      </c>
      <c r="D451" s="7" t="str">
        <f>IF(Notes!CB447="","",Notes!CB447)</f>
        <v/>
      </c>
      <c r="E451" s="7" t="str">
        <f>IF(Notes!CC447="","",Notes!CC447)</f>
        <v/>
      </c>
      <c r="F451" s="7" t="str">
        <f>IF(Notes!CD447="","",Notes!CD447)</f>
        <v/>
      </c>
      <c r="G451" s="7" t="str">
        <f>IF(Notes!CE447="","",Notes!CE447)</f>
        <v/>
      </c>
      <c r="H451" s="7" t="str">
        <f>IF(Notes!CF447="","",Notes!CF447)</f>
        <v/>
      </c>
      <c r="I451" s="7"/>
      <c r="J451" s="7"/>
      <c r="K451" s="7"/>
    </row>
    <row r="452" spans="1:11" x14ac:dyDescent="0.35">
      <c r="A452" s="7" t="str">
        <f>IF(Notes!BY448="","",Notes!BY448)</f>
        <v/>
      </c>
      <c r="B452" s="7" t="str">
        <f>IF(Notes!BZ448="","",Notes!BZ448)</f>
        <v/>
      </c>
      <c r="C452" s="7" t="str">
        <f>IF(Notes!CA448="","",Notes!CA448)</f>
        <v/>
      </c>
      <c r="D452" s="7" t="str">
        <f>IF(Notes!CB448="","",Notes!CB448)</f>
        <v/>
      </c>
      <c r="E452" s="7" t="str">
        <f>IF(Notes!CC448="","",Notes!CC448)</f>
        <v/>
      </c>
      <c r="F452" s="7" t="str">
        <f>IF(Notes!CD448="","",Notes!CD448)</f>
        <v/>
      </c>
      <c r="G452" s="7" t="str">
        <f>IF(Notes!CE448="","",Notes!CE448)</f>
        <v/>
      </c>
      <c r="H452" s="7" t="str">
        <f>IF(Notes!CF448="","",Notes!CF448)</f>
        <v/>
      </c>
      <c r="I452" s="7"/>
      <c r="J452" s="7"/>
      <c r="K452" s="7"/>
    </row>
    <row r="453" spans="1:11" x14ac:dyDescent="0.35">
      <c r="A453" s="7" t="str">
        <f>IF(Notes!BY449="","",Notes!BY449)</f>
        <v/>
      </c>
      <c r="B453" s="7" t="str">
        <f>IF(Notes!BZ449="","",Notes!BZ449)</f>
        <v/>
      </c>
      <c r="C453" s="7" t="str">
        <f>IF(Notes!CA449="","",Notes!CA449)</f>
        <v/>
      </c>
      <c r="D453" s="7" t="str">
        <f>IF(Notes!CB449="","",Notes!CB449)</f>
        <v/>
      </c>
      <c r="E453" s="7" t="str">
        <f>IF(Notes!CC449="","",Notes!CC449)</f>
        <v/>
      </c>
      <c r="F453" s="7" t="str">
        <f>IF(Notes!CD449="","",Notes!CD449)</f>
        <v/>
      </c>
      <c r="G453" s="7" t="str">
        <f>IF(Notes!CE449="","",Notes!CE449)</f>
        <v/>
      </c>
      <c r="H453" s="7" t="str">
        <f>IF(Notes!CF449="","",Notes!CF449)</f>
        <v/>
      </c>
      <c r="I453" s="7"/>
      <c r="J453" s="7"/>
      <c r="K453" s="7"/>
    </row>
    <row r="454" spans="1:11" x14ac:dyDescent="0.35">
      <c r="A454" s="7" t="str">
        <f>IF(Notes!BY450="","",Notes!BY450)</f>
        <v/>
      </c>
      <c r="B454" s="7" t="str">
        <f>IF(Notes!BZ450="","",Notes!BZ450)</f>
        <v/>
      </c>
      <c r="C454" s="7" t="str">
        <f>IF(Notes!CA450="","",Notes!CA450)</f>
        <v/>
      </c>
      <c r="D454" s="7" t="str">
        <f>IF(Notes!CB450="","",Notes!CB450)</f>
        <v/>
      </c>
      <c r="E454" s="7" t="str">
        <f>IF(Notes!CC450="","",Notes!CC450)</f>
        <v/>
      </c>
      <c r="F454" s="7" t="str">
        <f>IF(Notes!CD450="","",Notes!CD450)</f>
        <v/>
      </c>
      <c r="G454" s="7" t="str">
        <f>IF(Notes!CE450="","",Notes!CE450)</f>
        <v/>
      </c>
      <c r="H454" s="7" t="str">
        <f>IF(Notes!CF450="","",Notes!CF450)</f>
        <v/>
      </c>
      <c r="I454" s="7"/>
      <c r="J454" s="7"/>
      <c r="K454" s="7"/>
    </row>
    <row r="455" spans="1:11" x14ac:dyDescent="0.35">
      <c r="A455" s="7" t="str">
        <f>IF(Notes!BY451="","",Notes!BY451)</f>
        <v/>
      </c>
      <c r="B455" s="7" t="str">
        <f>IF(Notes!BZ451="","",Notes!BZ451)</f>
        <v/>
      </c>
      <c r="C455" s="7" t="str">
        <f>IF(Notes!CA451="","",Notes!CA451)</f>
        <v/>
      </c>
      <c r="D455" s="7" t="str">
        <f>IF(Notes!CB451="","",Notes!CB451)</f>
        <v/>
      </c>
      <c r="E455" s="7" t="str">
        <f>IF(Notes!CC451="","",Notes!CC451)</f>
        <v/>
      </c>
      <c r="F455" s="7" t="str">
        <f>IF(Notes!CD451="","",Notes!CD451)</f>
        <v/>
      </c>
      <c r="G455" s="7" t="str">
        <f>IF(Notes!CE451="","",Notes!CE451)</f>
        <v/>
      </c>
      <c r="H455" s="7" t="str">
        <f>IF(Notes!CF451="","",Notes!CF451)</f>
        <v/>
      </c>
      <c r="I455" s="7"/>
      <c r="J455" s="7"/>
      <c r="K455" s="7"/>
    </row>
    <row r="456" spans="1:11" x14ac:dyDescent="0.35">
      <c r="A456" s="7" t="str">
        <f>IF(Notes!BY452="","",Notes!BY452)</f>
        <v/>
      </c>
      <c r="B456" s="7" t="str">
        <f>IF(Notes!BZ452="","",Notes!BZ452)</f>
        <v/>
      </c>
      <c r="C456" s="7" t="str">
        <f>IF(Notes!CA452="","",Notes!CA452)</f>
        <v/>
      </c>
      <c r="D456" s="7" t="str">
        <f>IF(Notes!CB452="","",Notes!CB452)</f>
        <v/>
      </c>
      <c r="E456" s="7" t="str">
        <f>IF(Notes!CC452="","",Notes!CC452)</f>
        <v/>
      </c>
      <c r="F456" s="7" t="str">
        <f>IF(Notes!CD452="","",Notes!CD452)</f>
        <v/>
      </c>
      <c r="G456" s="7" t="str">
        <f>IF(Notes!CE452="","",Notes!CE452)</f>
        <v/>
      </c>
      <c r="H456" s="7" t="str">
        <f>IF(Notes!CF452="","",Notes!CF452)</f>
        <v/>
      </c>
      <c r="I456" s="7"/>
      <c r="J456" s="7"/>
      <c r="K456" s="7"/>
    </row>
    <row r="457" spans="1:11" x14ac:dyDescent="0.35">
      <c r="A457" s="7" t="str">
        <f>IF(Notes!BY453="","",Notes!BY453)</f>
        <v/>
      </c>
      <c r="B457" s="7" t="str">
        <f>IF(Notes!BZ453="","",Notes!BZ453)</f>
        <v/>
      </c>
      <c r="C457" s="7" t="str">
        <f>IF(Notes!CA453="","",Notes!CA453)</f>
        <v/>
      </c>
      <c r="D457" s="7" t="str">
        <f>IF(Notes!CB453="","",Notes!CB453)</f>
        <v/>
      </c>
      <c r="E457" s="7" t="str">
        <f>IF(Notes!CC453="","",Notes!CC453)</f>
        <v/>
      </c>
      <c r="F457" s="7" t="str">
        <f>IF(Notes!CD453="","",Notes!CD453)</f>
        <v/>
      </c>
      <c r="G457" s="7" t="str">
        <f>IF(Notes!CE453="","",Notes!CE453)</f>
        <v/>
      </c>
      <c r="H457" s="7" t="str">
        <f>IF(Notes!CF453="","",Notes!CF453)</f>
        <v/>
      </c>
      <c r="I457" s="7"/>
      <c r="J457" s="7"/>
      <c r="K457" s="7"/>
    </row>
    <row r="458" spans="1:11" x14ac:dyDescent="0.35">
      <c r="A458" s="7" t="str">
        <f>IF(Notes!BY454="","",Notes!BY454)</f>
        <v/>
      </c>
      <c r="B458" s="7" t="str">
        <f>IF(Notes!BZ454="","",Notes!BZ454)</f>
        <v/>
      </c>
      <c r="C458" s="7" t="str">
        <f>IF(Notes!CA454="","",Notes!CA454)</f>
        <v/>
      </c>
      <c r="D458" s="7" t="str">
        <f>IF(Notes!CB454="","",Notes!CB454)</f>
        <v/>
      </c>
      <c r="E458" s="7" t="str">
        <f>IF(Notes!CC454="","",Notes!CC454)</f>
        <v/>
      </c>
      <c r="F458" s="7" t="str">
        <f>IF(Notes!CD454="","",Notes!CD454)</f>
        <v/>
      </c>
      <c r="G458" s="7" t="str">
        <f>IF(Notes!CE454="","",Notes!CE454)</f>
        <v/>
      </c>
      <c r="H458" s="7" t="str">
        <f>IF(Notes!CF454="","",Notes!CF454)</f>
        <v/>
      </c>
      <c r="I458" s="7"/>
      <c r="J458" s="7"/>
      <c r="K458" s="7"/>
    </row>
    <row r="459" spans="1:11" x14ac:dyDescent="0.35">
      <c r="A459" s="7" t="str">
        <f>IF(Notes!BY455="","",Notes!BY455)</f>
        <v/>
      </c>
      <c r="B459" s="7" t="str">
        <f>IF(Notes!BZ455="","",Notes!BZ455)</f>
        <v/>
      </c>
      <c r="C459" s="7" t="str">
        <f>IF(Notes!CA455="","",Notes!CA455)</f>
        <v/>
      </c>
      <c r="D459" s="7" t="str">
        <f>IF(Notes!CB455="","",Notes!CB455)</f>
        <v/>
      </c>
      <c r="E459" s="7" t="str">
        <f>IF(Notes!CC455="","",Notes!CC455)</f>
        <v/>
      </c>
      <c r="F459" s="7" t="str">
        <f>IF(Notes!CD455="","",Notes!CD455)</f>
        <v/>
      </c>
      <c r="G459" s="7" t="str">
        <f>IF(Notes!CE455="","",Notes!CE455)</f>
        <v/>
      </c>
      <c r="H459" s="7" t="str">
        <f>IF(Notes!CF455="","",Notes!CF455)</f>
        <v/>
      </c>
      <c r="I459" s="7"/>
      <c r="J459" s="7"/>
      <c r="K459" s="7"/>
    </row>
    <row r="460" spans="1:11" x14ac:dyDescent="0.35">
      <c r="A460" s="7" t="str">
        <f>IF(Notes!BY456="","",Notes!BY456)</f>
        <v/>
      </c>
      <c r="B460" s="7" t="str">
        <f>IF(Notes!BZ456="","",Notes!BZ456)</f>
        <v/>
      </c>
      <c r="C460" s="7" t="str">
        <f>IF(Notes!CA456="","",Notes!CA456)</f>
        <v/>
      </c>
      <c r="D460" s="7" t="str">
        <f>IF(Notes!CB456="","",Notes!CB456)</f>
        <v/>
      </c>
      <c r="E460" s="7" t="str">
        <f>IF(Notes!CC456="","",Notes!CC456)</f>
        <v/>
      </c>
      <c r="F460" s="7" t="str">
        <f>IF(Notes!CD456="","",Notes!CD456)</f>
        <v/>
      </c>
      <c r="G460" s="7" t="str">
        <f>IF(Notes!CE456="","",Notes!CE456)</f>
        <v/>
      </c>
      <c r="H460" s="7" t="str">
        <f>IF(Notes!CF456="","",Notes!CF456)</f>
        <v/>
      </c>
      <c r="I460" s="7"/>
      <c r="J460" s="7"/>
      <c r="K460" s="7"/>
    </row>
    <row r="461" spans="1:11" x14ac:dyDescent="0.35">
      <c r="A461" s="7" t="str">
        <f>IF(Notes!BY457="","",Notes!BY457)</f>
        <v/>
      </c>
      <c r="B461" s="7" t="str">
        <f>IF(Notes!BZ457="","",Notes!BZ457)</f>
        <v/>
      </c>
      <c r="C461" s="7" t="str">
        <f>IF(Notes!CA457="","",Notes!CA457)</f>
        <v/>
      </c>
      <c r="D461" s="7" t="str">
        <f>IF(Notes!CB457="","",Notes!CB457)</f>
        <v/>
      </c>
      <c r="E461" s="7" t="str">
        <f>IF(Notes!CC457="","",Notes!CC457)</f>
        <v/>
      </c>
      <c r="F461" s="7" t="str">
        <f>IF(Notes!CD457="","",Notes!CD457)</f>
        <v/>
      </c>
      <c r="G461" s="7" t="str">
        <f>IF(Notes!CE457="","",Notes!CE457)</f>
        <v/>
      </c>
      <c r="H461" s="7" t="str">
        <f>IF(Notes!CF457="","",Notes!CF457)</f>
        <v/>
      </c>
      <c r="I461" s="7"/>
      <c r="J461" s="7"/>
      <c r="K461" s="7"/>
    </row>
    <row r="462" spans="1:11" x14ac:dyDescent="0.35">
      <c r="A462" s="7" t="str">
        <f>IF(Notes!BY458="","",Notes!BY458)</f>
        <v/>
      </c>
      <c r="B462" s="7" t="str">
        <f>IF(Notes!BZ458="","",Notes!BZ458)</f>
        <v/>
      </c>
      <c r="C462" s="7" t="str">
        <f>IF(Notes!CA458="","",Notes!CA458)</f>
        <v/>
      </c>
      <c r="D462" s="7" t="str">
        <f>IF(Notes!CB458="","",Notes!CB458)</f>
        <v/>
      </c>
      <c r="E462" s="7" t="str">
        <f>IF(Notes!CC458="","",Notes!CC458)</f>
        <v/>
      </c>
      <c r="F462" s="7" t="str">
        <f>IF(Notes!CD458="","",Notes!CD458)</f>
        <v/>
      </c>
      <c r="G462" s="7" t="str">
        <f>IF(Notes!CE458="","",Notes!CE458)</f>
        <v/>
      </c>
      <c r="H462" s="7" t="str">
        <f>IF(Notes!CF458="","",Notes!CF458)</f>
        <v/>
      </c>
      <c r="I462" s="7"/>
      <c r="J462" s="7"/>
      <c r="K462" s="7"/>
    </row>
    <row r="463" spans="1:11" x14ac:dyDescent="0.35">
      <c r="A463" s="7" t="str">
        <f>IF(Notes!BY459="","",Notes!BY459)</f>
        <v/>
      </c>
      <c r="B463" s="7" t="str">
        <f>IF(Notes!BZ459="","",Notes!BZ459)</f>
        <v/>
      </c>
      <c r="C463" s="7" t="str">
        <f>IF(Notes!CA459="","",Notes!CA459)</f>
        <v/>
      </c>
      <c r="D463" s="7" t="str">
        <f>IF(Notes!CB459="","",Notes!CB459)</f>
        <v/>
      </c>
      <c r="E463" s="7" t="str">
        <f>IF(Notes!CC459="","",Notes!CC459)</f>
        <v/>
      </c>
      <c r="F463" s="7" t="str">
        <f>IF(Notes!CD459="","",Notes!CD459)</f>
        <v/>
      </c>
      <c r="G463" s="7" t="str">
        <f>IF(Notes!CE459="","",Notes!CE459)</f>
        <v/>
      </c>
      <c r="H463" s="7" t="str">
        <f>IF(Notes!CF459="","",Notes!CF459)</f>
        <v/>
      </c>
      <c r="I463" s="7"/>
      <c r="J463" s="7"/>
      <c r="K463" s="7"/>
    </row>
    <row r="464" spans="1:11" x14ac:dyDescent="0.35">
      <c r="A464" s="7" t="str">
        <f>IF(Notes!BY460="","",Notes!BY460)</f>
        <v/>
      </c>
      <c r="B464" s="7" t="str">
        <f>IF(Notes!BZ460="","",Notes!BZ460)</f>
        <v/>
      </c>
      <c r="C464" s="7" t="str">
        <f>IF(Notes!CA460="","",Notes!CA460)</f>
        <v/>
      </c>
      <c r="D464" s="7" t="str">
        <f>IF(Notes!CB460="","",Notes!CB460)</f>
        <v/>
      </c>
      <c r="E464" s="7" t="str">
        <f>IF(Notes!CC460="","",Notes!CC460)</f>
        <v/>
      </c>
      <c r="F464" s="7" t="str">
        <f>IF(Notes!CD460="","",Notes!CD460)</f>
        <v/>
      </c>
      <c r="G464" s="7" t="str">
        <f>IF(Notes!CE460="","",Notes!CE460)</f>
        <v/>
      </c>
      <c r="H464" s="7" t="str">
        <f>IF(Notes!CF460="","",Notes!CF460)</f>
        <v/>
      </c>
      <c r="I464" s="7"/>
      <c r="J464" s="7"/>
      <c r="K464" s="7"/>
    </row>
    <row r="465" spans="1:11" x14ac:dyDescent="0.35">
      <c r="A465" s="7" t="str">
        <f>IF(Notes!BY461="","",Notes!BY461)</f>
        <v/>
      </c>
      <c r="B465" s="7" t="str">
        <f>IF(Notes!BZ461="","",Notes!BZ461)</f>
        <v/>
      </c>
      <c r="C465" s="7" t="str">
        <f>IF(Notes!CA461="","",Notes!CA461)</f>
        <v/>
      </c>
      <c r="D465" s="7" t="str">
        <f>IF(Notes!CB461="","",Notes!CB461)</f>
        <v/>
      </c>
      <c r="E465" s="7" t="str">
        <f>IF(Notes!CC461="","",Notes!CC461)</f>
        <v/>
      </c>
      <c r="F465" s="7" t="str">
        <f>IF(Notes!CD461="","",Notes!CD461)</f>
        <v/>
      </c>
      <c r="G465" s="7" t="str">
        <f>IF(Notes!CE461="","",Notes!CE461)</f>
        <v/>
      </c>
      <c r="H465" s="7" t="str">
        <f>IF(Notes!CF461="","",Notes!CF461)</f>
        <v/>
      </c>
      <c r="I465" s="7"/>
      <c r="J465" s="7"/>
      <c r="K465" s="7"/>
    </row>
    <row r="466" spans="1:11" x14ac:dyDescent="0.35">
      <c r="A466" s="7" t="str">
        <f>IF(Notes!BY462="","",Notes!BY462)</f>
        <v/>
      </c>
      <c r="B466" s="7" t="str">
        <f>IF(Notes!BZ462="","",Notes!BZ462)</f>
        <v/>
      </c>
      <c r="C466" s="7" t="str">
        <f>IF(Notes!CA462="","",Notes!CA462)</f>
        <v/>
      </c>
      <c r="D466" s="7" t="str">
        <f>IF(Notes!CB462="","",Notes!CB462)</f>
        <v/>
      </c>
      <c r="E466" s="7" t="str">
        <f>IF(Notes!CC462="","",Notes!CC462)</f>
        <v/>
      </c>
      <c r="F466" s="7" t="str">
        <f>IF(Notes!CD462="","",Notes!CD462)</f>
        <v/>
      </c>
      <c r="G466" s="7" t="str">
        <f>IF(Notes!CE462="","",Notes!CE462)</f>
        <v/>
      </c>
      <c r="H466" s="7" t="str">
        <f>IF(Notes!CF462="","",Notes!CF462)</f>
        <v/>
      </c>
      <c r="I466" s="7"/>
      <c r="J466" s="7"/>
      <c r="K466" s="7"/>
    </row>
    <row r="467" spans="1:11" x14ac:dyDescent="0.35">
      <c r="A467" s="7" t="str">
        <f>IF(Notes!BY463="","",Notes!BY463)</f>
        <v/>
      </c>
      <c r="B467" s="7" t="str">
        <f>IF(Notes!BZ463="","",Notes!BZ463)</f>
        <v/>
      </c>
      <c r="C467" s="7" t="str">
        <f>IF(Notes!CA463="","",Notes!CA463)</f>
        <v/>
      </c>
      <c r="D467" s="7" t="str">
        <f>IF(Notes!CB463="","",Notes!CB463)</f>
        <v/>
      </c>
      <c r="E467" s="7" t="str">
        <f>IF(Notes!CC463="","",Notes!CC463)</f>
        <v/>
      </c>
      <c r="F467" s="7" t="str">
        <f>IF(Notes!CD463="","",Notes!CD463)</f>
        <v/>
      </c>
      <c r="G467" s="7" t="str">
        <f>IF(Notes!CE463="","",Notes!CE463)</f>
        <v/>
      </c>
      <c r="H467" s="7" t="str">
        <f>IF(Notes!CF463="","",Notes!CF463)</f>
        <v/>
      </c>
      <c r="I467" s="7"/>
      <c r="J467" s="7"/>
      <c r="K467" s="7"/>
    </row>
    <row r="468" spans="1:11" x14ac:dyDescent="0.35">
      <c r="A468" s="7" t="str">
        <f>IF(Notes!BY464="","",Notes!BY464)</f>
        <v/>
      </c>
      <c r="B468" s="7" t="str">
        <f>IF(Notes!BZ464="","",Notes!BZ464)</f>
        <v/>
      </c>
      <c r="C468" s="7" t="str">
        <f>IF(Notes!CA464="","",Notes!CA464)</f>
        <v/>
      </c>
      <c r="D468" s="7" t="str">
        <f>IF(Notes!CB464="","",Notes!CB464)</f>
        <v/>
      </c>
      <c r="E468" s="7" t="str">
        <f>IF(Notes!CC464="","",Notes!CC464)</f>
        <v/>
      </c>
      <c r="F468" s="7" t="str">
        <f>IF(Notes!CD464="","",Notes!CD464)</f>
        <v/>
      </c>
      <c r="G468" s="7" t="str">
        <f>IF(Notes!CE464="","",Notes!CE464)</f>
        <v/>
      </c>
      <c r="H468" s="7" t="str">
        <f>IF(Notes!CF464="","",Notes!CF464)</f>
        <v/>
      </c>
      <c r="I468" s="7"/>
      <c r="J468" s="7"/>
      <c r="K468" s="7"/>
    </row>
    <row r="469" spans="1:11" x14ac:dyDescent="0.35">
      <c r="A469" s="7" t="str">
        <f>IF(Notes!BY465="","",Notes!BY465)</f>
        <v/>
      </c>
      <c r="B469" s="7" t="str">
        <f>IF(Notes!BZ465="","",Notes!BZ465)</f>
        <v/>
      </c>
      <c r="C469" s="7" t="str">
        <f>IF(Notes!CA465="","",Notes!CA465)</f>
        <v/>
      </c>
      <c r="D469" s="7" t="str">
        <f>IF(Notes!CB465="","",Notes!CB465)</f>
        <v/>
      </c>
      <c r="E469" s="7" t="str">
        <f>IF(Notes!CC465="","",Notes!CC465)</f>
        <v/>
      </c>
      <c r="F469" s="7" t="str">
        <f>IF(Notes!CD465="","",Notes!CD465)</f>
        <v/>
      </c>
      <c r="G469" s="7" t="str">
        <f>IF(Notes!CE465="","",Notes!CE465)</f>
        <v/>
      </c>
      <c r="H469" s="7" t="str">
        <f>IF(Notes!CF465="","",Notes!CF465)</f>
        <v/>
      </c>
      <c r="I469" s="7"/>
      <c r="J469" s="7"/>
      <c r="K469" s="7"/>
    </row>
    <row r="470" spans="1:11" x14ac:dyDescent="0.35">
      <c r="A470" s="7" t="str">
        <f>IF(Notes!BY466="","",Notes!BY466)</f>
        <v/>
      </c>
      <c r="B470" s="7" t="str">
        <f>IF(Notes!BZ466="","",Notes!BZ466)</f>
        <v/>
      </c>
      <c r="C470" s="7" t="str">
        <f>IF(Notes!CA466="","",Notes!CA466)</f>
        <v/>
      </c>
      <c r="D470" s="7" t="str">
        <f>IF(Notes!CB466="","",Notes!CB466)</f>
        <v/>
      </c>
      <c r="E470" s="7" t="str">
        <f>IF(Notes!CC466="","",Notes!CC466)</f>
        <v/>
      </c>
      <c r="F470" s="7" t="str">
        <f>IF(Notes!CD466="","",Notes!CD466)</f>
        <v/>
      </c>
      <c r="G470" s="7" t="str">
        <f>IF(Notes!CE466="","",Notes!CE466)</f>
        <v/>
      </c>
      <c r="H470" s="7" t="str">
        <f>IF(Notes!CF466="","",Notes!CF466)</f>
        <v/>
      </c>
      <c r="I470" s="7"/>
      <c r="J470" s="7"/>
      <c r="K470" s="7"/>
    </row>
    <row r="471" spans="1:11" x14ac:dyDescent="0.35">
      <c r="A471" s="7" t="str">
        <f>IF(Notes!BY467="","",Notes!BY467)</f>
        <v/>
      </c>
      <c r="B471" s="7" t="str">
        <f>IF(Notes!BZ467="","",Notes!BZ467)</f>
        <v/>
      </c>
      <c r="C471" s="7" t="str">
        <f>IF(Notes!CA467="","",Notes!CA467)</f>
        <v/>
      </c>
      <c r="D471" s="7" t="str">
        <f>IF(Notes!CB467="","",Notes!CB467)</f>
        <v/>
      </c>
      <c r="E471" s="7" t="str">
        <f>IF(Notes!CC467="","",Notes!CC467)</f>
        <v/>
      </c>
      <c r="F471" s="7" t="str">
        <f>IF(Notes!CD467="","",Notes!CD467)</f>
        <v/>
      </c>
      <c r="G471" s="7" t="str">
        <f>IF(Notes!CE467="","",Notes!CE467)</f>
        <v/>
      </c>
      <c r="H471" s="7" t="str">
        <f>IF(Notes!CF467="","",Notes!CF467)</f>
        <v/>
      </c>
      <c r="I471" s="7"/>
      <c r="J471" s="7"/>
      <c r="K471" s="7"/>
    </row>
    <row r="472" spans="1:11" x14ac:dyDescent="0.35">
      <c r="A472" s="7" t="str">
        <f>IF(Notes!BY468="","",Notes!BY468)</f>
        <v/>
      </c>
      <c r="B472" s="7" t="str">
        <f>IF(Notes!BZ468="","",Notes!BZ468)</f>
        <v/>
      </c>
      <c r="C472" s="7" t="str">
        <f>IF(Notes!CA468="","",Notes!CA468)</f>
        <v/>
      </c>
      <c r="D472" s="7" t="str">
        <f>IF(Notes!CB468="","",Notes!CB468)</f>
        <v/>
      </c>
      <c r="E472" s="7" t="str">
        <f>IF(Notes!CC468="","",Notes!CC468)</f>
        <v/>
      </c>
      <c r="F472" s="7" t="str">
        <f>IF(Notes!CD468="","",Notes!CD468)</f>
        <v/>
      </c>
      <c r="G472" s="7" t="str">
        <f>IF(Notes!CE468="","",Notes!CE468)</f>
        <v/>
      </c>
      <c r="H472" s="7" t="str">
        <f>IF(Notes!CF468="","",Notes!CF468)</f>
        <v/>
      </c>
      <c r="I472" s="7"/>
      <c r="J472" s="7"/>
      <c r="K472" s="7"/>
    </row>
    <row r="473" spans="1:11" x14ac:dyDescent="0.35">
      <c r="A473" s="7" t="str">
        <f>IF(Notes!BY469="","",Notes!BY469)</f>
        <v/>
      </c>
      <c r="B473" s="7" t="str">
        <f>IF(Notes!BZ469="","",Notes!BZ469)</f>
        <v/>
      </c>
      <c r="C473" s="7" t="str">
        <f>IF(Notes!CA469="","",Notes!CA469)</f>
        <v/>
      </c>
      <c r="D473" s="7" t="str">
        <f>IF(Notes!CB469="","",Notes!CB469)</f>
        <v/>
      </c>
      <c r="E473" s="7" t="str">
        <f>IF(Notes!CC469="","",Notes!CC469)</f>
        <v/>
      </c>
      <c r="F473" s="7" t="str">
        <f>IF(Notes!CD469="","",Notes!CD469)</f>
        <v/>
      </c>
      <c r="G473" s="7" t="str">
        <f>IF(Notes!CE469="","",Notes!CE469)</f>
        <v/>
      </c>
      <c r="H473" s="7" t="str">
        <f>IF(Notes!CF469="","",Notes!CF469)</f>
        <v/>
      </c>
      <c r="I473" s="7"/>
      <c r="J473" s="7"/>
      <c r="K473" s="7"/>
    </row>
    <row r="474" spans="1:11" x14ac:dyDescent="0.35">
      <c r="A474" s="7" t="str">
        <f>IF(Notes!BY470="","",Notes!BY470)</f>
        <v/>
      </c>
      <c r="B474" s="7" t="str">
        <f>IF(Notes!BZ470="","",Notes!BZ470)</f>
        <v/>
      </c>
      <c r="C474" s="7" t="str">
        <f>IF(Notes!CA470="","",Notes!CA470)</f>
        <v/>
      </c>
      <c r="D474" s="7" t="str">
        <f>IF(Notes!CB470="","",Notes!CB470)</f>
        <v/>
      </c>
      <c r="E474" s="7" t="str">
        <f>IF(Notes!CC470="","",Notes!CC470)</f>
        <v/>
      </c>
      <c r="F474" s="7" t="str">
        <f>IF(Notes!CD470="","",Notes!CD470)</f>
        <v/>
      </c>
      <c r="G474" s="7" t="str">
        <f>IF(Notes!CE470="","",Notes!CE470)</f>
        <v/>
      </c>
      <c r="H474" s="7" t="str">
        <f>IF(Notes!CF470="","",Notes!CF470)</f>
        <v/>
      </c>
      <c r="I474" s="7"/>
      <c r="J474" s="7"/>
      <c r="K474" s="7"/>
    </row>
    <row r="475" spans="1:11" x14ac:dyDescent="0.35">
      <c r="A475" s="7" t="str">
        <f>IF(Notes!BY471="","",Notes!BY471)</f>
        <v/>
      </c>
      <c r="B475" s="7" t="str">
        <f>IF(Notes!BZ471="","",Notes!BZ471)</f>
        <v/>
      </c>
      <c r="C475" s="7" t="str">
        <f>IF(Notes!CA471="","",Notes!CA471)</f>
        <v/>
      </c>
      <c r="D475" s="7" t="str">
        <f>IF(Notes!CB471="","",Notes!CB471)</f>
        <v/>
      </c>
      <c r="E475" s="7" t="str">
        <f>IF(Notes!CC471="","",Notes!CC471)</f>
        <v/>
      </c>
      <c r="F475" s="7" t="str">
        <f>IF(Notes!CD471="","",Notes!CD471)</f>
        <v/>
      </c>
      <c r="G475" s="7" t="str">
        <f>IF(Notes!CE471="","",Notes!CE471)</f>
        <v/>
      </c>
      <c r="H475" s="7" t="str">
        <f>IF(Notes!CF471="","",Notes!CF471)</f>
        <v/>
      </c>
      <c r="I475" s="7"/>
      <c r="J475" s="7"/>
      <c r="K475" s="7"/>
    </row>
    <row r="476" spans="1:11" x14ac:dyDescent="0.35">
      <c r="A476" s="7" t="str">
        <f>IF(Notes!BY472="","",Notes!BY472)</f>
        <v/>
      </c>
      <c r="B476" s="7" t="str">
        <f>IF(Notes!BZ472="","",Notes!BZ472)</f>
        <v/>
      </c>
      <c r="C476" s="7" t="str">
        <f>IF(Notes!CA472="","",Notes!CA472)</f>
        <v/>
      </c>
      <c r="D476" s="7" t="str">
        <f>IF(Notes!CB472="","",Notes!CB472)</f>
        <v/>
      </c>
      <c r="E476" s="7" t="str">
        <f>IF(Notes!CC472="","",Notes!CC472)</f>
        <v/>
      </c>
      <c r="F476" s="7" t="str">
        <f>IF(Notes!CD472="","",Notes!CD472)</f>
        <v/>
      </c>
      <c r="G476" s="7" t="str">
        <f>IF(Notes!CE472="","",Notes!CE472)</f>
        <v/>
      </c>
      <c r="H476" s="7" t="str">
        <f>IF(Notes!CF472="","",Notes!CF472)</f>
        <v/>
      </c>
      <c r="I476" s="7"/>
      <c r="J476" s="7"/>
      <c r="K476" s="7"/>
    </row>
    <row r="477" spans="1:11" x14ac:dyDescent="0.35">
      <c r="A477" s="7" t="str">
        <f>IF(Notes!BY473="","",Notes!BY473)</f>
        <v/>
      </c>
      <c r="B477" s="7" t="str">
        <f>IF(Notes!BZ473="","",Notes!BZ473)</f>
        <v/>
      </c>
      <c r="C477" s="7" t="str">
        <f>IF(Notes!CA473="","",Notes!CA473)</f>
        <v/>
      </c>
      <c r="D477" s="7" t="str">
        <f>IF(Notes!CB473="","",Notes!CB473)</f>
        <v/>
      </c>
      <c r="E477" s="7" t="str">
        <f>IF(Notes!CC473="","",Notes!CC473)</f>
        <v/>
      </c>
      <c r="F477" s="7" t="str">
        <f>IF(Notes!CD473="","",Notes!CD473)</f>
        <v/>
      </c>
      <c r="G477" s="7" t="str">
        <f>IF(Notes!CE473="","",Notes!CE473)</f>
        <v/>
      </c>
      <c r="H477" s="7" t="str">
        <f>IF(Notes!CF473="","",Notes!CF473)</f>
        <v/>
      </c>
      <c r="I477" s="7"/>
      <c r="J477" s="7"/>
      <c r="K477" s="7"/>
    </row>
    <row r="478" spans="1:11" x14ac:dyDescent="0.35">
      <c r="A478" s="7" t="str">
        <f>IF(Notes!BY474="","",Notes!BY474)</f>
        <v/>
      </c>
      <c r="B478" s="7" t="str">
        <f>IF(Notes!BZ474="","",Notes!BZ474)</f>
        <v/>
      </c>
      <c r="C478" s="7" t="str">
        <f>IF(Notes!CA474="","",Notes!CA474)</f>
        <v/>
      </c>
      <c r="D478" s="7" t="str">
        <f>IF(Notes!CB474="","",Notes!CB474)</f>
        <v/>
      </c>
      <c r="E478" s="7" t="str">
        <f>IF(Notes!CC474="","",Notes!CC474)</f>
        <v/>
      </c>
      <c r="F478" s="7" t="str">
        <f>IF(Notes!CD474="","",Notes!CD474)</f>
        <v/>
      </c>
      <c r="G478" s="7" t="str">
        <f>IF(Notes!CE474="","",Notes!CE474)</f>
        <v/>
      </c>
      <c r="H478" s="7" t="str">
        <f>IF(Notes!CF474="","",Notes!CF474)</f>
        <v/>
      </c>
      <c r="I478" s="7"/>
      <c r="J478" s="7"/>
      <c r="K478" s="7"/>
    </row>
    <row r="479" spans="1:11" x14ac:dyDescent="0.35">
      <c r="A479" s="7" t="str">
        <f>IF(Notes!BY475="","",Notes!BY475)</f>
        <v/>
      </c>
      <c r="B479" s="7" t="str">
        <f>IF(Notes!BZ475="","",Notes!BZ475)</f>
        <v/>
      </c>
      <c r="C479" s="7" t="str">
        <f>IF(Notes!CA475="","",Notes!CA475)</f>
        <v/>
      </c>
      <c r="D479" s="7" t="str">
        <f>IF(Notes!CB475="","",Notes!CB475)</f>
        <v/>
      </c>
      <c r="E479" s="7" t="str">
        <f>IF(Notes!CC475="","",Notes!CC475)</f>
        <v/>
      </c>
      <c r="F479" s="7" t="str">
        <f>IF(Notes!CD475="","",Notes!CD475)</f>
        <v/>
      </c>
      <c r="G479" s="7" t="str">
        <f>IF(Notes!CE475="","",Notes!CE475)</f>
        <v/>
      </c>
      <c r="H479" s="7" t="str">
        <f>IF(Notes!CF475="","",Notes!CF475)</f>
        <v/>
      </c>
      <c r="I479" s="7"/>
      <c r="J479" s="7"/>
      <c r="K479" s="7"/>
    </row>
    <row r="480" spans="1:11" x14ac:dyDescent="0.35">
      <c r="A480" s="7" t="str">
        <f>IF(Notes!BY476="","",Notes!BY476)</f>
        <v/>
      </c>
      <c r="B480" s="7" t="str">
        <f>IF(Notes!BZ476="","",Notes!BZ476)</f>
        <v/>
      </c>
      <c r="C480" s="7" t="str">
        <f>IF(Notes!CA476="","",Notes!CA476)</f>
        <v/>
      </c>
      <c r="D480" s="7" t="str">
        <f>IF(Notes!CB476="","",Notes!CB476)</f>
        <v/>
      </c>
      <c r="E480" s="7" t="str">
        <f>IF(Notes!CC476="","",Notes!CC476)</f>
        <v/>
      </c>
      <c r="F480" s="7" t="str">
        <f>IF(Notes!CD476="","",Notes!CD476)</f>
        <v/>
      </c>
      <c r="G480" s="7" t="str">
        <f>IF(Notes!CE476="","",Notes!CE476)</f>
        <v/>
      </c>
      <c r="H480" s="7" t="str">
        <f>IF(Notes!CF476="","",Notes!CF476)</f>
        <v/>
      </c>
      <c r="I480" s="7"/>
      <c r="J480" s="7"/>
      <c r="K480" s="7"/>
    </row>
    <row r="481" spans="1:11" x14ac:dyDescent="0.35">
      <c r="A481" s="7" t="str">
        <f>IF(Notes!BY477="","",Notes!BY477)</f>
        <v/>
      </c>
      <c r="B481" s="7" t="str">
        <f>IF(Notes!BZ477="","",Notes!BZ477)</f>
        <v/>
      </c>
      <c r="C481" s="7" t="str">
        <f>IF(Notes!CA477="","",Notes!CA477)</f>
        <v/>
      </c>
      <c r="D481" s="7" t="str">
        <f>IF(Notes!CB477="","",Notes!CB477)</f>
        <v/>
      </c>
      <c r="E481" s="7" t="str">
        <f>IF(Notes!CC477="","",Notes!CC477)</f>
        <v/>
      </c>
      <c r="F481" s="7" t="str">
        <f>IF(Notes!CD477="","",Notes!CD477)</f>
        <v/>
      </c>
      <c r="G481" s="7" t="str">
        <f>IF(Notes!CE477="","",Notes!CE477)</f>
        <v/>
      </c>
      <c r="H481" s="7" t="str">
        <f>IF(Notes!CF477="","",Notes!CF477)</f>
        <v/>
      </c>
      <c r="I481" s="7"/>
      <c r="J481" s="7"/>
      <c r="K481" s="7"/>
    </row>
    <row r="482" spans="1:11" x14ac:dyDescent="0.35">
      <c r="A482" s="7" t="str">
        <f>IF(Notes!BY478="","",Notes!BY478)</f>
        <v/>
      </c>
      <c r="B482" s="7" t="str">
        <f>IF(Notes!BZ478="","",Notes!BZ478)</f>
        <v/>
      </c>
      <c r="C482" s="7" t="str">
        <f>IF(Notes!CA478="","",Notes!CA478)</f>
        <v/>
      </c>
      <c r="D482" s="7" t="str">
        <f>IF(Notes!CB478="","",Notes!CB478)</f>
        <v/>
      </c>
      <c r="E482" s="7" t="str">
        <f>IF(Notes!CC478="","",Notes!CC478)</f>
        <v/>
      </c>
      <c r="F482" s="7" t="str">
        <f>IF(Notes!CD478="","",Notes!CD478)</f>
        <v/>
      </c>
      <c r="G482" s="7" t="str">
        <f>IF(Notes!CE478="","",Notes!CE478)</f>
        <v/>
      </c>
      <c r="H482" s="7" t="str">
        <f>IF(Notes!CF478="","",Notes!CF478)</f>
        <v/>
      </c>
      <c r="I482" s="7"/>
      <c r="J482" s="7"/>
      <c r="K482" s="7"/>
    </row>
    <row r="483" spans="1:11" x14ac:dyDescent="0.35">
      <c r="A483" s="7" t="str">
        <f>IF(Notes!BY479="","",Notes!BY479)</f>
        <v/>
      </c>
      <c r="B483" s="7" t="str">
        <f>IF(Notes!BZ479="","",Notes!BZ479)</f>
        <v/>
      </c>
      <c r="C483" s="7" t="str">
        <f>IF(Notes!CA479="","",Notes!CA479)</f>
        <v/>
      </c>
      <c r="D483" s="7" t="str">
        <f>IF(Notes!CB479="","",Notes!CB479)</f>
        <v/>
      </c>
      <c r="E483" s="7" t="str">
        <f>IF(Notes!CC479="","",Notes!CC479)</f>
        <v/>
      </c>
      <c r="F483" s="7" t="str">
        <f>IF(Notes!CD479="","",Notes!CD479)</f>
        <v/>
      </c>
      <c r="G483" s="7" t="str">
        <f>IF(Notes!CE479="","",Notes!CE479)</f>
        <v/>
      </c>
      <c r="H483" s="7" t="str">
        <f>IF(Notes!CF479="","",Notes!CF479)</f>
        <v/>
      </c>
      <c r="I483" s="7"/>
      <c r="J483" s="7"/>
      <c r="K483" s="7"/>
    </row>
    <row r="484" spans="1:11" x14ac:dyDescent="0.35">
      <c r="A484" s="7" t="str">
        <f>IF(Notes!BY480="","",Notes!BY480)</f>
        <v/>
      </c>
      <c r="B484" s="7" t="str">
        <f>IF(Notes!BZ480="","",Notes!BZ480)</f>
        <v/>
      </c>
      <c r="C484" s="7" t="str">
        <f>IF(Notes!CA480="","",Notes!CA480)</f>
        <v/>
      </c>
      <c r="D484" s="7" t="str">
        <f>IF(Notes!CB480="","",Notes!CB480)</f>
        <v/>
      </c>
      <c r="E484" s="7" t="str">
        <f>IF(Notes!CC480="","",Notes!CC480)</f>
        <v/>
      </c>
      <c r="F484" s="7" t="str">
        <f>IF(Notes!CD480="","",Notes!CD480)</f>
        <v/>
      </c>
      <c r="G484" s="7" t="str">
        <f>IF(Notes!CE480="","",Notes!CE480)</f>
        <v/>
      </c>
      <c r="H484" s="7" t="str">
        <f>IF(Notes!CF480="","",Notes!CF480)</f>
        <v/>
      </c>
      <c r="I484" s="7"/>
      <c r="J484" s="7"/>
      <c r="K484" s="7"/>
    </row>
    <row r="485" spans="1:11" x14ac:dyDescent="0.35">
      <c r="A485" s="7" t="str">
        <f>IF(Notes!BY481="","",Notes!BY481)</f>
        <v/>
      </c>
      <c r="B485" s="7" t="str">
        <f>IF(Notes!BZ481="","",Notes!BZ481)</f>
        <v/>
      </c>
      <c r="C485" s="7" t="str">
        <f>IF(Notes!CA481="","",Notes!CA481)</f>
        <v/>
      </c>
      <c r="D485" s="7" t="str">
        <f>IF(Notes!CB481="","",Notes!CB481)</f>
        <v/>
      </c>
      <c r="E485" s="7" t="str">
        <f>IF(Notes!CC481="","",Notes!CC481)</f>
        <v/>
      </c>
      <c r="F485" s="7" t="str">
        <f>IF(Notes!CD481="","",Notes!CD481)</f>
        <v/>
      </c>
      <c r="G485" s="7" t="str">
        <f>IF(Notes!CE481="","",Notes!CE481)</f>
        <v/>
      </c>
      <c r="H485" s="7" t="str">
        <f>IF(Notes!CF481="","",Notes!CF481)</f>
        <v/>
      </c>
      <c r="I485" s="7"/>
      <c r="J485" s="7"/>
      <c r="K485" s="7"/>
    </row>
    <row r="486" spans="1:11" x14ac:dyDescent="0.35">
      <c r="A486" s="7" t="str">
        <f>IF(Notes!BY482="","",Notes!BY482)</f>
        <v/>
      </c>
      <c r="B486" s="7" t="str">
        <f>IF(Notes!BZ482="","",Notes!BZ482)</f>
        <v/>
      </c>
      <c r="C486" s="7" t="str">
        <f>IF(Notes!CA482="","",Notes!CA482)</f>
        <v/>
      </c>
      <c r="D486" s="7" t="str">
        <f>IF(Notes!CB482="","",Notes!CB482)</f>
        <v/>
      </c>
      <c r="E486" s="7" t="str">
        <f>IF(Notes!CC482="","",Notes!CC482)</f>
        <v/>
      </c>
      <c r="F486" s="7" t="str">
        <f>IF(Notes!CD482="","",Notes!CD482)</f>
        <v/>
      </c>
      <c r="G486" s="7" t="str">
        <f>IF(Notes!CE482="","",Notes!CE482)</f>
        <v/>
      </c>
      <c r="H486" s="7" t="str">
        <f>IF(Notes!CF482="","",Notes!CF482)</f>
        <v/>
      </c>
      <c r="I486" s="7"/>
      <c r="J486" s="7"/>
      <c r="K486" s="7"/>
    </row>
    <row r="487" spans="1:11" x14ac:dyDescent="0.35">
      <c r="A487" s="7" t="str">
        <f>IF(Notes!BY483="","",Notes!BY483)</f>
        <v/>
      </c>
      <c r="B487" s="7" t="str">
        <f>IF(Notes!BZ483="","",Notes!BZ483)</f>
        <v/>
      </c>
      <c r="C487" s="7" t="str">
        <f>IF(Notes!CA483="","",Notes!CA483)</f>
        <v/>
      </c>
      <c r="D487" s="7" t="str">
        <f>IF(Notes!CB483="","",Notes!CB483)</f>
        <v/>
      </c>
      <c r="E487" s="7" t="str">
        <f>IF(Notes!CC483="","",Notes!CC483)</f>
        <v/>
      </c>
      <c r="F487" s="7" t="str">
        <f>IF(Notes!CD483="","",Notes!CD483)</f>
        <v/>
      </c>
      <c r="G487" s="7" t="str">
        <f>IF(Notes!CE483="","",Notes!CE483)</f>
        <v/>
      </c>
      <c r="H487" s="7" t="str">
        <f>IF(Notes!CF483="","",Notes!CF483)</f>
        <v/>
      </c>
      <c r="I487" s="7"/>
      <c r="J487" s="7"/>
      <c r="K487" s="7"/>
    </row>
    <row r="488" spans="1:11" x14ac:dyDescent="0.35">
      <c r="A488" s="7" t="str">
        <f>IF(Notes!BY484="","",Notes!BY484)</f>
        <v/>
      </c>
      <c r="B488" s="7" t="str">
        <f>IF(Notes!BZ484="","",Notes!BZ484)</f>
        <v/>
      </c>
      <c r="C488" s="7" t="str">
        <f>IF(Notes!CA484="","",Notes!CA484)</f>
        <v/>
      </c>
      <c r="D488" s="7" t="str">
        <f>IF(Notes!CB484="","",Notes!CB484)</f>
        <v/>
      </c>
      <c r="E488" s="7" t="str">
        <f>IF(Notes!CC484="","",Notes!CC484)</f>
        <v/>
      </c>
      <c r="F488" s="7" t="str">
        <f>IF(Notes!CD484="","",Notes!CD484)</f>
        <v/>
      </c>
      <c r="G488" s="7" t="str">
        <f>IF(Notes!CE484="","",Notes!CE484)</f>
        <v/>
      </c>
      <c r="H488" s="7" t="str">
        <f>IF(Notes!CF484="","",Notes!CF484)</f>
        <v/>
      </c>
      <c r="I488" s="7"/>
      <c r="J488" s="7"/>
      <c r="K488" s="7"/>
    </row>
    <row r="489" spans="1:11" x14ac:dyDescent="0.35">
      <c r="A489" s="7" t="str">
        <f>IF(Notes!BY485="","",Notes!BY485)</f>
        <v/>
      </c>
      <c r="B489" s="7" t="str">
        <f>IF(Notes!BZ485="","",Notes!BZ485)</f>
        <v/>
      </c>
      <c r="C489" s="7" t="str">
        <f>IF(Notes!CA485="","",Notes!CA485)</f>
        <v/>
      </c>
      <c r="D489" s="7" t="str">
        <f>IF(Notes!CB485="","",Notes!CB485)</f>
        <v/>
      </c>
      <c r="E489" s="7" t="str">
        <f>IF(Notes!CC485="","",Notes!CC485)</f>
        <v/>
      </c>
      <c r="F489" s="7" t="str">
        <f>IF(Notes!CD485="","",Notes!CD485)</f>
        <v/>
      </c>
      <c r="G489" s="7" t="str">
        <f>IF(Notes!CE485="","",Notes!CE485)</f>
        <v/>
      </c>
      <c r="H489" s="7" t="str">
        <f>IF(Notes!CF485="","",Notes!CF485)</f>
        <v/>
      </c>
      <c r="I489" s="7"/>
      <c r="J489" s="7"/>
      <c r="K489" s="7"/>
    </row>
    <row r="490" spans="1:11" x14ac:dyDescent="0.35">
      <c r="A490" s="7" t="str">
        <f>IF(Notes!BY486="","",Notes!BY486)</f>
        <v/>
      </c>
      <c r="B490" s="7" t="str">
        <f>IF(Notes!BZ486="","",Notes!BZ486)</f>
        <v/>
      </c>
      <c r="C490" s="7" t="str">
        <f>IF(Notes!CA486="","",Notes!CA486)</f>
        <v/>
      </c>
      <c r="D490" s="7" t="str">
        <f>IF(Notes!CB486="","",Notes!CB486)</f>
        <v/>
      </c>
      <c r="E490" s="7" t="str">
        <f>IF(Notes!CC486="","",Notes!CC486)</f>
        <v/>
      </c>
      <c r="F490" s="7" t="str">
        <f>IF(Notes!CD486="","",Notes!CD486)</f>
        <v/>
      </c>
      <c r="G490" s="7" t="str">
        <f>IF(Notes!CE486="","",Notes!CE486)</f>
        <v/>
      </c>
      <c r="H490" s="7" t="str">
        <f>IF(Notes!CF486="","",Notes!CF486)</f>
        <v/>
      </c>
      <c r="I490" s="7"/>
      <c r="J490" s="7"/>
      <c r="K490" s="7"/>
    </row>
    <row r="491" spans="1:11" x14ac:dyDescent="0.35">
      <c r="A491" s="7" t="str">
        <f>IF(Notes!BY487="","",Notes!BY487)</f>
        <v/>
      </c>
      <c r="B491" s="7" t="str">
        <f>IF(Notes!BZ487="","",Notes!BZ487)</f>
        <v/>
      </c>
      <c r="C491" s="7" t="str">
        <f>IF(Notes!CA487="","",Notes!CA487)</f>
        <v/>
      </c>
      <c r="D491" s="7" t="str">
        <f>IF(Notes!CB487="","",Notes!CB487)</f>
        <v/>
      </c>
      <c r="E491" s="7" t="str">
        <f>IF(Notes!CC487="","",Notes!CC487)</f>
        <v/>
      </c>
      <c r="F491" s="7" t="str">
        <f>IF(Notes!CD487="","",Notes!CD487)</f>
        <v/>
      </c>
      <c r="G491" s="7" t="str">
        <f>IF(Notes!CE487="","",Notes!CE487)</f>
        <v/>
      </c>
      <c r="H491" s="7" t="str">
        <f>IF(Notes!CF487="","",Notes!CF487)</f>
        <v/>
      </c>
      <c r="I491" s="7"/>
      <c r="J491" s="7"/>
      <c r="K491" s="7"/>
    </row>
    <row r="492" spans="1:11" x14ac:dyDescent="0.35">
      <c r="A492" s="7" t="str">
        <f>IF(Notes!BY488="","",Notes!BY488)</f>
        <v/>
      </c>
      <c r="B492" s="7" t="str">
        <f>IF(Notes!BZ488="","",Notes!BZ488)</f>
        <v/>
      </c>
      <c r="C492" s="7" t="str">
        <f>IF(Notes!CA488="","",Notes!CA488)</f>
        <v/>
      </c>
      <c r="D492" s="7" t="str">
        <f>IF(Notes!CB488="","",Notes!CB488)</f>
        <v/>
      </c>
      <c r="E492" s="7" t="str">
        <f>IF(Notes!CC488="","",Notes!CC488)</f>
        <v/>
      </c>
      <c r="F492" s="7" t="str">
        <f>IF(Notes!CD488="","",Notes!CD488)</f>
        <v/>
      </c>
      <c r="G492" s="7" t="str">
        <f>IF(Notes!CE488="","",Notes!CE488)</f>
        <v/>
      </c>
      <c r="H492" s="7" t="str">
        <f>IF(Notes!CF488="","",Notes!CF488)</f>
        <v/>
      </c>
      <c r="I492" s="7"/>
      <c r="J492" s="7"/>
      <c r="K492" s="7"/>
    </row>
    <row r="493" spans="1:11" x14ac:dyDescent="0.35">
      <c r="A493" s="7" t="str">
        <f>IF(Notes!BY489="","",Notes!BY489)</f>
        <v/>
      </c>
      <c r="B493" s="7" t="str">
        <f>IF(Notes!BZ489="","",Notes!BZ489)</f>
        <v/>
      </c>
      <c r="C493" s="7" t="str">
        <f>IF(Notes!CA489="","",Notes!CA489)</f>
        <v/>
      </c>
      <c r="D493" s="7" t="str">
        <f>IF(Notes!CB489="","",Notes!CB489)</f>
        <v/>
      </c>
      <c r="E493" s="7" t="str">
        <f>IF(Notes!CC489="","",Notes!CC489)</f>
        <v/>
      </c>
      <c r="F493" s="7" t="str">
        <f>IF(Notes!CD489="","",Notes!CD489)</f>
        <v/>
      </c>
      <c r="G493" s="7" t="str">
        <f>IF(Notes!CE489="","",Notes!CE489)</f>
        <v/>
      </c>
      <c r="H493" s="7" t="str">
        <f>IF(Notes!CF489="","",Notes!CF489)</f>
        <v/>
      </c>
      <c r="I493" s="7"/>
      <c r="J493" s="7"/>
      <c r="K493" s="7"/>
    </row>
    <row r="494" spans="1:11" x14ac:dyDescent="0.35">
      <c r="A494" s="7" t="str">
        <f>IF(Notes!BY490="","",Notes!BY490)</f>
        <v/>
      </c>
      <c r="B494" s="7" t="str">
        <f>IF(Notes!BZ490="","",Notes!BZ490)</f>
        <v/>
      </c>
      <c r="C494" s="7" t="str">
        <f>IF(Notes!CA490="","",Notes!CA490)</f>
        <v/>
      </c>
      <c r="D494" s="7" t="str">
        <f>IF(Notes!CB490="","",Notes!CB490)</f>
        <v/>
      </c>
      <c r="E494" s="7" t="str">
        <f>IF(Notes!CC490="","",Notes!CC490)</f>
        <v/>
      </c>
      <c r="F494" s="7" t="str">
        <f>IF(Notes!CD490="","",Notes!CD490)</f>
        <v/>
      </c>
      <c r="G494" s="7" t="str">
        <f>IF(Notes!CE490="","",Notes!CE490)</f>
        <v/>
      </c>
      <c r="H494" s="7" t="str">
        <f>IF(Notes!CF490="","",Notes!CF490)</f>
        <v/>
      </c>
      <c r="I494" s="7"/>
      <c r="J494" s="7"/>
      <c r="K494" s="7"/>
    </row>
    <row r="495" spans="1:11" x14ac:dyDescent="0.35">
      <c r="A495" s="7" t="str">
        <f>IF(Notes!BY491="","",Notes!BY491)</f>
        <v/>
      </c>
      <c r="B495" s="7" t="str">
        <f>IF(Notes!BZ491="","",Notes!BZ491)</f>
        <v/>
      </c>
      <c r="C495" s="7" t="str">
        <f>IF(Notes!CA491="","",Notes!CA491)</f>
        <v/>
      </c>
      <c r="D495" s="7" t="str">
        <f>IF(Notes!CB491="","",Notes!CB491)</f>
        <v/>
      </c>
      <c r="E495" s="7" t="str">
        <f>IF(Notes!CC491="","",Notes!CC491)</f>
        <v/>
      </c>
      <c r="F495" s="7" t="str">
        <f>IF(Notes!CD491="","",Notes!CD491)</f>
        <v/>
      </c>
      <c r="G495" s="7" t="str">
        <f>IF(Notes!CE491="","",Notes!CE491)</f>
        <v/>
      </c>
      <c r="H495" s="7" t="str">
        <f>IF(Notes!CF491="","",Notes!CF491)</f>
        <v/>
      </c>
      <c r="I495" s="7"/>
      <c r="J495" s="7"/>
      <c r="K495" s="7"/>
    </row>
    <row r="496" spans="1:11" x14ac:dyDescent="0.35">
      <c r="A496" s="7" t="str">
        <f>IF(Notes!BY492="","",Notes!BY492)</f>
        <v/>
      </c>
      <c r="B496" s="7" t="str">
        <f>IF(Notes!BZ492="","",Notes!BZ492)</f>
        <v/>
      </c>
      <c r="C496" s="7" t="str">
        <f>IF(Notes!CA492="","",Notes!CA492)</f>
        <v/>
      </c>
      <c r="D496" s="7" t="str">
        <f>IF(Notes!CB492="","",Notes!CB492)</f>
        <v/>
      </c>
      <c r="E496" s="7" t="str">
        <f>IF(Notes!CC492="","",Notes!CC492)</f>
        <v/>
      </c>
      <c r="F496" s="7" t="str">
        <f>IF(Notes!CD492="","",Notes!CD492)</f>
        <v/>
      </c>
      <c r="G496" s="7" t="str">
        <f>IF(Notes!CE492="","",Notes!CE492)</f>
        <v/>
      </c>
      <c r="H496" s="7" t="str">
        <f>IF(Notes!CF492="","",Notes!CF492)</f>
        <v/>
      </c>
      <c r="I496" s="7"/>
      <c r="J496" s="7"/>
      <c r="K496" s="7"/>
    </row>
    <row r="497" spans="1:11" x14ac:dyDescent="0.35">
      <c r="A497" s="7" t="str">
        <f>IF(Notes!BY493="","",Notes!BY493)</f>
        <v/>
      </c>
      <c r="B497" s="7" t="str">
        <f>IF(Notes!BZ493="","",Notes!BZ493)</f>
        <v/>
      </c>
      <c r="C497" s="7" t="str">
        <f>IF(Notes!CA493="","",Notes!CA493)</f>
        <v/>
      </c>
      <c r="D497" s="7" t="str">
        <f>IF(Notes!CB493="","",Notes!CB493)</f>
        <v/>
      </c>
      <c r="E497" s="7" t="str">
        <f>IF(Notes!CC493="","",Notes!CC493)</f>
        <v/>
      </c>
      <c r="F497" s="7" t="str">
        <f>IF(Notes!CD493="","",Notes!CD493)</f>
        <v/>
      </c>
      <c r="G497" s="7" t="str">
        <f>IF(Notes!CE493="","",Notes!CE493)</f>
        <v/>
      </c>
      <c r="H497" s="7" t="str">
        <f>IF(Notes!CF493="","",Notes!CF493)</f>
        <v/>
      </c>
      <c r="I497" s="7"/>
      <c r="J497" s="7"/>
      <c r="K497" s="7"/>
    </row>
    <row r="498" spans="1:11" x14ac:dyDescent="0.35">
      <c r="A498" s="7" t="str">
        <f>IF(Notes!BY494="","",Notes!BY494)</f>
        <v/>
      </c>
      <c r="B498" s="7" t="str">
        <f>IF(Notes!BZ494="","",Notes!BZ494)</f>
        <v/>
      </c>
      <c r="C498" s="7" t="str">
        <f>IF(Notes!CA494="","",Notes!CA494)</f>
        <v/>
      </c>
      <c r="D498" s="7" t="str">
        <f>IF(Notes!CB494="","",Notes!CB494)</f>
        <v/>
      </c>
      <c r="E498" s="7" t="str">
        <f>IF(Notes!CC494="","",Notes!CC494)</f>
        <v/>
      </c>
      <c r="F498" s="7" t="str">
        <f>IF(Notes!CD494="","",Notes!CD494)</f>
        <v/>
      </c>
      <c r="G498" s="7" t="str">
        <f>IF(Notes!CE494="","",Notes!CE494)</f>
        <v/>
      </c>
      <c r="H498" s="7" t="str">
        <f>IF(Notes!CF494="","",Notes!CF494)</f>
        <v/>
      </c>
      <c r="I498" s="7"/>
      <c r="J498" s="7"/>
      <c r="K498" s="7"/>
    </row>
    <row r="499" spans="1:11" x14ac:dyDescent="0.35">
      <c r="A499" s="7" t="str">
        <f>IF(Notes!BY495="","",Notes!BY495)</f>
        <v/>
      </c>
      <c r="B499" s="7" t="str">
        <f>IF(Notes!BZ495="","",Notes!BZ495)</f>
        <v/>
      </c>
      <c r="C499" s="7" t="str">
        <f>IF(Notes!CA495="","",Notes!CA495)</f>
        <v/>
      </c>
      <c r="D499" s="7" t="str">
        <f>IF(Notes!CB495="","",Notes!CB495)</f>
        <v/>
      </c>
      <c r="E499" s="7" t="str">
        <f>IF(Notes!CC495="","",Notes!CC495)</f>
        <v/>
      </c>
      <c r="F499" s="7" t="str">
        <f>IF(Notes!CD495="","",Notes!CD495)</f>
        <v/>
      </c>
      <c r="G499" s="7" t="str">
        <f>IF(Notes!CE495="","",Notes!CE495)</f>
        <v/>
      </c>
      <c r="H499" s="7" t="str">
        <f>IF(Notes!CF495="","",Notes!CF495)</f>
        <v/>
      </c>
      <c r="I499" s="7"/>
      <c r="J499" s="7"/>
      <c r="K499" s="7"/>
    </row>
    <row r="500" spans="1:11" x14ac:dyDescent="0.35">
      <c r="A500" s="7" t="str">
        <f>IF(Notes!BY496="","",Notes!BY496)</f>
        <v/>
      </c>
      <c r="B500" s="7" t="str">
        <f>IF(Notes!BZ496="","",Notes!BZ496)</f>
        <v/>
      </c>
      <c r="C500" s="7" t="str">
        <f>IF(Notes!CA496="","",Notes!CA496)</f>
        <v/>
      </c>
      <c r="D500" s="7" t="str">
        <f>IF(Notes!CB496="","",Notes!CB496)</f>
        <v/>
      </c>
      <c r="E500" s="7" t="str">
        <f>IF(Notes!CC496="","",Notes!CC496)</f>
        <v/>
      </c>
      <c r="F500" s="7" t="str">
        <f>IF(Notes!CD496="","",Notes!CD496)</f>
        <v/>
      </c>
      <c r="G500" s="7" t="str">
        <f>IF(Notes!CE496="","",Notes!CE496)</f>
        <v/>
      </c>
      <c r="H500" s="7" t="str">
        <f>IF(Notes!CF496="","",Notes!CF496)</f>
        <v/>
      </c>
      <c r="I500" s="7"/>
      <c r="J500" s="7"/>
      <c r="K500" s="7"/>
    </row>
    <row r="501" spans="1:11" x14ac:dyDescent="0.35">
      <c r="A501" s="7" t="str">
        <f>IF(Notes!BY497="","",Notes!BY497)</f>
        <v/>
      </c>
      <c r="B501" s="7" t="str">
        <f>IF(Notes!BZ497="","",Notes!BZ497)</f>
        <v/>
      </c>
      <c r="C501" s="7" t="str">
        <f>IF(Notes!CA497="","",Notes!CA497)</f>
        <v/>
      </c>
      <c r="D501" s="7" t="str">
        <f>IF(Notes!CB497="","",Notes!CB497)</f>
        <v/>
      </c>
      <c r="E501" s="7" t="str">
        <f>IF(Notes!CC497="","",Notes!CC497)</f>
        <v/>
      </c>
      <c r="F501" s="7" t="str">
        <f>IF(Notes!CD497="","",Notes!CD497)</f>
        <v/>
      </c>
      <c r="G501" s="7" t="str">
        <f>IF(Notes!CE497="","",Notes!CE497)</f>
        <v/>
      </c>
      <c r="H501" s="7" t="str">
        <f>IF(Notes!CF497="","",Notes!CF497)</f>
        <v/>
      </c>
      <c r="I501" s="7"/>
      <c r="J501" s="7"/>
      <c r="K501" s="7"/>
    </row>
    <row r="502" spans="1:11" x14ac:dyDescent="0.35">
      <c r="A502" s="7" t="str">
        <f>IF(Notes!BY498="","",Notes!BY498)</f>
        <v/>
      </c>
      <c r="B502" s="7" t="str">
        <f>IF(Notes!BZ498="","",Notes!BZ498)</f>
        <v/>
      </c>
      <c r="C502" s="7" t="str">
        <f>IF(Notes!CA498="","",Notes!CA498)</f>
        <v/>
      </c>
      <c r="D502" s="7" t="str">
        <f>IF(Notes!CB498="","",Notes!CB498)</f>
        <v/>
      </c>
      <c r="E502" s="7" t="str">
        <f>IF(Notes!CC498="","",Notes!CC498)</f>
        <v/>
      </c>
      <c r="F502" s="7" t="str">
        <f>IF(Notes!CD498="","",Notes!CD498)</f>
        <v/>
      </c>
      <c r="G502" s="7" t="str">
        <f>IF(Notes!CE498="","",Notes!CE498)</f>
        <v/>
      </c>
      <c r="H502" s="7" t="str">
        <f>IF(Notes!CF498="","",Notes!CF498)</f>
        <v/>
      </c>
      <c r="I502" s="7"/>
      <c r="J502" s="7"/>
      <c r="K502" s="7"/>
    </row>
    <row r="503" spans="1:11" x14ac:dyDescent="0.35">
      <c r="A503" s="7" t="str">
        <f>IF(Notes!BY499="","",Notes!BY499)</f>
        <v/>
      </c>
      <c r="B503" s="7" t="str">
        <f>IF(Notes!BZ499="","",Notes!BZ499)</f>
        <v/>
      </c>
      <c r="C503" s="7" t="str">
        <f>IF(Notes!CA499="","",Notes!CA499)</f>
        <v/>
      </c>
      <c r="D503" s="7" t="str">
        <f>IF(Notes!CB499="","",Notes!CB499)</f>
        <v/>
      </c>
      <c r="E503" s="7" t="str">
        <f>IF(Notes!CC499="","",Notes!CC499)</f>
        <v/>
      </c>
      <c r="F503" s="7" t="str">
        <f>IF(Notes!CD499="","",Notes!CD499)</f>
        <v/>
      </c>
      <c r="G503" s="7" t="str">
        <f>IF(Notes!CE499="","",Notes!CE499)</f>
        <v/>
      </c>
      <c r="H503" s="7" t="str">
        <f>IF(Notes!CF499="","",Notes!CF499)</f>
        <v/>
      </c>
      <c r="I503" s="7"/>
      <c r="J503" s="7"/>
      <c r="K503" s="7"/>
    </row>
    <row r="504" spans="1:11" x14ac:dyDescent="0.35">
      <c r="A504" s="7" t="str">
        <f>IF(Notes!BY500="","",Notes!BY500)</f>
        <v/>
      </c>
      <c r="B504" s="7" t="str">
        <f>IF(Notes!BZ500="","",Notes!BZ500)</f>
        <v/>
      </c>
      <c r="C504" s="7" t="str">
        <f>IF(Notes!CA500="","",Notes!CA500)</f>
        <v/>
      </c>
      <c r="D504" s="7" t="str">
        <f>IF(Notes!CB500="","",Notes!CB500)</f>
        <v/>
      </c>
      <c r="E504" s="7" t="str">
        <f>IF(Notes!CC500="","",Notes!CC500)</f>
        <v/>
      </c>
      <c r="F504" s="7" t="str">
        <f>IF(Notes!CD500="","",Notes!CD500)</f>
        <v/>
      </c>
      <c r="G504" s="7" t="str">
        <f>IF(Notes!CE500="","",Notes!CE500)</f>
        <v/>
      </c>
      <c r="H504" s="7" t="str">
        <f>IF(Notes!CF500="","",Notes!CF500)</f>
        <v/>
      </c>
      <c r="I504" s="7"/>
      <c r="J504" s="7"/>
      <c r="K504" s="7"/>
    </row>
    <row r="505" spans="1:11" x14ac:dyDescent="0.35">
      <c r="A505" s="7" t="str">
        <f>IF(Notes!BY501="","",Notes!BY501)</f>
        <v/>
      </c>
      <c r="B505" s="7" t="str">
        <f>IF(Notes!BZ501="","",Notes!BZ501)</f>
        <v/>
      </c>
      <c r="C505" s="7" t="str">
        <f>IF(Notes!CA501="","",Notes!CA501)</f>
        <v/>
      </c>
      <c r="D505" s="7" t="str">
        <f>IF(Notes!CB501="","",Notes!CB501)</f>
        <v/>
      </c>
      <c r="E505" s="7" t="str">
        <f>IF(Notes!CC501="","",Notes!CC501)</f>
        <v/>
      </c>
      <c r="F505" s="7" t="str">
        <f>IF(Notes!CD501="","",Notes!CD501)</f>
        <v/>
      </c>
      <c r="G505" s="7" t="str">
        <f>IF(Notes!CE501="","",Notes!CE501)</f>
        <v/>
      </c>
      <c r="H505" s="7" t="str">
        <f>IF(Notes!CF501="","",Notes!CF501)</f>
        <v/>
      </c>
      <c r="I505" s="7"/>
      <c r="J505" s="7"/>
      <c r="K505" s="7"/>
    </row>
    <row r="506" spans="1:11" x14ac:dyDescent="0.35">
      <c r="A506" s="7" t="str">
        <f>IF(Notes!BY502="","",Notes!BY502)</f>
        <v/>
      </c>
      <c r="B506" s="7" t="str">
        <f>IF(Notes!BZ502="","",Notes!BZ502)</f>
        <v/>
      </c>
      <c r="C506" s="7" t="str">
        <f>IF(Notes!CA502="","",Notes!CA502)</f>
        <v/>
      </c>
      <c r="D506" s="7" t="str">
        <f>IF(Notes!CB502="","",Notes!CB502)</f>
        <v/>
      </c>
      <c r="E506" s="7" t="str">
        <f>IF(Notes!CC502="","",Notes!CC502)</f>
        <v/>
      </c>
      <c r="F506" s="7" t="str">
        <f>IF(Notes!CD502="","",Notes!CD502)</f>
        <v/>
      </c>
      <c r="G506" s="7" t="str">
        <f>IF(Notes!CE502="","",Notes!CE502)</f>
        <v/>
      </c>
      <c r="H506" s="7" t="str">
        <f>IF(Notes!CF502="","",Notes!CF502)</f>
        <v/>
      </c>
      <c r="I506" s="7"/>
      <c r="J506" s="7"/>
      <c r="K506" s="7"/>
    </row>
    <row r="507" spans="1:11" x14ac:dyDescent="0.35">
      <c r="A507" s="7" t="str">
        <f>IF(Notes!BY503="","",Notes!BY503)</f>
        <v/>
      </c>
      <c r="B507" s="7" t="str">
        <f>IF(Notes!BZ503="","",Notes!BZ503)</f>
        <v/>
      </c>
      <c r="C507" s="7" t="str">
        <f>IF(Notes!CA503="","",Notes!CA503)</f>
        <v/>
      </c>
      <c r="D507" s="7" t="str">
        <f>IF(Notes!CB503="","",Notes!CB503)</f>
        <v/>
      </c>
      <c r="E507" s="7" t="str">
        <f>IF(Notes!CC503="","",Notes!CC503)</f>
        <v/>
      </c>
      <c r="F507" s="7" t="str">
        <f>IF(Notes!CD503="","",Notes!CD503)</f>
        <v/>
      </c>
      <c r="G507" s="7" t="str">
        <f>IF(Notes!CE503="","",Notes!CE503)</f>
        <v/>
      </c>
      <c r="H507" s="7" t="str">
        <f>IF(Notes!CF503="","",Notes!CF503)</f>
        <v/>
      </c>
      <c r="I507" s="7"/>
      <c r="J507" s="7"/>
      <c r="K507" s="7"/>
    </row>
    <row r="508" spans="1:11" x14ac:dyDescent="0.35">
      <c r="A508" s="7" t="str">
        <f>IF(Notes!BY504="","",Notes!BY504)</f>
        <v/>
      </c>
      <c r="B508" s="7" t="str">
        <f>IF(Notes!BZ504="","",Notes!BZ504)</f>
        <v/>
      </c>
      <c r="C508" s="7" t="str">
        <f>IF(Notes!CA504="","",Notes!CA504)</f>
        <v/>
      </c>
      <c r="D508" s="7" t="str">
        <f>IF(Notes!CB504="","",Notes!CB504)</f>
        <v/>
      </c>
      <c r="E508" s="7" t="str">
        <f>IF(Notes!CC504="","",Notes!CC504)</f>
        <v/>
      </c>
      <c r="F508" s="7" t="str">
        <f>IF(Notes!CD504="","",Notes!CD504)</f>
        <v/>
      </c>
      <c r="G508" s="7" t="str">
        <f>IF(Notes!CE504="","",Notes!CE504)</f>
        <v/>
      </c>
      <c r="H508" s="7" t="str">
        <f>IF(Notes!CF504="","",Notes!CF504)</f>
        <v/>
      </c>
      <c r="I508" s="7"/>
      <c r="J508" s="7"/>
      <c r="K508" s="7"/>
    </row>
    <row r="509" spans="1:11" x14ac:dyDescent="0.35">
      <c r="A509" s="7" t="str">
        <f>IF(Notes!BY505="","",Notes!BY505)</f>
        <v/>
      </c>
      <c r="B509" s="7" t="str">
        <f>IF(Notes!BZ505="","",Notes!BZ505)</f>
        <v/>
      </c>
      <c r="C509" s="7" t="str">
        <f>IF(Notes!CA505="","",Notes!CA505)</f>
        <v/>
      </c>
      <c r="D509" s="7" t="str">
        <f>IF(Notes!CB505="","",Notes!CB505)</f>
        <v/>
      </c>
      <c r="E509" s="7" t="str">
        <f>IF(Notes!CC505="","",Notes!CC505)</f>
        <v/>
      </c>
      <c r="F509" s="7" t="str">
        <f>IF(Notes!CD505="","",Notes!CD505)</f>
        <v/>
      </c>
      <c r="G509" s="7" t="str">
        <f>IF(Notes!CE505="","",Notes!CE505)</f>
        <v/>
      </c>
      <c r="H509" s="7" t="str">
        <f>IF(Notes!CF505="","",Notes!CF505)</f>
        <v/>
      </c>
      <c r="I509" s="7"/>
      <c r="J509" s="7"/>
      <c r="K509" s="7"/>
    </row>
    <row r="510" spans="1:11" x14ac:dyDescent="0.35">
      <c r="A510" s="7" t="str">
        <f>IF(Notes!BY506="","",Notes!BY506)</f>
        <v/>
      </c>
      <c r="B510" s="7" t="str">
        <f>IF(Notes!BZ506="","",Notes!BZ506)</f>
        <v/>
      </c>
      <c r="C510" s="7" t="str">
        <f>IF(Notes!CA506="","",Notes!CA506)</f>
        <v/>
      </c>
      <c r="D510" s="7" t="str">
        <f>IF(Notes!CB506="","",Notes!CB506)</f>
        <v/>
      </c>
      <c r="E510" s="7" t="str">
        <f>IF(Notes!CC506="","",Notes!CC506)</f>
        <v/>
      </c>
      <c r="F510" s="7" t="str">
        <f>IF(Notes!CD506="","",Notes!CD506)</f>
        <v/>
      </c>
      <c r="G510" s="7" t="str">
        <f>IF(Notes!CE506="","",Notes!CE506)</f>
        <v/>
      </c>
      <c r="H510" s="7" t="str">
        <f>IF(Notes!CF506="","",Notes!CF506)</f>
        <v/>
      </c>
      <c r="I510" s="7"/>
      <c r="J510" s="7"/>
      <c r="K510" s="7"/>
    </row>
    <row r="511" spans="1:11" x14ac:dyDescent="0.35">
      <c r="A511" s="7" t="str">
        <f>IF(Notes!BY507="","",Notes!BY507)</f>
        <v/>
      </c>
      <c r="B511" s="7" t="str">
        <f>IF(Notes!BZ507="","",Notes!BZ507)</f>
        <v/>
      </c>
      <c r="C511" s="7" t="str">
        <f>IF(Notes!CA507="","",Notes!CA507)</f>
        <v/>
      </c>
      <c r="D511" s="7" t="str">
        <f>IF(Notes!CB507="","",Notes!CB507)</f>
        <v/>
      </c>
      <c r="E511" s="7" t="str">
        <f>IF(Notes!CC507="","",Notes!CC507)</f>
        <v/>
      </c>
      <c r="F511" s="7" t="str">
        <f>IF(Notes!CD507="","",Notes!CD507)</f>
        <v/>
      </c>
      <c r="G511" s="7" t="str">
        <f>IF(Notes!CE507="","",Notes!CE507)</f>
        <v/>
      </c>
      <c r="H511" s="7" t="str">
        <f>IF(Notes!CF507="","",Notes!CF507)</f>
        <v/>
      </c>
      <c r="I511" s="7"/>
      <c r="J511" s="7"/>
      <c r="K511" s="7"/>
    </row>
    <row r="512" spans="1:11" x14ac:dyDescent="0.35">
      <c r="A512" s="7" t="str">
        <f>IF(Notes!BY508="","",Notes!BY508)</f>
        <v/>
      </c>
      <c r="B512" s="7" t="str">
        <f>IF(Notes!BZ508="","",Notes!BZ508)</f>
        <v/>
      </c>
      <c r="C512" s="7" t="str">
        <f>IF(Notes!CA508="","",Notes!CA508)</f>
        <v/>
      </c>
      <c r="D512" s="7" t="str">
        <f>IF(Notes!CB508="","",Notes!CB508)</f>
        <v/>
      </c>
      <c r="E512" s="7" t="str">
        <f>IF(Notes!CC508="","",Notes!CC508)</f>
        <v/>
      </c>
      <c r="F512" s="7" t="str">
        <f>IF(Notes!CD508="","",Notes!CD508)</f>
        <v/>
      </c>
      <c r="G512" s="7" t="str">
        <f>IF(Notes!CE508="","",Notes!CE508)</f>
        <v/>
      </c>
      <c r="H512" s="7" t="str">
        <f>IF(Notes!CF508="","",Notes!CF508)</f>
        <v/>
      </c>
      <c r="I512" s="7"/>
      <c r="J512" s="7"/>
      <c r="K512" s="7"/>
    </row>
    <row r="513" spans="1:11" x14ac:dyDescent="0.35">
      <c r="A513" s="7" t="str">
        <f>IF(Notes!BY509="","",Notes!BY509)</f>
        <v/>
      </c>
      <c r="B513" s="7" t="str">
        <f>IF(Notes!BZ509="","",Notes!BZ509)</f>
        <v/>
      </c>
      <c r="C513" s="7" t="str">
        <f>IF(Notes!CA509="","",Notes!CA509)</f>
        <v/>
      </c>
      <c r="D513" s="7" t="str">
        <f>IF(Notes!CB509="","",Notes!CB509)</f>
        <v/>
      </c>
      <c r="E513" s="7" t="str">
        <f>IF(Notes!CC509="","",Notes!CC509)</f>
        <v/>
      </c>
      <c r="F513" s="7" t="str">
        <f>IF(Notes!CD509="","",Notes!CD509)</f>
        <v/>
      </c>
      <c r="G513" s="7" t="str">
        <f>IF(Notes!CE509="","",Notes!CE509)</f>
        <v/>
      </c>
      <c r="H513" s="7" t="str">
        <f>IF(Notes!CF509="","",Notes!CF509)</f>
        <v/>
      </c>
      <c r="I513" s="7"/>
      <c r="J513" s="7"/>
      <c r="K513" s="7"/>
    </row>
    <row r="514" spans="1:11" x14ac:dyDescent="0.35">
      <c r="A514" s="7" t="str">
        <f>IF(Notes!BY510="","",Notes!BY510)</f>
        <v/>
      </c>
      <c r="B514" s="7" t="str">
        <f>IF(Notes!BZ510="","",Notes!BZ510)</f>
        <v/>
      </c>
      <c r="C514" s="7" t="str">
        <f>IF(Notes!CA510="","",Notes!CA510)</f>
        <v/>
      </c>
      <c r="D514" s="7" t="str">
        <f>IF(Notes!CB510="","",Notes!CB510)</f>
        <v/>
      </c>
      <c r="E514" s="7" t="str">
        <f>IF(Notes!CC510="","",Notes!CC510)</f>
        <v/>
      </c>
      <c r="F514" s="7" t="str">
        <f>IF(Notes!CD510="","",Notes!CD510)</f>
        <v/>
      </c>
      <c r="G514" s="7" t="str">
        <f>IF(Notes!CE510="","",Notes!CE510)</f>
        <v/>
      </c>
      <c r="H514" s="7" t="str">
        <f>IF(Notes!CF510="","",Notes!CF510)</f>
        <v/>
      </c>
      <c r="I514" s="7"/>
      <c r="J514" s="7"/>
      <c r="K514" s="7"/>
    </row>
    <row r="515" spans="1:11" x14ac:dyDescent="0.35">
      <c r="A515" s="7" t="str">
        <f>IF(Notes!BY511="","",Notes!BY511)</f>
        <v/>
      </c>
      <c r="B515" s="7" t="str">
        <f>IF(Notes!BZ511="","",Notes!BZ511)</f>
        <v/>
      </c>
      <c r="C515" s="7" t="str">
        <f>IF(Notes!CA511="","",Notes!CA511)</f>
        <v/>
      </c>
      <c r="D515" s="7" t="str">
        <f>IF(Notes!CB511="","",Notes!CB511)</f>
        <v/>
      </c>
      <c r="E515" s="7" t="str">
        <f>IF(Notes!CC511="","",Notes!CC511)</f>
        <v/>
      </c>
      <c r="F515" s="7" t="str">
        <f>IF(Notes!CD511="","",Notes!CD511)</f>
        <v/>
      </c>
      <c r="G515" s="7" t="str">
        <f>IF(Notes!CE511="","",Notes!CE511)</f>
        <v/>
      </c>
      <c r="H515" s="7" t="str">
        <f>IF(Notes!CF511="","",Notes!CF511)</f>
        <v/>
      </c>
      <c r="I515" s="7"/>
      <c r="J515" s="7"/>
      <c r="K515" s="7"/>
    </row>
    <row r="516" spans="1:11" x14ac:dyDescent="0.35">
      <c r="A516" s="7" t="str">
        <f>IF(Notes!BY512="","",Notes!BY512)</f>
        <v/>
      </c>
      <c r="B516" s="7" t="str">
        <f>IF(Notes!BZ512="","",Notes!BZ512)</f>
        <v/>
      </c>
      <c r="C516" s="7" t="str">
        <f>IF(Notes!CA512="","",Notes!CA512)</f>
        <v/>
      </c>
      <c r="D516" s="7" t="str">
        <f>IF(Notes!CB512="","",Notes!CB512)</f>
        <v/>
      </c>
      <c r="E516" s="7" t="str">
        <f>IF(Notes!CC512="","",Notes!CC512)</f>
        <v/>
      </c>
      <c r="F516" s="7" t="str">
        <f>IF(Notes!CD512="","",Notes!CD512)</f>
        <v/>
      </c>
      <c r="G516" s="7" t="str">
        <f>IF(Notes!CE512="","",Notes!CE512)</f>
        <v/>
      </c>
      <c r="H516" s="7" t="str">
        <f>IF(Notes!CF512="","",Notes!CF512)</f>
        <v/>
      </c>
      <c r="I516" s="7"/>
      <c r="J516" s="7"/>
      <c r="K516" s="7"/>
    </row>
    <row r="517" spans="1:11" x14ac:dyDescent="0.35">
      <c r="A517" s="7" t="str">
        <f>IF(Notes!BY513="","",Notes!BY513)</f>
        <v/>
      </c>
      <c r="B517" s="7" t="str">
        <f>IF(Notes!BZ513="","",Notes!BZ513)</f>
        <v/>
      </c>
      <c r="C517" s="7" t="str">
        <f>IF(Notes!CA513="","",Notes!CA513)</f>
        <v/>
      </c>
      <c r="D517" s="7" t="str">
        <f>IF(Notes!CB513="","",Notes!CB513)</f>
        <v/>
      </c>
      <c r="E517" s="7" t="str">
        <f>IF(Notes!CC513="","",Notes!CC513)</f>
        <v/>
      </c>
      <c r="F517" s="7" t="str">
        <f>IF(Notes!CD513="","",Notes!CD513)</f>
        <v/>
      </c>
      <c r="G517" s="7" t="str">
        <f>IF(Notes!CE513="","",Notes!CE513)</f>
        <v/>
      </c>
      <c r="H517" s="7" t="str">
        <f>IF(Notes!CF513="","",Notes!CF513)</f>
        <v/>
      </c>
      <c r="I517" s="7"/>
      <c r="J517" s="7"/>
      <c r="K517" s="7"/>
    </row>
    <row r="518" spans="1:11" x14ac:dyDescent="0.35">
      <c r="A518" s="7" t="str">
        <f>IF(Notes!BY514="","",Notes!BY514)</f>
        <v/>
      </c>
      <c r="B518" s="7" t="str">
        <f>IF(Notes!BZ514="","",Notes!BZ514)</f>
        <v/>
      </c>
      <c r="C518" s="7" t="str">
        <f>IF(Notes!CA514="","",Notes!CA514)</f>
        <v/>
      </c>
      <c r="D518" s="7" t="str">
        <f>IF(Notes!CB514="","",Notes!CB514)</f>
        <v/>
      </c>
      <c r="E518" s="7" t="str">
        <f>IF(Notes!CC514="","",Notes!CC514)</f>
        <v/>
      </c>
      <c r="F518" s="7" t="str">
        <f>IF(Notes!CD514="","",Notes!CD514)</f>
        <v/>
      </c>
      <c r="G518" s="7" t="str">
        <f>IF(Notes!CE514="","",Notes!CE514)</f>
        <v/>
      </c>
      <c r="H518" s="7" t="str">
        <f>IF(Notes!CF514="","",Notes!CF514)</f>
        <v/>
      </c>
      <c r="I518" s="7"/>
      <c r="J518" s="7"/>
      <c r="K518" s="7"/>
    </row>
    <row r="519" spans="1:11" x14ac:dyDescent="0.35">
      <c r="A519" s="7" t="str">
        <f>IF(Notes!BY515="","",Notes!BY515)</f>
        <v/>
      </c>
      <c r="B519" s="7" t="str">
        <f>IF(Notes!BZ515="","",Notes!BZ515)</f>
        <v/>
      </c>
      <c r="C519" s="7" t="str">
        <f>IF(Notes!CA515="","",Notes!CA515)</f>
        <v/>
      </c>
      <c r="D519" s="7" t="str">
        <f>IF(Notes!CB515="","",Notes!CB515)</f>
        <v/>
      </c>
      <c r="E519" s="7" t="str">
        <f>IF(Notes!CC515="","",Notes!CC515)</f>
        <v/>
      </c>
      <c r="F519" s="7" t="str">
        <f>IF(Notes!CD515="","",Notes!CD515)</f>
        <v/>
      </c>
      <c r="G519" s="7" t="str">
        <f>IF(Notes!CE515="","",Notes!CE515)</f>
        <v/>
      </c>
      <c r="H519" s="7" t="str">
        <f>IF(Notes!CF515="","",Notes!CF515)</f>
        <v/>
      </c>
      <c r="I519" s="7"/>
      <c r="J519" s="7"/>
      <c r="K519" s="7"/>
    </row>
    <row r="520" spans="1:11" x14ac:dyDescent="0.35">
      <c r="A520" s="7" t="str">
        <f>IF(Notes!BY516="","",Notes!BY516)</f>
        <v/>
      </c>
      <c r="B520" s="7" t="str">
        <f>IF(Notes!BZ516="","",Notes!BZ516)</f>
        <v/>
      </c>
      <c r="C520" s="7" t="str">
        <f>IF(Notes!CA516="","",Notes!CA516)</f>
        <v/>
      </c>
      <c r="D520" s="7" t="str">
        <f>IF(Notes!CB516="","",Notes!CB516)</f>
        <v/>
      </c>
      <c r="E520" s="7" t="str">
        <f>IF(Notes!CC516="","",Notes!CC516)</f>
        <v/>
      </c>
      <c r="F520" s="7" t="str">
        <f>IF(Notes!CD516="","",Notes!CD516)</f>
        <v/>
      </c>
      <c r="G520" s="7" t="str">
        <f>IF(Notes!CE516="","",Notes!CE516)</f>
        <v/>
      </c>
      <c r="H520" s="7" t="str">
        <f>IF(Notes!CF516="","",Notes!CF516)</f>
        <v/>
      </c>
      <c r="I520" s="7"/>
      <c r="J520" s="7"/>
      <c r="K520" s="7"/>
    </row>
    <row r="521" spans="1:11" x14ac:dyDescent="0.35">
      <c r="A521" s="7" t="str">
        <f>IF(Notes!BY517="","",Notes!BY517)</f>
        <v/>
      </c>
      <c r="B521" s="7" t="str">
        <f>IF(Notes!BZ517="","",Notes!BZ517)</f>
        <v/>
      </c>
      <c r="C521" s="7" t="str">
        <f>IF(Notes!CA517="","",Notes!CA517)</f>
        <v/>
      </c>
      <c r="D521" s="7" t="str">
        <f>IF(Notes!CB517="","",Notes!CB517)</f>
        <v/>
      </c>
      <c r="E521" s="7" t="str">
        <f>IF(Notes!CC517="","",Notes!CC517)</f>
        <v/>
      </c>
      <c r="F521" s="7" t="str">
        <f>IF(Notes!CD517="","",Notes!CD517)</f>
        <v/>
      </c>
      <c r="G521" s="7" t="str">
        <f>IF(Notes!CE517="","",Notes!CE517)</f>
        <v/>
      </c>
      <c r="H521" s="7" t="str">
        <f>IF(Notes!CF517="","",Notes!CF517)</f>
        <v/>
      </c>
      <c r="I521" s="7"/>
      <c r="J521" s="7"/>
      <c r="K521" s="7"/>
    </row>
    <row r="522" spans="1:11" x14ac:dyDescent="0.35">
      <c r="A522" s="7" t="str">
        <f>IF(Notes!BY518="","",Notes!BY518)</f>
        <v/>
      </c>
      <c r="B522" s="7" t="str">
        <f>IF(Notes!BZ518="","",Notes!BZ518)</f>
        <v/>
      </c>
      <c r="C522" s="7" t="str">
        <f>IF(Notes!CA518="","",Notes!CA518)</f>
        <v/>
      </c>
      <c r="D522" s="7" t="str">
        <f>IF(Notes!CB518="","",Notes!CB518)</f>
        <v/>
      </c>
      <c r="E522" s="7" t="str">
        <f>IF(Notes!CC518="","",Notes!CC518)</f>
        <v/>
      </c>
      <c r="F522" s="7" t="str">
        <f>IF(Notes!CD518="","",Notes!CD518)</f>
        <v/>
      </c>
      <c r="G522" s="7" t="str">
        <f>IF(Notes!CE518="","",Notes!CE518)</f>
        <v/>
      </c>
      <c r="H522" s="7" t="str">
        <f>IF(Notes!CF518="","",Notes!CF518)</f>
        <v/>
      </c>
      <c r="I522" s="7"/>
      <c r="J522" s="7"/>
      <c r="K522" s="7"/>
    </row>
    <row r="523" spans="1:11" x14ac:dyDescent="0.35">
      <c r="A523" s="7" t="str">
        <f>IF(Notes!BY519="","",Notes!BY519)</f>
        <v/>
      </c>
      <c r="B523" s="7" t="str">
        <f>IF(Notes!BZ519="","",Notes!BZ519)</f>
        <v/>
      </c>
      <c r="C523" s="7" t="str">
        <f>IF(Notes!CA519="","",Notes!CA519)</f>
        <v/>
      </c>
      <c r="D523" s="7" t="str">
        <f>IF(Notes!CB519="","",Notes!CB519)</f>
        <v/>
      </c>
      <c r="E523" s="7" t="str">
        <f>IF(Notes!CC519="","",Notes!CC519)</f>
        <v/>
      </c>
      <c r="F523" s="7" t="str">
        <f>IF(Notes!CD519="","",Notes!CD519)</f>
        <v/>
      </c>
      <c r="G523" s="7" t="str">
        <f>IF(Notes!CE519="","",Notes!CE519)</f>
        <v/>
      </c>
      <c r="H523" s="7" t="str">
        <f>IF(Notes!CF519="","",Notes!CF519)</f>
        <v/>
      </c>
      <c r="I523" s="7"/>
      <c r="J523" s="7"/>
      <c r="K523" s="7"/>
    </row>
    <row r="524" spans="1:11" x14ac:dyDescent="0.35">
      <c r="A524" s="7" t="str">
        <f>IF(Notes!BY520="","",Notes!BY520)</f>
        <v/>
      </c>
      <c r="B524" s="7" t="str">
        <f>IF(Notes!BZ520="","",Notes!BZ520)</f>
        <v/>
      </c>
      <c r="C524" s="7" t="str">
        <f>IF(Notes!CA520="","",Notes!CA520)</f>
        <v/>
      </c>
      <c r="D524" s="7" t="str">
        <f>IF(Notes!CB520="","",Notes!CB520)</f>
        <v/>
      </c>
      <c r="E524" s="7" t="str">
        <f>IF(Notes!CC520="","",Notes!CC520)</f>
        <v/>
      </c>
      <c r="F524" s="7" t="str">
        <f>IF(Notes!CD520="","",Notes!CD520)</f>
        <v/>
      </c>
      <c r="G524" s="7" t="str">
        <f>IF(Notes!CE520="","",Notes!CE520)</f>
        <v/>
      </c>
      <c r="H524" s="7" t="str">
        <f>IF(Notes!CF520="","",Notes!CF520)</f>
        <v/>
      </c>
      <c r="I524" s="7"/>
      <c r="J524" s="7"/>
      <c r="K524" s="7"/>
    </row>
    <row r="525" spans="1:11" x14ac:dyDescent="0.35">
      <c r="A525" s="7" t="str">
        <f>IF(Notes!BY521="","",Notes!BY521)</f>
        <v/>
      </c>
      <c r="B525" s="7" t="str">
        <f>IF(Notes!BZ521="","",Notes!BZ521)</f>
        <v/>
      </c>
      <c r="C525" s="7" t="str">
        <f>IF(Notes!CA521="","",Notes!CA521)</f>
        <v/>
      </c>
      <c r="D525" s="7" t="str">
        <f>IF(Notes!CB521="","",Notes!CB521)</f>
        <v/>
      </c>
      <c r="E525" s="7" t="str">
        <f>IF(Notes!CC521="","",Notes!CC521)</f>
        <v/>
      </c>
      <c r="F525" s="7" t="str">
        <f>IF(Notes!CD521="","",Notes!CD521)</f>
        <v/>
      </c>
      <c r="G525" s="7" t="str">
        <f>IF(Notes!CE521="","",Notes!CE521)</f>
        <v/>
      </c>
      <c r="H525" s="7" t="str">
        <f>IF(Notes!CF521="","",Notes!CF521)</f>
        <v/>
      </c>
      <c r="I525" s="7"/>
      <c r="J525" s="7"/>
      <c r="K525" s="7"/>
    </row>
    <row r="526" spans="1:11" x14ac:dyDescent="0.35">
      <c r="A526" s="7" t="str">
        <f>IF(Notes!BY522="","",Notes!BY522)</f>
        <v/>
      </c>
      <c r="B526" s="7" t="str">
        <f>IF(Notes!BZ522="","",Notes!BZ522)</f>
        <v/>
      </c>
      <c r="C526" s="7" t="str">
        <f>IF(Notes!CA522="","",Notes!CA522)</f>
        <v/>
      </c>
      <c r="D526" s="7" t="str">
        <f>IF(Notes!CB522="","",Notes!CB522)</f>
        <v/>
      </c>
      <c r="E526" s="7" t="str">
        <f>IF(Notes!CC522="","",Notes!CC522)</f>
        <v/>
      </c>
      <c r="F526" s="7" t="str">
        <f>IF(Notes!CD522="","",Notes!CD522)</f>
        <v/>
      </c>
      <c r="G526" s="7" t="str">
        <f>IF(Notes!CE522="","",Notes!CE522)</f>
        <v/>
      </c>
      <c r="H526" s="7" t="str">
        <f>IF(Notes!CF522="","",Notes!CF522)</f>
        <v/>
      </c>
      <c r="I526" s="7"/>
      <c r="J526" s="7"/>
      <c r="K526" s="7"/>
    </row>
    <row r="527" spans="1:11" x14ac:dyDescent="0.35">
      <c r="A527" s="7" t="str">
        <f>IF(Notes!BY523="","",Notes!BY523)</f>
        <v/>
      </c>
      <c r="B527" s="7" t="str">
        <f>IF(Notes!BZ523="","",Notes!BZ523)</f>
        <v/>
      </c>
      <c r="C527" s="7" t="str">
        <f>IF(Notes!CA523="","",Notes!CA523)</f>
        <v/>
      </c>
      <c r="D527" s="7" t="str">
        <f>IF(Notes!CB523="","",Notes!CB523)</f>
        <v/>
      </c>
      <c r="E527" s="7" t="str">
        <f>IF(Notes!CC523="","",Notes!CC523)</f>
        <v/>
      </c>
      <c r="F527" s="7" t="str">
        <f>IF(Notes!CD523="","",Notes!CD523)</f>
        <v/>
      </c>
      <c r="G527" s="7" t="str">
        <f>IF(Notes!CE523="","",Notes!CE523)</f>
        <v/>
      </c>
      <c r="H527" s="7" t="str">
        <f>IF(Notes!CF523="","",Notes!CF523)</f>
        <v/>
      </c>
      <c r="I527" s="7"/>
      <c r="J527" s="7"/>
      <c r="K527" s="7"/>
    </row>
    <row r="528" spans="1:11" x14ac:dyDescent="0.35">
      <c r="A528" s="7" t="str">
        <f>IF(Notes!BY524="","",Notes!BY524)</f>
        <v/>
      </c>
      <c r="B528" s="7" t="str">
        <f>IF(Notes!BZ524="","",Notes!BZ524)</f>
        <v/>
      </c>
      <c r="C528" s="7" t="str">
        <f>IF(Notes!CA524="","",Notes!CA524)</f>
        <v/>
      </c>
      <c r="D528" s="7" t="str">
        <f>IF(Notes!CB524="","",Notes!CB524)</f>
        <v/>
      </c>
      <c r="E528" s="7" t="str">
        <f>IF(Notes!CC524="","",Notes!CC524)</f>
        <v/>
      </c>
      <c r="F528" s="7" t="str">
        <f>IF(Notes!CD524="","",Notes!CD524)</f>
        <v/>
      </c>
      <c r="G528" s="7" t="str">
        <f>IF(Notes!CE524="","",Notes!CE524)</f>
        <v/>
      </c>
      <c r="H528" s="7" t="str">
        <f>IF(Notes!CF524="","",Notes!CF524)</f>
        <v/>
      </c>
      <c r="I528" s="7"/>
      <c r="J528" s="7"/>
      <c r="K528" s="7"/>
    </row>
    <row r="529" spans="1:11" x14ac:dyDescent="0.35">
      <c r="A529" s="7" t="str">
        <f>IF(Notes!BY525="","",Notes!BY525)</f>
        <v/>
      </c>
      <c r="B529" s="7" t="str">
        <f>IF(Notes!BZ525="","",Notes!BZ525)</f>
        <v/>
      </c>
      <c r="C529" s="7" t="str">
        <f>IF(Notes!CA525="","",Notes!CA525)</f>
        <v/>
      </c>
      <c r="D529" s="7" t="str">
        <f>IF(Notes!CB525="","",Notes!CB525)</f>
        <v/>
      </c>
      <c r="E529" s="7" t="str">
        <f>IF(Notes!CC525="","",Notes!CC525)</f>
        <v/>
      </c>
      <c r="F529" s="7" t="str">
        <f>IF(Notes!CD525="","",Notes!CD525)</f>
        <v/>
      </c>
      <c r="G529" s="7" t="str">
        <f>IF(Notes!CE525="","",Notes!CE525)</f>
        <v/>
      </c>
      <c r="H529" s="7" t="str">
        <f>IF(Notes!CF525="","",Notes!CF525)</f>
        <v/>
      </c>
      <c r="I529" s="7"/>
      <c r="J529" s="7"/>
      <c r="K529" s="7"/>
    </row>
    <row r="530" spans="1:11" x14ac:dyDescent="0.35">
      <c r="A530" s="7" t="str">
        <f>IF(Notes!BY526="","",Notes!BY526)</f>
        <v/>
      </c>
      <c r="B530" s="7" t="str">
        <f>IF(Notes!BZ526="","",Notes!BZ526)</f>
        <v/>
      </c>
      <c r="C530" s="7" t="str">
        <f>IF(Notes!CA526="","",Notes!CA526)</f>
        <v/>
      </c>
      <c r="D530" s="7" t="str">
        <f>IF(Notes!CB526="","",Notes!CB526)</f>
        <v/>
      </c>
      <c r="E530" s="7" t="str">
        <f>IF(Notes!CC526="","",Notes!CC526)</f>
        <v/>
      </c>
      <c r="F530" s="7" t="str">
        <f>IF(Notes!CD526="","",Notes!CD526)</f>
        <v/>
      </c>
      <c r="G530" s="7" t="str">
        <f>IF(Notes!CE526="","",Notes!CE526)</f>
        <v/>
      </c>
      <c r="H530" s="7" t="str">
        <f>IF(Notes!CF526="","",Notes!CF526)</f>
        <v/>
      </c>
      <c r="I530" s="7"/>
      <c r="J530" s="7"/>
      <c r="K530" s="7"/>
    </row>
    <row r="531" spans="1:11" x14ac:dyDescent="0.35">
      <c r="A531" s="7" t="str">
        <f>IF(Notes!BY527="","",Notes!BY527)</f>
        <v/>
      </c>
      <c r="B531" s="7" t="str">
        <f>IF(Notes!BZ527="","",Notes!BZ527)</f>
        <v/>
      </c>
      <c r="C531" s="7" t="str">
        <f>IF(Notes!CA527="","",Notes!CA527)</f>
        <v/>
      </c>
      <c r="D531" s="7" t="str">
        <f>IF(Notes!CB527="","",Notes!CB527)</f>
        <v/>
      </c>
      <c r="E531" s="7" t="str">
        <f>IF(Notes!CC527="","",Notes!CC527)</f>
        <v/>
      </c>
      <c r="F531" s="7" t="str">
        <f>IF(Notes!CD527="","",Notes!CD527)</f>
        <v/>
      </c>
      <c r="G531" s="7" t="str">
        <f>IF(Notes!CE527="","",Notes!CE527)</f>
        <v/>
      </c>
      <c r="H531" s="7" t="str">
        <f>IF(Notes!CF527="","",Notes!CF527)</f>
        <v/>
      </c>
      <c r="I531" s="7"/>
      <c r="J531" s="7"/>
      <c r="K531" s="7"/>
    </row>
    <row r="532" spans="1:11" x14ac:dyDescent="0.35">
      <c r="A532" s="7" t="str">
        <f>IF(Notes!BY528="","",Notes!BY528)</f>
        <v/>
      </c>
      <c r="B532" s="7" t="str">
        <f>IF(Notes!BZ528="","",Notes!BZ528)</f>
        <v/>
      </c>
      <c r="C532" s="7" t="str">
        <f>IF(Notes!CA528="","",Notes!CA528)</f>
        <v/>
      </c>
      <c r="D532" s="7" t="str">
        <f>IF(Notes!CB528="","",Notes!CB528)</f>
        <v/>
      </c>
      <c r="E532" s="7" t="str">
        <f>IF(Notes!CC528="","",Notes!CC528)</f>
        <v/>
      </c>
      <c r="F532" s="7" t="str">
        <f>IF(Notes!CD528="","",Notes!CD528)</f>
        <v/>
      </c>
      <c r="G532" s="7" t="str">
        <f>IF(Notes!CE528="","",Notes!CE528)</f>
        <v/>
      </c>
      <c r="H532" s="7" t="str">
        <f>IF(Notes!CF528="","",Notes!CF528)</f>
        <v/>
      </c>
      <c r="I532" s="7"/>
      <c r="J532" s="7"/>
      <c r="K532" s="7"/>
    </row>
    <row r="533" spans="1:11" x14ac:dyDescent="0.35">
      <c r="A533" s="7" t="str">
        <f>IF(Notes!BY529="","",Notes!BY529)</f>
        <v/>
      </c>
      <c r="B533" s="7" t="str">
        <f>IF(Notes!BZ529="","",Notes!BZ529)</f>
        <v/>
      </c>
      <c r="C533" s="7" t="str">
        <f>IF(Notes!CA529="","",Notes!CA529)</f>
        <v/>
      </c>
      <c r="D533" s="7" t="str">
        <f>IF(Notes!CB529="","",Notes!CB529)</f>
        <v/>
      </c>
      <c r="E533" s="7" t="str">
        <f>IF(Notes!CC529="","",Notes!CC529)</f>
        <v/>
      </c>
      <c r="F533" s="7" t="str">
        <f>IF(Notes!CD529="","",Notes!CD529)</f>
        <v/>
      </c>
      <c r="G533" s="7" t="str">
        <f>IF(Notes!CE529="","",Notes!CE529)</f>
        <v/>
      </c>
      <c r="H533" s="7" t="str">
        <f>IF(Notes!CF529="","",Notes!CF529)</f>
        <v/>
      </c>
      <c r="I533" s="7"/>
      <c r="J533" s="7"/>
      <c r="K533" s="7"/>
    </row>
    <row r="534" spans="1:11" x14ac:dyDescent="0.35">
      <c r="A534" s="7" t="str">
        <f>IF(Notes!BY530="","",Notes!BY530)</f>
        <v/>
      </c>
      <c r="B534" s="7" t="str">
        <f>IF(Notes!BZ530="","",Notes!BZ530)</f>
        <v/>
      </c>
      <c r="C534" s="7" t="str">
        <f>IF(Notes!CA530="","",Notes!CA530)</f>
        <v/>
      </c>
      <c r="D534" s="7" t="str">
        <f>IF(Notes!CB530="","",Notes!CB530)</f>
        <v/>
      </c>
      <c r="E534" s="7" t="str">
        <f>IF(Notes!CC530="","",Notes!CC530)</f>
        <v/>
      </c>
      <c r="F534" s="7" t="str">
        <f>IF(Notes!CD530="","",Notes!CD530)</f>
        <v/>
      </c>
      <c r="G534" s="7" t="str">
        <f>IF(Notes!CE530="","",Notes!CE530)</f>
        <v/>
      </c>
      <c r="H534" s="7" t="str">
        <f>IF(Notes!CF530="","",Notes!CF530)</f>
        <v/>
      </c>
      <c r="I534" s="7"/>
      <c r="J534" s="7"/>
      <c r="K534" s="7"/>
    </row>
    <row r="535" spans="1:11" x14ac:dyDescent="0.35">
      <c r="A535" s="7" t="str">
        <f>IF(Notes!BY531="","",Notes!BY531)</f>
        <v/>
      </c>
      <c r="B535" s="7" t="str">
        <f>IF(Notes!BZ531="","",Notes!BZ531)</f>
        <v/>
      </c>
      <c r="C535" s="7" t="str">
        <f>IF(Notes!CA531="","",Notes!CA531)</f>
        <v/>
      </c>
      <c r="D535" s="7" t="str">
        <f>IF(Notes!CB531="","",Notes!CB531)</f>
        <v/>
      </c>
      <c r="E535" s="7" t="str">
        <f>IF(Notes!CC531="","",Notes!CC531)</f>
        <v/>
      </c>
      <c r="F535" s="7" t="str">
        <f>IF(Notes!CD531="","",Notes!CD531)</f>
        <v/>
      </c>
      <c r="G535" s="7" t="str">
        <f>IF(Notes!CE531="","",Notes!CE531)</f>
        <v/>
      </c>
      <c r="H535" s="7" t="str">
        <f>IF(Notes!CF531="","",Notes!CF531)</f>
        <v/>
      </c>
      <c r="I535" s="7"/>
      <c r="J535" s="7"/>
      <c r="K535" s="7"/>
    </row>
    <row r="536" spans="1:11" x14ac:dyDescent="0.35">
      <c r="A536" s="7" t="str">
        <f>IF(Notes!BY532="","",Notes!BY532)</f>
        <v/>
      </c>
      <c r="B536" s="7" t="str">
        <f>IF(Notes!BZ532="","",Notes!BZ532)</f>
        <v/>
      </c>
      <c r="C536" s="7" t="str">
        <f>IF(Notes!CA532="","",Notes!CA532)</f>
        <v/>
      </c>
      <c r="D536" s="7" t="str">
        <f>IF(Notes!CB532="","",Notes!CB532)</f>
        <v/>
      </c>
      <c r="E536" s="7" t="str">
        <f>IF(Notes!CC532="","",Notes!CC532)</f>
        <v/>
      </c>
      <c r="F536" s="7" t="str">
        <f>IF(Notes!CD532="","",Notes!CD532)</f>
        <v/>
      </c>
      <c r="G536" s="7" t="str">
        <f>IF(Notes!CE532="","",Notes!CE532)</f>
        <v/>
      </c>
      <c r="H536" s="7" t="str">
        <f>IF(Notes!CF532="","",Notes!CF532)</f>
        <v/>
      </c>
      <c r="I536" s="7"/>
      <c r="J536" s="7"/>
      <c r="K536" s="7"/>
    </row>
    <row r="537" spans="1:11" x14ac:dyDescent="0.35">
      <c r="A537" s="7" t="str">
        <f>IF(Notes!BY533="","",Notes!BY533)</f>
        <v/>
      </c>
      <c r="B537" s="7" t="str">
        <f>IF(Notes!BZ533="","",Notes!BZ533)</f>
        <v/>
      </c>
      <c r="C537" s="7" t="str">
        <f>IF(Notes!CA533="","",Notes!CA533)</f>
        <v/>
      </c>
      <c r="D537" s="7" t="str">
        <f>IF(Notes!CB533="","",Notes!CB533)</f>
        <v/>
      </c>
      <c r="E537" s="7" t="str">
        <f>IF(Notes!CC533="","",Notes!CC533)</f>
        <v/>
      </c>
      <c r="F537" s="7" t="str">
        <f>IF(Notes!CD533="","",Notes!CD533)</f>
        <v/>
      </c>
      <c r="G537" s="7" t="str">
        <f>IF(Notes!CE533="","",Notes!CE533)</f>
        <v/>
      </c>
      <c r="H537" s="7" t="str">
        <f>IF(Notes!CF533="","",Notes!CF533)</f>
        <v/>
      </c>
      <c r="I537" s="7"/>
      <c r="J537" s="7"/>
      <c r="K537" s="7"/>
    </row>
    <row r="538" spans="1:11" x14ac:dyDescent="0.35">
      <c r="A538" s="7" t="str">
        <f>IF(Notes!BY534="","",Notes!BY534)</f>
        <v/>
      </c>
      <c r="B538" s="7" t="str">
        <f>IF(Notes!BZ534="","",Notes!BZ534)</f>
        <v/>
      </c>
      <c r="C538" s="7" t="str">
        <f>IF(Notes!CA534="","",Notes!CA534)</f>
        <v/>
      </c>
      <c r="D538" s="7" t="str">
        <f>IF(Notes!CB534="","",Notes!CB534)</f>
        <v/>
      </c>
      <c r="E538" s="7" t="str">
        <f>IF(Notes!CC534="","",Notes!CC534)</f>
        <v/>
      </c>
      <c r="F538" s="7" t="str">
        <f>IF(Notes!CD534="","",Notes!CD534)</f>
        <v/>
      </c>
      <c r="G538" s="7" t="str">
        <f>IF(Notes!CE534="","",Notes!CE534)</f>
        <v/>
      </c>
      <c r="H538" s="7" t="str">
        <f>IF(Notes!CF534="","",Notes!CF534)</f>
        <v/>
      </c>
      <c r="I538" s="7"/>
      <c r="J538" s="7"/>
      <c r="K538" s="7"/>
    </row>
    <row r="539" spans="1:11" x14ac:dyDescent="0.35">
      <c r="A539" s="7" t="str">
        <f>IF(Notes!BY535="","",Notes!BY535)</f>
        <v/>
      </c>
      <c r="B539" s="7" t="str">
        <f>IF(Notes!BZ535="","",Notes!BZ535)</f>
        <v/>
      </c>
      <c r="C539" s="7" t="str">
        <f>IF(Notes!CA535="","",Notes!CA535)</f>
        <v/>
      </c>
      <c r="D539" s="7" t="str">
        <f>IF(Notes!CB535="","",Notes!CB535)</f>
        <v/>
      </c>
      <c r="E539" s="7" t="str">
        <f>IF(Notes!CC535="","",Notes!CC535)</f>
        <v/>
      </c>
      <c r="F539" s="7" t="str">
        <f>IF(Notes!CD535="","",Notes!CD535)</f>
        <v/>
      </c>
      <c r="G539" s="7" t="str">
        <f>IF(Notes!CE535="","",Notes!CE535)</f>
        <v/>
      </c>
      <c r="H539" s="7" t="str">
        <f>IF(Notes!CF535="","",Notes!CF535)</f>
        <v/>
      </c>
      <c r="I539" s="7"/>
      <c r="J539" s="7"/>
      <c r="K539" s="7"/>
    </row>
    <row r="540" spans="1:11" x14ac:dyDescent="0.35">
      <c r="A540" s="7" t="str">
        <f>IF(Notes!BY536="","",Notes!BY536)</f>
        <v/>
      </c>
      <c r="B540" s="7" t="str">
        <f>IF(Notes!BZ536="","",Notes!BZ536)</f>
        <v/>
      </c>
      <c r="C540" s="7" t="str">
        <f>IF(Notes!CA536="","",Notes!CA536)</f>
        <v/>
      </c>
      <c r="D540" s="7" t="str">
        <f>IF(Notes!CB536="","",Notes!CB536)</f>
        <v/>
      </c>
      <c r="E540" s="7" t="str">
        <f>IF(Notes!CC536="","",Notes!CC536)</f>
        <v/>
      </c>
      <c r="F540" s="7" t="str">
        <f>IF(Notes!CD536="","",Notes!CD536)</f>
        <v/>
      </c>
      <c r="G540" s="7" t="str">
        <f>IF(Notes!CE536="","",Notes!CE536)</f>
        <v/>
      </c>
      <c r="H540" s="7" t="str">
        <f>IF(Notes!CF536="","",Notes!CF536)</f>
        <v/>
      </c>
      <c r="I540" s="7"/>
      <c r="J540" s="7"/>
      <c r="K540" s="7"/>
    </row>
    <row r="541" spans="1:11" x14ac:dyDescent="0.35">
      <c r="A541" s="7" t="str">
        <f>IF(Notes!BY537="","",Notes!BY537)</f>
        <v/>
      </c>
      <c r="B541" s="7" t="str">
        <f>IF(Notes!BZ537="","",Notes!BZ537)</f>
        <v/>
      </c>
      <c r="C541" s="7" t="str">
        <f>IF(Notes!CA537="","",Notes!CA537)</f>
        <v/>
      </c>
      <c r="D541" s="7" t="str">
        <f>IF(Notes!CB537="","",Notes!CB537)</f>
        <v/>
      </c>
      <c r="E541" s="7" t="str">
        <f>IF(Notes!CC537="","",Notes!CC537)</f>
        <v/>
      </c>
      <c r="F541" s="7" t="str">
        <f>IF(Notes!CD537="","",Notes!CD537)</f>
        <v/>
      </c>
      <c r="G541" s="7" t="str">
        <f>IF(Notes!CE537="","",Notes!CE537)</f>
        <v/>
      </c>
      <c r="H541" s="7" t="str">
        <f>IF(Notes!CF537="","",Notes!CF537)</f>
        <v/>
      </c>
      <c r="I541" s="7"/>
      <c r="J541" s="7"/>
      <c r="K541" s="7"/>
    </row>
    <row r="542" spans="1:11" x14ac:dyDescent="0.35">
      <c r="A542" s="7" t="str">
        <f>IF(Notes!BY538="","",Notes!BY538)</f>
        <v/>
      </c>
      <c r="B542" s="7" t="str">
        <f>IF(Notes!BZ538="","",Notes!BZ538)</f>
        <v/>
      </c>
      <c r="C542" s="7" t="str">
        <f>IF(Notes!CA538="","",Notes!CA538)</f>
        <v/>
      </c>
      <c r="D542" s="7" t="str">
        <f>IF(Notes!CB538="","",Notes!CB538)</f>
        <v/>
      </c>
      <c r="E542" s="7" t="str">
        <f>IF(Notes!CC538="","",Notes!CC538)</f>
        <v/>
      </c>
      <c r="F542" s="7" t="str">
        <f>IF(Notes!CD538="","",Notes!CD538)</f>
        <v/>
      </c>
      <c r="G542" s="7" t="str">
        <f>IF(Notes!CE538="","",Notes!CE538)</f>
        <v/>
      </c>
      <c r="H542" s="7" t="str">
        <f>IF(Notes!CF538="","",Notes!CF538)</f>
        <v/>
      </c>
      <c r="I542" s="7"/>
      <c r="J542" s="7"/>
      <c r="K542" s="7"/>
    </row>
    <row r="543" spans="1:11" x14ac:dyDescent="0.35">
      <c r="A543" s="7" t="str">
        <f>IF(Notes!BY539="","",Notes!BY539)</f>
        <v/>
      </c>
      <c r="B543" s="7" t="str">
        <f>IF(Notes!BZ539="","",Notes!BZ539)</f>
        <v/>
      </c>
      <c r="C543" s="7" t="str">
        <f>IF(Notes!CA539="","",Notes!CA539)</f>
        <v/>
      </c>
      <c r="D543" s="7" t="str">
        <f>IF(Notes!CB539="","",Notes!CB539)</f>
        <v/>
      </c>
      <c r="E543" s="7" t="str">
        <f>IF(Notes!CC539="","",Notes!CC539)</f>
        <v/>
      </c>
      <c r="F543" s="7" t="str">
        <f>IF(Notes!CD539="","",Notes!CD539)</f>
        <v/>
      </c>
      <c r="G543" s="7" t="str">
        <f>IF(Notes!CE539="","",Notes!CE539)</f>
        <v/>
      </c>
      <c r="H543" s="7" t="str">
        <f>IF(Notes!CF539="","",Notes!CF539)</f>
        <v/>
      </c>
      <c r="I543" s="7"/>
      <c r="J543" s="7"/>
      <c r="K543" s="7"/>
    </row>
    <row r="544" spans="1:11" x14ac:dyDescent="0.35">
      <c r="A544" s="7" t="str">
        <f>IF(Notes!BY540="","",Notes!BY540)</f>
        <v/>
      </c>
      <c r="B544" s="7" t="str">
        <f>IF(Notes!BZ540="","",Notes!BZ540)</f>
        <v/>
      </c>
      <c r="C544" s="7" t="str">
        <f>IF(Notes!CA540="","",Notes!CA540)</f>
        <v/>
      </c>
      <c r="D544" s="7" t="str">
        <f>IF(Notes!CB540="","",Notes!CB540)</f>
        <v/>
      </c>
      <c r="E544" s="7" t="str">
        <f>IF(Notes!CC540="","",Notes!CC540)</f>
        <v/>
      </c>
      <c r="F544" s="7" t="str">
        <f>IF(Notes!CD540="","",Notes!CD540)</f>
        <v/>
      </c>
      <c r="G544" s="7" t="str">
        <f>IF(Notes!CE540="","",Notes!CE540)</f>
        <v/>
      </c>
      <c r="H544" s="7" t="str">
        <f>IF(Notes!CF540="","",Notes!CF540)</f>
        <v/>
      </c>
      <c r="I544" s="7"/>
      <c r="J544" s="7"/>
      <c r="K544" s="7"/>
    </row>
    <row r="545" spans="1:11" x14ac:dyDescent="0.35">
      <c r="A545" s="7" t="str">
        <f>IF(Notes!BY541="","",Notes!BY541)</f>
        <v/>
      </c>
      <c r="B545" s="7" t="str">
        <f>IF(Notes!BZ541="","",Notes!BZ541)</f>
        <v/>
      </c>
      <c r="C545" s="7" t="str">
        <f>IF(Notes!CA541="","",Notes!CA541)</f>
        <v/>
      </c>
      <c r="D545" s="7" t="str">
        <f>IF(Notes!CB541="","",Notes!CB541)</f>
        <v/>
      </c>
      <c r="E545" s="7" t="str">
        <f>IF(Notes!CC541="","",Notes!CC541)</f>
        <v/>
      </c>
      <c r="F545" s="7" t="str">
        <f>IF(Notes!CD541="","",Notes!CD541)</f>
        <v/>
      </c>
      <c r="G545" s="7" t="str">
        <f>IF(Notes!CE541="","",Notes!CE541)</f>
        <v/>
      </c>
      <c r="H545" s="7" t="str">
        <f>IF(Notes!CF541="","",Notes!CF541)</f>
        <v/>
      </c>
      <c r="I545" s="7"/>
      <c r="J545" s="7"/>
      <c r="K545" s="7"/>
    </row>
    <row r="546" spans="1:11" x14ac:dyDescent="0.35">
      <c r="A546" s="7" t="str">
        <f>IF(Notes!BY542="","",Notes!BY542)</f>
        <v/>
      </c>
      <c r="B546" s="7" t="str">
        <f>IF(Notes!BZ542="","",Notes!BZ542)</f>
        <v/>
      </c>
      <c r="C546" s="7" t="str">
        <f>IF(Notes!CA542="","",Notes!CA542)</f>
        <v/>
      </c>
      <c r="D546" s="7" t="str">
        <f>IF(Notes!CB542="","",Notes!CB542)</f>
        <v/>
      </c>
      <c r="E546" s="7" t="str">
        <f>IF(Notes!CC542="","",Notes!CC542)</f>
        <v/>
      </c>
      <c r="F546" s="7" t="str">
        <f>IF(Notes!CD542="","",Notes!CD542)</f>
        <v/>
      </c>
      <c r="G546" s="7" t="str">
        <f>IF(Notes!CE542="","",Notes!CE542)</f>
        <v/>
      </c>
      <c r="H546" s="7" t="str">
        <f>IF(Notes!CF542="","",Notes!CF542)</f>
        <v/>
      </c>
      <c r="I546" s="7"/>
      <c r="J546" s="7"/>
      <c r="K546" s="7"/>
    </row>
    <row r="547" spans="1:11" x14ac:dyDescent="0.35">
      <c r="A547" s="7" t="str">
        <f>IF(Notes!BY543="","",Notes!BY543)</f>
        <v/>
      </c>
      <c r="B547" s="7" t="str">
        <f>IF(Notes!BZ543="","",Notes!BZ543)</f>
        <v/>
      </c>
      <c r="C547" s="7" t="str">
        <f>IF(Notes!CA543="","",Notes!CA543)</f>
        <v/>
      </c>
      <c r="D547" s="7" t="str">
        <f>IF(Notes!CB543="","",Notes!CB543)</f>
        <v/>
      </c>
      <c r="E547" s="7" t="str">
        <f>IF(Notes!CC543="","",Notes!CC543)</f>
        <v/>
      </c>
      <c r="F547" s="7" t="str">
        <f>IF(Notes!CD543="","",Notes!CD543)</f>
        <v/>
      </c>
      <c r="G547" s="7" t="str">
        <f>IF(Notes!CE543="","",Notes!CE543)</f>
        <v/>
      </c>
      <c r="H547" s="7" t="str">
        <f>IF(Notes!CF543="","",Notes!CF543)</f>
        <v/>
      </c>
      <c r="I547" s="7"/>
      <c r="J547" s="7"/>
      <c r="K547" s="7"/>
    </row>
    <row r="548" spans="1:11" x14ac:dyDescent="0.35">
      <c r="A548" s="7" t="str">
        <f>IF(Notes!BY544="","",Notes!BY544)</f>
        <v/>
      </c>
      <c r="B548" s="7" t="str">
        <f>IF(Notes!BZ544="","",Notes!BZ544)</f>
        <v/>
      </c>
      <c r="C548" s="7" t="str">
        <f>IF(Notes!CA544="","",Notes!CA544)</f>
        <v/>
      </c>
      <c r="D548" s="7" t="str">
        <f>IF(Notes!CB544="","",Notes!CB544)</f>
        <v/>
      </c>
      <c r="E548" s="7" t="str">
        <f>IF(Notes!CC544="","",Notes!CC544)</f>
        <v/>
      </c>
      <c r="F548" s="7" t="str">
        <f>IF(Notes!CD544="","",Notes!CD544)</f>
        <v/>
      </c>
      <c r="G548" s="7" t="str">
        <f>IF(Notes!CE544="","",Notes!CE544)</f>
        <v/>
      </c>
      <c r="H548" s="7" t="str">
        <f>IF(Notes!CF544="","",Notes!CF544)</f>
        <v/>
      </c>
      <c r="I548" s="7"/>
      <c r="J548" s="7"/>
      <c r="K548" s="7"/>
    </row>
    <row r="549" spans="1:11" x14ac:dyDescent="0.35">
      <c r="A549" s="7" t="str">
        <f>IF(Notes!BY545="","",Notes!BY545)</f>
        <v/>
      </c>
      <c r="B549" s="7" t="str">
        <f>IF(Notes!BZ545="","",Notes!BZ545)</f>
        <v/>
      </c>
      <c r="C549" s="7" t="str">
        <f>IF(Notes!CA545="","",Notes!CA545)</f>
        <v/>
      </c>
      <c r="D549" s="7" t="str">
        <f>IF(Notes!CB545="","",Notes!CB545)</f>
        <v/>
      </c>
      <c r="E549" s="7" t="str">
        <f>IF(Notes!CC545="","",Notes!CC545)</f>
        <v/>
      </c>
      <c r="F549" s="7" t="str">
        <f>IF(Notes!CD545="","",Notes!CD545)</f>
        <v/>
      </c>
      <c r="G549" s="7" t="str">
        <f>IF(Notes!CE545="","",Notes!CE545)</f>
        <v/>
      </c>
      <c r="H549" s="7" t="str">
        <f>IF(Notes!CF545="","",Notes!CF545)</f>
        <v/>
      </c>
      <c r="I549" s="7"/>
      <c r="J549" s="7"/>
      <c r="K549" s="7"/>
    </row>
    <row r="550" spans="1:11" x14ac:dyDescent="0.35">
      <c r="A550" s="7" t="str">
        <f>IF(Notes!BY546="","",Notes!BY546)</f>
        <v/>
      </c>
      <c r="B550" s="7" t="str">
        <f>IF(Notes!BZ546="","",Notes!BZ546)</f>
        <v/>
      </c>
      <c r="C550" s="7" t="str">
        <f>IF(Notes!CA546="","",Notes!CA546)</f>
        <v/>
      </c>
      <c r="D550" s="7" t="str">
        <f>IF(Notes!CB546="","",Notes!CB546)</f>
        <v/>
      </c>
      <c r="E550" s="7" t="str">
        <f>IF(Notes!CC546="","",Notes!CC546)</f>
        <v/>
      </c>
      <c r="F550" s="7" t="str">
        <f>IF(Notes!CD546="","",Notes!CD546)</f>
        <v/>
      </c>
      <c r="G550" s="7" t="str">
        <f>IF(Notes!CE546="","",Notes!CE546)</f>
        <v/>
      </c>
      <c r="H550" s="7" t="str">
        <f>IF(Notes!CF546="","",Notes!CF546)</f>
        <v/>
      </c>
      <c r="I550" s="7"/>
      <c r="J550" s="7"/>
      <c r="K550" s="7"/>
    </row>
    <row r="551" spans="1:11" x14ac:dyDescent="0.35">
      <c r="A551" s="7" t="str">
        <f>IF(Notes!BY547="","",Notes!BY547)</f>
        <v/>
      </c>
      <c r="B551" s="7" t="str">
        <f>IF(Notes!BZ547="","",Notes!BZ547)</f>
        <v/>
      </c>
      <c r="C551" s="7" t="str">
        <f>IF(Notes!CA547="","",Notes!CA547)</f>
        <v/>
      </c>
      <c r="D551" s="7" t="str">
        <f>IF(Notes!CB547="","",Notes!CB547)</f>
        <v/>
      </c>
      <c r="E551" s="7" t="str">
        <f>IF(Notes!CC547="","",Notes!CC547)</f>
        <v/>
      </c>
      <c r="F551" s="7" t="str">
        <f>IF(Notes!CD547="","",Notes!CD547)</f>
        <v/>
      </c>
      <c r="G551" s="7" t="str">
        <f>IF(Notes!CE547="","",Notes!CE547)</f>
        <v/>
      </c>
      <c r="H551" s="7" t="str">
        <f>IF(Notes!CF547="","",Notes!CF547)</f>
        <v/>
      </c>
      <c r="I551" s="7"/>
      <c r="J551" s="7"/>
      <c r="K551" s="7"/>
    </row>
    <row r="552" spans="1:11" x14ac:dyDescent="0.35">
      <c r="A552" s="7" t="str">
        <f>IF(Notes!BY548="","",Notes!BY548)</f>
        <v/>
      </c>
      <c r="B552" s="7" t="str">
        <f>IF(Notes!BZ548="","",Notes!BZ548)</f>
        <v/>
      </c>
      <c r="C552" s="7" t="str">
        <f>IF(Notes!CA548="","",Notes!CA548)</f>
        <v/>
      </c>
      <c r="D552" s="7" t="str">
        <f>IF(Notes!CB548="","",Notes!CB548)</f>
        <v/>
      </c>
      <c r="E552" s="7" t="str">
        <f>IF(Notes!CC548="","",Notes!CC548)</f>
        <v/>
      </c>
      <c r="F552" s="7" t="str">
        <f>IF(Notes!CD548="","",Notes!CD548)</f>
        <v/>
      </c>
      <c r="G552" s="7" t="str">
        <f>IF(Notes!CE548="","",Notes!CE548)</f>
        <v/>
      </c>
      <c r="H552" s="7" t="str">
        <f>IF(Notes!CF548="","",Notes!CF548)</f>
        <v/>
      </c>
      <c r="I552" s="7"/>
      <c r="J552" s="7"/>
      <c r="K552" s="7"/>
    </row>
    <row r="553" spans="1:11" x14ac:dyDescent="0.35">
      <c r="A553" s="7" t="str">
        <f>IF(Notes!BY549="","",Notes!BY549)</f>
        <v/>
      </c>
      <c r="B553" s="7" t="str">
        <f>IF(Notes!BZ549="","",Notes!BZ549)</f>
        <v/>
      </c>
      <c r="C553" s="7" t="str">
        <f>IF(Notes!CA549="","",Notes!CA549)</f>
        <v/>
      </c>
      <c r="D553" s="7" t="str">
        <f>IF(Notes!CB549="","",Notes!CB549)</f>
        <v/>
      </c>
      <c r="E553" s="7" t="str">
        <f>IF(Notes!CC549="","",Notes!CC549)</f>
        <v/>
      </c>
      <c r="F553" s="7" t="str">
        <f>IF(Notes!CD549="","",Notes!CD549)</f>
        <v/>
      </c>
      <c r="G553" s="7" t="str">
        <f>IF(Notes!CE549="","",Notes!CE549)</f>
        <v/>
      </c>
      <c r="H553" s="7" t="str">
        <f>IF(Notes!CF549="","",Notes!CF549)</f>
        <v/>
      </c>
      <c r="I553" s="7"/>
      <c r="J553" s="7"/>
      <c r="K553" s="7"/>
    </row>
    <row r="554" spans="1:11" x14ac:dyDescent="0.35">
      <c r="A554" s="7" t="str">
        <f>IF(Notes!BY550="","",Notes!BY550)</f>
        <v/>
      </c>
      <c r="B554" s="7" t="str">
        <f>IF(Notes!BZ550="","",Notes!BZ550)</f>
        <v/>
      </c>
      <c r="C554" s="7" t="str">
        <f>IF(Notes!CA550="","",Notes!CA550)</f>
        <v/>
      </c>
      <c r="D554" s="7" t="str">
        <f>IF(Notes!CB550="","",Notes!CB550)</f>
        <v/>
      </c>
      <c r="E554" s="7" t="str">
        <f>IF(Notes!CC550="","",Notes!CC550)</f>
        <v/>
      </c>
      <c r="F554" s="7" t="str">
        <f>IF(Notes!CD550="","",Notes!CD550)</f>
        <v/>
      </c>
      <c r="G554" s="7" t="str">
        <f>IF(Notes!CE550="","",Notes!CE550)</f>
        <v/>
      </c>
      <c r="H554" s="7" t="str">
        <f>IF(Notes!CF550="","",Notes!CF550)</f>
        <v/>
      </c>
      <c r="I554" s="7"/>
      <c r="J554" s="7"/>
      <c r="K554" s="7"/>
    </row>
    <row r="555" spans="1:11" x14ac:dyDescent="0.35">
      <c r="A555" s="7" t="str">
        <f>IF(Notes!BY551="","",Notes!BY551)</f>
        <v/>
      </c>
      <c r="B555" s="7" t="str">
        <f>IF(Notes!BZ551="","",Notes!BZ551)</f>
        <v/>
      </c>
      <c r="C555" s="7" t="str">
        <f>IF(Notes!CA551="","",Notes!CA551)</f>
        <v/>
      </c>
      <c r="D555" s="7" t="str">
        <f>IF(Notes!CB551="","",Notes!CB551)</f>
        <v/>
      </c>
      <c r="E555" s="7" t="str">
        <f>IF(Notes!CC551="","",Notes!CC551)</f>
        <v/>
      </c>
      <c r="F555" s="7" t="str">
        <f>IF(Notes!CD551="","",Notes!CD551)</f>
        <v/>
      </c>
      <c r="G555" s="7" t="str">
        <f>IF(Notes!CE551="","",Notes!CE551)</f>
        <v/>
      </c>
      <c r="H555" s="7" t="str">
        <f>IF(Notes!CF551="","",Notes!CF551)</f>
        <v/>
      </c>
      <c r="I555" s="7"/>
      <c r="J555" s="7"/>
      <c r="K555" s="7"/>
    </row>
    <row r="556" spans="1:11" x14ac:dyDescent="0.35">
      <c r="A556" s="7" t="str">
        <f>IF(Notes!BY552="","",Notes!BY552)</f>
        <v/>
      </c>
      <c r="B556" s="7" t="str">
        <f>IF(Notes!BZ552="","",Notes!BZ552)</f>
        <v/>
      </c>
      <c r="C556" s="7" t="str">
        <f>IF(Notes!CA552="","",Notes!CA552)</f>
        <v/>
      </c>
      <c r="D556" s="7" t="str">
        <f>IF(Notes!CB552="","",Notes!CB552)</f>
        <v/>
      </c>
      <c r="E556" s="7" t="str">
        <f>IF(Notes!CC552="","",Notes!CC552)</f>
        <v/>
      </c>
      <c r="F556" s="7" t="str">
        <f>IF(Notes!CD552="","",Notes!CD552)</f>
        <v/>
      </c>
      <c r="G556" s="7" t="str">
        <f>IF(Notes!CE552="","",Notes!CE552)</f>
        <v/>
      </c>
      <c r="H556" s="7" t="str">
        <f>IF(Notes!CF552="","",Notes!CF552)</f>
        <v/>
      </c>
      <c r="I556" s="7"/>
      <c r="J556" s="7"/>
      <c r="K556" s="7"/>
    </row>
    <row r="557" spans="1:11" x14ac:dyDescent="0.35">
      <c r="A557" s="7" t="str">
        <f>IF(Notes!BY553="","",Notes!BY553)</f>
        <v/>
      </c>
      <c r="B557" s="7" t="str">
        <f>IF(Notes!BZ553="","",Notes!BZ553)</f>
        <v/>
      </c>
      <c r="C557" s="7" t="str">
        <f>IF(Notes!CA553="","",Notes!CA553)</f>
        <v/>
      </c>
      <c r="D557" s="7" t="str">
        <f>IF(Notes!CB553="","",Notes!CB553)</f>
        <v/>
      </c>
      <c r="E557" s="7" t="str">
        <f>IF(Notes!CC553="","",Notes!CC553)</f>
        <v/>
      </c>
      <c r="F557" s="7" t="str">
        <f>IF(Notes!CD553="","",Notes!CD553)</f>
        <v/>
      </c>
      <c r="G557" s="7" t="str">
        <f>IF(Notes!CE553="","",Notes!CE553)</f>
        <v/>
      </c>
      <c r="H557" s="7" t="str">
        <f>IF(Notes!CF553="","",Notes!CF553)</f>
        <v/>
      </c>
      <c r="I557" s="7"/>
      <c r="J557" s="7"/>
      <c r="K557" s="7"/>
    </row>
    <row r="558" spans="1:11" x14ac:dyDescent="0.35">
      <c r="A558" s="7" t="str">
        <f>IF(Notes!BY554="","",Notes!BY554)</f>
        <v/>
      </c>
      <c r="B558" s="7" t="str">
        <f>IF(Notes!BZ554="","",Notes!BZ554)</f>
        <v/>
      </c>
      <c r="C558" s="7" t="str">
        <f>IF(Notes!CA554="","",Notes!CA554)</f>
        <v/>
      </c>
      <c r="D558" s="7" t="str">
        <f>IF(Notes!CB554="","",Notes!CB554)</f>
        <v/>
      </c>
      <c r="E558" s="7" t="str">
        <f>IF(Notes!CC554="","",Notes!CC554)</f>
        <v/>
      </c>
      <c r="F558" s="7" t="str">
        <f>IF(Notes!CD554="","",Notes!CD554)</f>
        <v/>
      </c>
      <c r="G558" s="7" t="str">
        <f>IF(Notes!CE554="","",Notes!CE554)</f>
        <v/>
      </c>
      <c r="H558" s="7" t="str">
        <f>IF(Notes!CF554="","",Notes!CF554)</f>
        <v/>
      </c>
      <c r="I558" s="7"/>
      <c r="J558" s="7"/>
      <c r="K558" s="7"/>
    </row>
    <row r="559" spans="1:11" x14ac:dyDescent="0.35">
      <c r="A559" s="7" t="str">
        <f>IF(Notes!BY555="","",Notes!BY555)</f>
        <v/>
      </c>
      <c r="B559" s="7" t="str">
        <f>IF(Notes!BZ555="","",Notes!BZ555)</f>
        <v/>
      </c>
      <c r="C559" s="7" t="str">
        <f>IF(Notes!CA555="","",Notes!CA555)</f>
        <v/>
      </c>
      <c r="D559" s="7" t="str">
        <f>IF(Notes!CB555="","",Notes!CB555)</f>
        <v/>
      </c>
      <c r="E559" s="7" t="str">
        <f>IF(Notes!CC555="","",Notes!CC555)</f>
        <v/>
      </c>
      <c r="F559" s="7" t="str">
        <f>IF(Notes!CD555="","",Notes!CD555)</f>
        <v/>
      </c>
      <c r="G559" s="7" t="str">
        <f>IF(Notes!CE555="","",Notes!CE555)</f>
        <v/>
      </c>
      <c r="H559" s="7" t="str">
        <f>IF(Notes!CF555="","",Notes!CF555)</f>
        <v/>
      </c>
      <c r="I559" s="7"/>
      <c r="J559" s="7"/>
      <c r="K559" s="7"/>
    </row>
    <row r="560" spans="1:11" x14ac:dyDescent="0.35">
      <c r="A560" s="7" t="str">
        <f>IF(Notes!BY556="","",Notes!BY556)</f>
        <v/>
      </c>
      <c r="B560" s="7" t="str">
        <f>IF(Notes!BZ556="","",Notes!BZ556)</f>
        <v/>
      </c>
      <c r="C560" s="7" t="str">
        <f>IF(Notes!CA556="","",Notes!CA556)</f>
        <v/>
      </c>
      <c r="D560" s="7" t="str">
        <f>IF(Notes!CB556="","",Notes!CB556)</f>
        <v/>
      </c>
      <c r="E560" s="7" t="str">
        <f>IF(Notes!CC556="","",Notes!CC556)</f>
        <v/>
      </c>
      <c r="F560" s="7" t="str">
        <f>IF(Notes!CD556="","",Notes!CD556)</f>
        <v/>
      </c>
      <c r="G560" s="7" t="str">
        <f>IF(Notes!CE556="","",Notes!CE556)</f>
        <v/>
      </c>
      <c r="H560" s="7" t="str">
        <f>IF(Notes!CF556="","",Notes!CF556)</f>
        <v/>
      </c>
      <c r="I560" s="7"/>
      <c r="J560" s="7"/>
      <c r="K560" s="7"/>
    </row>
    <row r="561" spans="1:11" x14ac:dyDescent="0.35">
      <c r="A561" s="7" t="str">
        <f>IF(Notes!BY557="","",Notes!BY557)</f>
        <v/>
      </c>
      <c r="B561" s="7" t="str">
        <f>IF(Notes!BZ557="","",Notes!BZ557)</f>
        <v/>
      </c>
      <c r="C561" s="7" t="str">
        <f>IF(Notes!CA557="","",Notes!CA557)</f>
        <v/>
      </c>
      <c r="D561" s="7" t="str">
        <f>IF(Notes!CB557="","",Notes!CB557)</f>
        <v/>
      </c>
      <c r="E561" s="7" t="str">
        <f>IF(Notes!CC557="","",Notes!CC557)</f>
        <v/>
      </c>
      <c r="F561" s="7" t="str">
        <f>IF(Notes!CD557="","",Notes!CD557)</f>
        <v/>
      </c>
      <c r="G561" s="7" t="str">
        <f>IF(Notes!CE557="","",Notes!CE557)</f>
        <v/>
      </c>
      <c r="H561" s="7" t="str">
        <f>IF(Notes!CF557="","",Notes!CF557)</f>
        <v/>
      </c>
      <c r="I561" s="7"/>
      <c r="J561" s="7"/>
      <c r="K561" s="7"/>
    </row>
    <row r="562" spans="1:11" x14ac:dyDescent="0.35">
      <c r="A562" s="7" t="str">
        <f>IF(Notes!BY558="","",Notes!BY558)</f>
        <v/>
      </c>
      <c r="B562" s="7" t="str">
        <f>IF(Notes!BZ558="","",Notes!BZ558)</f>
        <v/>
      </c>
      <c r="C562" s="7" t="str">
        <f>IF(Notes!CA558="","",Notes!CA558)</f>
        <v/>
      </c>
      <c r="D562" s="7" t="str">
        <f>IF(Notes!CB558="","",Notes!CB558)</f>
        <v/>
      </c>
      <c r="E562" s="7" t="str">
        <f>IF(Notes!CC558="","",Notes!CC558)</f>
        <v/>
      </c>
      <c r="F562" s="7" t="str">
        <f>IF(Notes!CD558="","",Notes!CD558)</f>
        <v/>
      </c>
      <c r="G562" s="7" t="str">
        <f>IF(Notes!CE558="","",Notes!CE558)</f>
        <v/>
      </c>
      <c r="H562" s="7" t="str">
        <f>IF(Notes!CF558="","",Notes!CF558)</f>
        <v/>
      </c>
      <c r="I562" s="7"/>
      <c r="J562" s="7"/>
      <c r="K562" s="7"/>
    </row>
    <row r="563" spans="1:11" x14ac:dyDescent="0.35">
      <c r="A563" s="7" t="str">
        <f>IF(Notes!BY559="","",Notes!BY559)</f>
        <v/>
      </c>
      <c r="B563" s="7" t="str">
        <f>IF(Notes!BZ559="","",Notes!BZ559)</f>
        <v/>
      </c>
      <c r="C563" s="7" t="str">
        <f>IF(Notes!CA559="","",Notes!CA559)</f>
        <v/>
      </c>
      <c r="D563" s="7" t="str">
        <f>IF(Notes!CB559="","",Notes!CB559)</f>
        <v/>
      </c>
      <c r="E563" s="7" t="str">
        <f>IF(Notes!CC559="","",Notes!CC559)</f>
        <v/>
      </c>
      <c r="F563" s="7" t="str">
        <f>IF(Notes!CD559="","",Notes!CD559)</f>
        <v/>
      </c>
      <c r="G563" s="7" t="str">
        <f>IF(Notes!CE559="","",Notes!CE559)</f>
        <v/>
      </c>
      <c r="H563" s="7" t="str">
        <f>IF(Notes!CF559="","",Notes!CF559)</f>
        <v/>
      </c>
      <c r="I563" s="7"/>
      <c r="J563" s="7"/>
      <c r="K563" s="7"/>
    </row>
    <row r="564" spans="1:11" x14ac:dyDescent="0.35">
      <c r="A564" s="7" t="str">
        <f>IF(Notes!BY560="","",Notes!BY560)</f>
        <v/>
      </c>
      <c r="B564" s="7" t="str">
        <f>IF(Notes!BZ560="","",Notes!BZ560)</f>
        <v/>
      </c>
      <c r="C564" s="7" t="str">
        <f>IF(Notes!CA560="","",Notes!CA560)</f>
        <v/>
      </c>
      <c r="D564" s="7" t="str">
        <f>IF(Notes!CB560="","",Notes!CB560)</f>
        <v/>
      </c>
      <c r="E564" s="7" t="str">
        <f>IF(Notes!CC560="","",Notes!CC560)</f>
        <v/>
      </c>
      <c r="F564" s="7" t="str">
        <f>IF(Notes!CD560="","",Notes!CD560)</f>
        <v/>
      </c>
      <c r="G564" s="7" t="str">
        <f>IF(Notes!CE560="","",Notes!CE560)</f>
        <v/>
      </c>
      <c r="H564" s="7" t="str">
        <f>IF(Notes!CF560="","",Notes!CF560)</f>
        <v/>
      </c>
      <c r="I564" s="7"/>
      <c r="J564" s="7"/>
      <c r="K564" s="7"/>
    </row>
    <row r="565" spans="1:11" x14ac:dyDescent="0.35">
      <c r="A565" s="7" t="str">
        <f>IF(Notes!BY561="","",Notes!BY561)</f>
        <v/>
      </c>
      <c r="B565" s="7" t="str">
        <f>IF(Notes!BZ561="","",Notes!BZ561)</f>
        <v/>
      </c>
      <c r="C565" s="7" t="str">
        <f>IF(Notes!CA561="","",Notes!CA561)</f>
        <v/>
      </c>
      <c r="D565" s="7" t="str">
        <f>IF(Notes!CB561="","",Notes!CB561)</f>
        <v/>
      </c>
      <c r="E565" s="7" t="str">
        <f>IF(Notes!CC561="","",Notes!CC561)</f>
        <v/>
      </c>
      <c r="F565" s="7" t="str">
        <f>IF(Notes!CD561="","",Notes!CD561)</f>
        <v/>
      </c>
      <c r="G565" s="7" t="str">
        <f>IF(Notes!CE561="","",Notes!CE561)</f>
        <v/>
      </c>
      <c r="H565" s="7" t="str">
        <f>IF(Notes!CF561="","",Notes!CF561)</f>
        <v/>
      </c>
      <c r="I565" s="7"/>
      <c r="J565" s="7"/>
      <c r="K565" s="7"/>
    </row>
    <row r="566" spans="1:11" x14ac:dyDescent="0.35">
      <c r="A566" s="7" t="str">
        <f>IF(Notes!BY562="","",Notes!BY562)</f>
        <v/>
      </c>
      <c r="B566" s="7" t="str">
        <f>IF(Notes!BZ562="","",Notes!BZ562)</f>
        <v/>
      </c>
      <c r="C566" s="7" t="str">
        <f>IF(Notes!CA562="","",Notes!CA562)</f>
        <v/>
      </c>
      <c r="D566" s="7" t="str">
        <f>IF(Notes!CB562="","",Notes!CB562)</f>
        <v/>
      </c>
      <c r="E566" s="7" t="str">
        <f>IF(Notes!CC562="","",Notes!CC562)</f>
        <v/>
      </c>
      <c r="F566" s="7" t="str">
        <f>IF(Notes!CD562="","",Notes!CD562)</f>
        <v/>
      </c>
      <c r="G566" s="7" t="str">
        <f>IF(Notes!CE562="","",Notes!CE562)</f>
        <v/>
      </c>
      <c r="H566" s="7" t="str">
        <f>IF(Notes!CF562="","",Notes!CF562)</f>
        <v/>
      </c>
      <c r="I566" s="7"/>
      <c r="J566" s="7"/>
      <c r="K566" s="7"/>
    </row>
    <row r="567" spans="1:11" x14ac:dyDescent="0.35">
      <c r="A567" s="7" t="str">
        <f>IF(Notes!BY563="","",Notes!BY563)</f>
        <v/>
      </c>
      <c r="B567" s="7" t="str">
        <f>IF(Notes!BZ563="","",Notes!BZ563)</f>
        <v/>
      </c>
      <c r="C567" s="7" t="str">
        <f>IF(Notes!CA563="","",Notes!CA563)</f>
        <v/>
      </c>
      <c r="D567" s="7" t="str">
        <f>IF(Notes!CB563="","",Notes!CB563)</f>
        <v/>
      </c>
      <c r="E567" s="7" t="str">
        <f>IF(Notes!CC563="","",Notes!CC563)</f>
        <v/>
      </c>
      <c r="F567" s="7" t="str">
        <f>IF(Notes!CD563="","",Notes!CD563)</f>
        <v/>
      </c>
      <c r="G567" s="7" t="str">
        <f>IF(Notes!CE563="","",Notes!CE563)</f>
        <v/>
      </c>
      <c r="H567" s="7" t="str">
        <f>IF(Notes!CF563="","",Notes!CF563)</f>
        <v/>
      </c>
      <c r="I567" s="7"/>
      <c r="J567" s="7"/>
      <c r="K567" s="7"/>
    </row>
    <row r="568" spans="1:11" x14ac:dyDescent="0.35">
      <c r="A568" s="7" t="str">
        <f>IF(Notes!BY564="","",Notes!BY564)</f>
        <v/>
      </c>
      <c r="B568" s="7" t="str">
        <f>IF(Notes!BZ564="","",Notes!BZ564)</f>
        <v/>
      </c>
      <c r="C568" s="7" t="str">
        <f>IF(Notes!CA564="","",Notes!CA564)</f>
        <v/>
      </c>
      <c r="D568" s="7" t="str">
        <f>IF(Notes!CB564="","",Notes!CB564)</f>
        <v/>
      </c>
      <c r="E568" s="7" t="str">
        <f>IF(Notes!CC564="","",Notes!CC564)</f>
        <v/>
      </c>
      <c r="F568" s="7" t="str">
        <f>IF(Notes!CD564="","",Notes!CD564)</f>
        <v/>
      </c>
      <c r="G568" s="7" t="str">
        <f>IF(Notes!CE564="","",Notes!CE564)</f>
        <v/>
      </c>
      <c r="H568" s="7" t="str">
        <f>IF(Notes!CF564="","",Notes!CF564)</f>
        <v/>
      </c>
      <c r="I568" s="7"/>
      <c r="J568" s="7"/>
      <c r="K568" s="7"/>
    </row>
    <row r="569" spans="1:11" x14ac:dyDescent="0.35">
      <c r="A569" s="7" t="str">
        <f>IF(Notes!BY565="","",Notes!BY565)</f>
        <v/>
      </c>
      <c r="B569" s="7" t="str">
        <f>IF(Notes!BZ565="","",Notes!BZ565)</f>
        <v/>
      </c>
      <c r="C569" s="7" t="str">
        <f>IF(Notes!CA565="","",Notes!CA565)</f>
        <v/>
      </c>
      <c r="D569" s="7" t="str">
        <f>IF(Notes!CB565="","",Notes!CB565)</f>
        <v/>
      </c>
      <c r="E569" s="7" t="str">
        <f>IF(Notes!CC565="","",Notes!CC565)</f>
        <v/>
      </c>
      <c r="F569" s="7" t="str">
        <f>IF(Notes!CD565="","",Notes!CD565)</f>
        <v/>
      </c>
      <c r="G569" s="7" t="str">
        <f>IF(Notes!CE565="","",Notes!CE565)</f>
        <v/>
      </c>
      <c r="H569" s="7" t="str">
        <f>IF(Notes!CF565="","",Notes!CF565)</f>
        <v/>
      </c>
      <c r="I569" s="7"/>
      <c r="J569" s="7"/>
      <c r="K569" s="7"/>
    </row>
    <row r="570" spans="1:11" x14ac:dyDescent="0.35">
      <c r="A570" s="7" t="str">
        <f>IF(Notes!BY566="","",Notes!BY566)</f>
        <v/>
      </c>
      <c r="B570" s="7" t="str">
        <f>IF(Notes!BZ566="","",Notes!BZ566)</f>
        <v/>
      </c>
      <c r="C570" s="7" t="str">
        <f>IF(Notes!CA566="","",Notes!CA566)</f>
        <v/>
      </c>
      <c r="D570" s="7" t="str">
        <f>IF(Notes!CB566="","",Notes!CB566)</f>
        <v/>
      </c>
      <c r="E570" s="7" t="str">
        <f>IF(Notes!CC566="","",Notes!CC566)</f>
        <v/>
      </c>
      <c r="F570" s="7" t="str">
        <f>IF(Notes!CD566="","",Notes!CD566)</f>
        <v/>
      </c>
      <c r="G570" s="7" t="str">
        <f>IF(Notes!CE566="","",Notes!CE566)</f>
        <v/>
      </c>
      <c r="H570" s="7" t="str">
        <f>IF(Notes!CF566="","",Notes!CF566)</f>
        <v/>
      </c>
      <c r="I570" s="7"/>
      <c r="J570" s="7"/>
      <c r="K570" s="7"/>
    </row>
    <row r="571" spans="1:11" x14ac:dyDescent="0.35">
      <c r="A571" s="7" t="str">
        <f>IF(Notes!BY567="","",Notes!BY567)</f>
        <v/>
      </c>
      <c r="B571" s="7" t="str">
        <f>IF(Notes!BZ567="","",Notes!BZ567)</f>
        <v/>
      </c>
      <c r="C571" s="7" t="str">
        <f>IF(Notes!CA567="","",Notes!CA567)</f>
        <v/>
      </c>
      <c r="D571" s="7" t="str">
        <f>IF(Notes!CB567="","",Notes!CB567)</f>
        <v/>
      </c>
      <c r="E571" s="7" t="str">
        <f>IF(Notes!CC567="","",Notes!CC567)</f>
        <v/>
      </c>
      <c r="F571" s="7" t="str">
        <f>IF(Notes!CD567="","",Notes!CD567)</f>
        <v/>
      </c>
      <c r="G571" s="7" t="str">
        <f>IF(Notes!CE567="","",Notes!CE567)</f>
        <v/>
      </c>
      <c r="H571" s="7" t="str">
        <f>IF(Notes!CF567="","",Notes!CF567)</f>
        <v/>
      </c>
      <c r="I571" s="7"/>
      <c r="J571" s="7"/>
      <c r="K571" s="7"/>
    </row>
    <row r="572" spans="1:11" x14ac:dyDescent="0.35">
      <c r="A572" s="7" t="str">
        <f>IF(Notes!BY568="","",Notes!BY568)</f>
        <v/>
      </c>
      <c r="B572" s="7" t="str">
        <f>IF(Notes!BZ568="","",Notes!BZ568)</f>
        <v/>
      </c>
      <c r="C572" s="7" t="str">
        <f>IF(Notes!CA568="","",Notes!CA568)</f>
        <v/>
      </c>
      <c r="D572" s="7" t="str">
        <f>IF(Notes!CB568="","",Notes!CB568)</f>
        <v/>
      </c>
      <c r="E572" s="7" t="str">
        <f>IF(Notes!CC568="","",Notes!CC568)</f>
        <v/>
      </c>
      <c r="F572" s="7" t="str">
        <f>IF(Notes!CD568="","",Notes!CD568)</f>
        <v/>
      </c>
      <c r="G572" s="7" t="str">
        <f>IF(Notes!CE568="","",Notes!CE568)</f>
        <v/>
      </c>
      <c r="H572" s="7" t="str">
        <f>IF(Notes!CF568="","",Notes!CF568)</f>
        <v/>
      </c>
      <c r="I572" s="7"/>
      <c r="J572" s="7"/>
      <c r="K572" s="7"/>
    </row>
    <row r="573" spans="1:11" x14ac:dyDescent="0.35">
      <c r="A573" s="7" t="str">
        <f>IF(Notes!BY569="","",Notes!BY569)</f>
        <v/>
      </c>
      <c r="B573" s="7" t="str">
        <f>IF(Notes!BZ569="","",Notes!BZ569)</f>
        <v/>
      </c>
      <c r="C573" s="7" t="str">
        <f>IF(Notes!CA569="","",Notes!CA569)</f>
        <v/>
      </c>
      <c r="D573" s="7" t="str">
        <f>IF(Notes!CB569="","",Notes!CB569)</f>
        <v/>
      </c>
      <c r="E573" s="7" t="str">
        <f>IF(Notes!CC569="","",Notes!CC569)</f>
        <v/>
      </c>
      <c r="F573" s="7" t="str">
        <f>IF(Notes!CD569="","",Notes!CD569)</f>
        <v/>
      </c>
      <c r="G573" s="7" t="str">
        <f>IF(Notes!CE569="","",Notes!CE569)</f>
        <v/>
      </c>
      <c r="H573" s="7" t="str">
        <f>IF(Notes!CF569="","",Notes!CF569)</f>
        <v/>
      </c>
      <c r="I573" s="7"/>
      <c r="J573" s="7"/>
      <c r="K573" s="7"/>
    </row>
    <row r="574" spans="1:11" x14ac:dyDescent="0.35">
      <c r="A574" s="7" t="str">
        <f>IF(Notes!BY570="","",Notes!BY570)</f>
        <v/>
      </c>
      <c r="B574" s="7" t="str">
        <f>IF(Notes!BZ570="","",Notes!BZ570)</f>
        <v/>
      </c>
      <c r="C574" s="7" t="str">
        <f>IF(Notes!CA570="","",Notes!CA570)</f>
        <v/>
      </c>
      <c r="D574" s="7" t="str">
        <f>IF(Notes!CB570="","",Notes!CB570)</f>
        <v/>
      </c>
      <c r="E574" s="7" t="str">
        <f>IF(Notes!CC570="","",Notes!CC570)</f>
        <v/>
      </c>
      <c r="F574" s="7" t="str">
        <f>IF(Notes!CD570="","",Notes!CD570)</f>
        <v/>
      </c>
      <c r="G574" s="7" t="str">
        <f>IF(Notes!CE570="","",Notes!CE570)</f>
        <v/>
      </c>
      <c r="H574" s="7" t="str">
        <f>IF(Notes!CF570="","",Notes!CF570)</f>
        <v/>
      </c>
      <c r="I574" s="7"/>
      <c r="J574" s="7"/>
      <c r="K574" s="7"/>
    </row>
    <row r="575" spans="1:11" x14ac:dyDescent="0.35">
      <c r="A575" s="7" t="str">
        <f>IF(Notes!BY571="","",Notes!BY571)</f>
        <v/>
      </c>
      <c r="B575" s="7" t="str">
        <f>IF(Notes!BZ571="","",Notes!BZ571)</f>
        <v/>
      </c>
      <c r="C575" s="7" t="str">
        <f>IF(Notes!CA571="","",Notes!CA571)</f>
        <v/>
      </c>
      <c r="D575" s="7" t="str">
        <f>IF(Notes!CB571="","",Notes!CB571)</f>
        <v/>
      </c>
      <c r="E575" s="7" t="str">
        <f>IF(Notes!CC571="","",Notes!CC571)</f>
        <v/>
      </c>
      <c r="F575" s="7" t="str">
        <f>IF(Notes!CD571="","",Notes!CD571)</f>
        <v/>
      </c>
      <c r="G575" s="7" t="str">
        <f>IF(Notes!CE571="","",Notes!CE571)</f>
        <v/>
      </c>
      <c r="H575" s="7" t="str">
        <f>IF(Notes!CF571="","",Notes!CF571)</f>
        <v/>
      </c>
      <c r="I575" s="7"/>
      <c r="J575" s="7"/>
      <c r="K575" s="7"/>
    </row>
    <row r="576" spans="1:11" x14ac:dyDescent="0.35">
      <c r="A576" s="7" t="str">
        <f>IF(Notes!BY572="","",Notes!BY572)</f>
        <v/>
      </c>
      <c r="B576" s="7" t="str">
        <f>IF(Notes!BZ572="","",Notes!BZ572)</f>
        <v/>
      </c>
      <c r="C576" s="7" t="str">
        <f>IF(Notes!CA572="","",Notes!CA572)</f>
        <v/>
      </c>
      <c r="D576" s="7" t="str">
        <f>IF(Notes!CB572="","",Notes!CB572)</f>
        <v/>
      </c>
      <c r="E576" s="7" t="str">
        <f>IF(Notes!CC572="","",Notes!CC572)</f>
        <v/>
      </c>
      <c r="F576" s="7" t="str">
        <f>IF(Notes!CD572="","",Notes!CD572)</f>
        <v/>
      </c>
      <c r="G576" s="7" t="str">
        <f>IF(Notes!CE572="","",Notes!CE572)</f>
        <v/>
      </c>
      <c r="H576" s="7" t="str">
        <f>IF(Notes!CF572="","",Notes!CF572)</f>
        <v/>
      </c>
      <c r="I576" s="7"/>
      <c r="J576" s="7"/>
      <c r="K576" s="7"/>
    </row>
    <row r="577" spans="1:11" x14ac:dyDescent="0.35">
      <c r="A577" s="7" t="str">
        <f>IF(Notes!BY573="","",Notes!BY573)</f>
        <v/>
      </c>
      <c r="B577" s="7" t="str">
        <f>IF(Notes!BZ573="","",Notes!BZ573)</f>
        <v/>
      </c>
      <c r="C577" s="7" t="str">
        <f>IF(Notes!CA573="","",Notes!CA573)</f>
        <v/>
      </c>
      <c r="D577" s="7" t="str">
        <f>IF(Notes!CB573="","",Notes!CB573)</f>
        <v/>
      </c>
      <c r="E577" s="7" t="str">
        <f>IF(Notes!CC573="","",Notes!CC573)</f>
        <v/>
      </c>
      <c r="F577" s="7" t="str">
        <f>IF(Notes!CD573="","",Notes!CD573)</f>
        <v/>
      </c>
      <c r="G577" s="7" t="str">
        <f>IF(Notes!CE573="","",Notes!CE573)</f>
        <v/>
      </c>
      <c r="H577" s="7" t="str">
        <f>IF(Notes!CF573="","",Notes!CF573)</f>
        <v/>
      </c>
      <c r="I577" s="7"/>
      <c r="J577" s="7"/>
      <c r="K577" s="7"/>
    </row>
    <row r="578" spans="1:11" x14ac:dyDescent="0.35">
      <c r="A578" s="7" t="str">
        <f>IF(Notes!BY574="","",Notes!BY574)</f>
        <v/>
      </c>
      <c r="B578" s="7" t="str">
        <f>IF(Notes!BZ574="","",Notes!BZ574)</f>
        <v/>
      </c>
      <c r="C578" s="7" t="str">
        <f>IF(Notes!CA574="","",Notes!CA574)</f>
        <v/>
      </c>
      <c r="D578" s="7" t="str">
        <f>IF(Notes!CB574="","",Notes!CB574)</f>
        <v/>
      </c>
      <c r="E578" s="7" t="str">
        <f>IF(Notes!CC574="","",Notes!CC574)</f>
        <v/>
      </c>
      <c r="F578" s="7" t="str">
        <f>IF(Notes!CD574="","",Notes!CD574)</f>
        <v/>
      </c>
      <c r="G578" s="7" t="str">
        <f>IF(Notes!CE574="","",Notes!CE574)</f>
        <v/>
      </c>
      <c r="H578" s="7" t="str">
        <f>IF(Notes!CF574="","",Notes!CF574)</f>
        <v/>
      </c>
      <c r="I578" s="7"/>
      <c r="J578" s="7"/>
      <c r="K578" s="7"/>
    </row>
    <row r="579" spans="1:11" x14ac:dyDescent="0.35">
      <c r="A579" s="7" t="str">
        <f>IF(Notes!BY575="","",Notes!BY575)</f>
        <v/>
      </c>
      <c r="B579" s="7" t="str">
        <f>IF(Notes!BZ575="","",Notes!BZ575)</f>
        <v/>
      </c>
      <c r="C579" s="7" t="str">
        <f>IF(Notes!CA575="","",Notes!CA575)</f>
        <v/>
      </c>
      <c r="D579" s="7" t="str">
        <f>IF(Notes!CB575="","",Notes!CB575)</f>
        <v/>
      </c>
      <c r="E579" s="7" t="str">
        <f>IF(Notes!CC575="","",Notes!CC575)</f>
        <v/>
      </c>
      <c r="F579" s="7" t="str">
        <f>IF(Notes!CD575="","",Notes!CD575)</f>
        <v/>
      </c>
      <c r="G579" s="7" t="str">
        <f>IF(Notes!CE575="","",Notes!CE575)</f>
        <v/>
      </c>
      <c r="H579" s="7" t="str">
        <f>IF(Notes!CF575="","",Notes!CF575)</f>
        <v/>
      </c>
      <c r="I579" s="7"/>
      <c r="J579" s="7"/>
      <c r="K579" s="7"/>
    </row>
    <row r="580" spans="1:11" x14ac:dyDescent="0.35">
      <c r="A580" s="7" t="str">
        <f>IF(Notes!BY576="","",Notes!BY576)</f>
        <v/>
      </c>
      <c r="B580" s="7" t="str">
        <f>IF(Notes!BZ576="","",Notes!BZ576)</f>
        <v/>
      </c>
      <c r="C580" s="7" t="str">
        <f>IF(Notes!CA576="","",Notes!CA576)</f>
        <v/>
      </c>
      <c r="D580" s="7" t="str">
        <f>IF(Notes!CB576="","",Notes!CB576)</f>
        <v/>
      </c>
      <c r="E580" s="7" t="str">
        <f>IF(Notes!CC576="","",Notes!CC576)</f>
        <v/>
      </c>
      <c r="F580" s="7" t="str">
        <f>IF(Notes!CD576="","",Notes!CD576)</f>
        <v/>
      </c>
      <c r="G580" s="7" t="str">
        <f>IF(Notes!CE576="","",Notes!CE576)</f>
        <v/>
      </c>
      <c r="H580" s="7" t="str">
        <f>IF(Notes!CF576="","",Notes!CF576)</f>
        <v/>
      </c>
      <c r="I580" s="7"/>
      <c r="J580" s="7"/>
      <c r="K580" s="7"/>
    </row>
    <row r="581" spans="1:11" x14ac:dyDescent="0.35">
      <c r="A581" s="7" t="str">
        <f>IF(Notes!BY577="","",Notes!BY577)</f>
        <v/>
      </c>
      <c r="B581" s="7" t="str">
        <f>IF(Notes!BZ577="","",Notes!BZ577)</f>
        <v/>
      </c>
      <c r="C581" s="7" t="str">
        <f>IF(Notes!CA577="","",Notes!CA577)</f>
        <v/>
      </c>
      <c r="D581" s="7" t="str">
        <f>IF(Notes!CB577="","",Notes!CB577)</f>
        <v/>
      </c>
      <c r="E581" s="7" t="str">
        <f>IF(Notes!CC577="","",Notes!CC577)</f>
        <v/>
      </c>
      <c r="F581" s="7" t="str">
        <f>IF(Notes!CD577="","",Notes!CD577)</f>
        <v/>
      </c>
      <c r="G581" s="7" t="str">
        <f>IF(Notes!CE577="","",Notes!CE577)</f>
        <v/>
      </c>
      <c r="H581" s="7" t="str">
        <f>IF(Notes!CF577="","",Notes!CF577)</f>
        <v/>
      </c>
      <c r="I581" s="7"/>
      <c r="J581" s="7"/>
      <c r="K581" s="7"/>
    </row>
    <row r="582" spans="1:11" x14ac:dyDescent="0.35">
      <c r="A582" s="7" t="str">
        <f>IF(Notes!BY578="","",Notes!BY578)</f>
        <v/>
      </c>
      <c r="B582" s="7" t="str">
        <f>IF(Notes!BZ578="","",Notes!BZ578)</f>
        <v/>
      </c>
      <c r="C582" s="7" t="str">
        <f>IF(Notes!CA578="","",Notes!CA578)</f>
        <v/>
      </c>
      <c r="D582" s="7" t="str">
        <f>IF(Notes!CB578="","",Notes!CB578)</f>
        <v/>
      </c>
      <c r="E582" s="7" t="str">
        <f>IF(Notes!CC578="","",Notes!CC578)</f>
        <v/>
      </c>
      <c r="F582" s="7" t="str">
        <f>IF(Notes!CD578="","",Notes!CD578)</f>
        <v/>
      </c>
      <c r="G582" s="7" t="str">
        <f>IF(Notes!CE578="","",Notes!CE578)</f>
        <v/>
      </c>
      <c r="H582" s="7" t="str">
        <f>IF(Notes!CF578="","",Notes!CF578)</f>
        <v/>
      </c>
      <c r="I582" s="7"/>
      <c r="J582" s="7"/>
      <c r="K582" s="7"/>
    </row>
    <row r="583" spans="1:11" x14ac:dyDescent="0.35">
      <c r="A583" s="7" t="str">
        <f>IF(Notes!BY579="","",Notes!BY579)</f>
        <v/>
      </c>
      <c r="B583" s="7" t="str">
        <f>IF(Notes!BZ579="","",Notes!BZ579)</f>
        <v/>
      </c>
      <c r="C583" s="7" t="str">
        <f>IF(Notes!CA579="","",Notes!CA579)</f>
        <v/>
      </c>
      <c r="D583" s="7" t="str">
        <f>IF(Notes!CB579="","",Notes!CB579)</f>
        <v/>
      </c>
      <c r="E583" s="7" t="str">
        <f>IF(Notes!CC579="","",Notes!CC579)</f>
        <v/>
      </c>
      <c r="F583" s="7" t="str">
        <f>IF(Notes!CD579="","",Notes!CD579)</f>
        <v/>
      </c>
      <c r="G583" s="7" t="str">
        <f>IF(Notes!CE579="","",Notes!CE579)</f>
        <v/>
      </c>
      <c r="H583" s="7" t="str">
        <f>IF(Notes!CF579="","",Notes!CF579)</f>
        <v/>
      </c>
      <c r="I583" s="7"/>
      <c r="J583" s="7"/>
      <c r="K583" s="7"/>
    </row>
    <row r="584" spans="1:11" x14ac:dyDescent="0.35">
      <c r="A584" s="7" t="str">
        <f>IF(Notes!BY580="","",Notes!BY580)</f>
        <v/>
      </c>
      <c r="B584" s="7" t="str">
        <f>IF(Notes!BZ580="","",Notes!BZ580)</f>
        <v/>
      </c>
      <c r="C584" s="7" t="str">
        <f>IF(Notes!CA580="","",Notes!CA580)</f>
        <v/>
      </c>
      <c r="D584" s="7" t="str">
        <f>IF(Notes!CB580="","",Notes!CB580)</f>
        <v/>
      </c>
      <c r="E584" s="7" t="str">
        <f>IF(Notes!CC580="","",Notes!CC580)</f>
        <v/>
      </c>
      <c r="F584" s="7" t="str">
        <f>IF(Notes!CD580="","",Notes!CD580)</f>
        <v/>
      </c>
      <c r="G584" s="7" t="str">
        <f>IF(Notes!CE580="","",Notes!CE580)</f>
        <v/>
      </c>
      <c r="H584" s="7" t="str">
        <f>IF(Notes!CF580="","",Notes!CF580)</f>
        <v/>
      </c>
      <c r="I584" s="7"/>
      <c r="J584" s="7"/>
      <c r="K584" s="7"/>
    </row>
    <row r="585" spans="1:11" x14ac:dyDescent="0.35">
      <c r="A585" s="7" t="str">
        <f>IF(Notes!BY581="","",Notes!BY581)</f>
        <v/>
      </c>
      <c r="B585" s="7" t="str">
        <f>IF(Notes!BZ581="","",Notes!BZ581)</f>
        <v/>
      </c>
      <c r="C585" s="7" t="str">
        <f>IF(Notes!CA581="","",Notes!CA581)</f>
        <v/>
      </c>
      <c r="D585" s="7" t="str">
        <f>IF(Notes!CB581="","",Notes!CB581)</f>
        <v/>
      </c>
      <c r="E585" s="7" t="str">
        <f>IF(Notes!CC581="","",Notes!CC581)</f>
        <v/>
      </c>
      <c r="F585" s="7" t="str">
        <f>IF(Notes!CD581="","",Notes!CD581)</f>
        <v/>
      </c>
      <c r="G585" s="7" t="str">
        <f>IF(Notes!CE581="","",Notes!CE581)</f>
        <v/>
      </c>
      <c r="H585" s="7" t="str">
        <f>IF(Notes!CF581="","",Notes!CF581)</f>
        <v/>
      </c>
      <c r="I585" s="7"/>
      <c r="J585" s="7"/>
      <c r="K585" s="7"/>
    </row>
    <row r="586" spans="1:11" x14ac:dyDescent="0.35">
      <c r="A586" s="7" t="str">
        <f>IF(Notes!BY582="","",Notes!BY582)</f>
        <v/>
      </c>
      <c r="B586" s="7" t="str">
        <f>IF(Notes!BZ582="","",Notes!BZ582)</f>
        <v/>
      </c>
      <c r="C586" s="7" t="str">
        <f>IF(Notes!CA582="","",Notes!CA582)</f>
        <v/>
      </c>
      <c r="D586" s="7" t="str">
        <f>IF(Notes!CB582="","",Notes!CB582)</f>
        <v/>
      </c>
      <c r="E586" s="7" t="str">
        <f>IF(Notes!CC582="","",Notes!CC582)</f>
        <v/>
      </c>
      <c r="F586" s="7" t="str">
        <f>IF(Notes!CD582="","",Notes!CD582)</f>
        <v/>
      </c>
      <c r="G586" s="7" t="str">
        <f>IF(Notes!CE582="","",Notes!CE582)</f>
        <v/>
      </c>
      <c r="H586" s="7" t="str">
        <f>IF(Notes!CF582="","",Notes!CF582)</f>
        <v/>
      </c>
      <c r="I586" s="7"/>
      <c r="J586" s="7"/>
      <c r="K586" s="7"/>
    </row>
    <row r="587" spans="1:11" x14ac:dyDescent="0.35">
      <c r="A587" s="7" t="str">
        <f>IF(Notes!BY583="","",Notes!BY583)</f>
        <v/>
      </c>
      <c r="B587" s="7" t="str">
        <f>IF(Notes!BZ583="","",Notes!BZ583)</f>
        <v/>
      </c>
      <c r="C587" s="7" t="str">
        <f>IF(Notes!CA583="","",Notes!CA583)</f>
        <v/>
      </c>
      <c r="D587" s="7" t="str">
        <f>IF(Notes!CB583="","",Notes!CB583)</f>
        <v/>
      </c>
      <c r="E587" s="7" t="str">
        <f>IF(Notes!CC583="","",Notes!CC583)</f>
        <v/>
      </c>
      <c r="F587" s="7" t="str">
        <f>IF(Notes!CD583="","",Notes!CD583)</f>
        <v/>
      </c>
      <c r="G587" s="7" t="str">
        <f>IF(Notes!CE583="","",Notes!CE583)</f>
        <v/>
      </c>
      <c r="H587" s="7" t="str">
        <f>IF(Notes!CF583="","",Notes!CF583)</f>
        <v/>
      </c>
      <c r="I587" s="7"/>
      <c r="J587" s="7"/>
      <c r="K587" s="7"/>
    </row>
    <row r="588" spans="1:11" x14ac:dyDescent="0.35">
      <c r="A588" s="7" t="str">
        <f>IF(Notes!BY584="","",Notes!BY584)</f>
        <v/>
      </c>
      <c r="B588" s="7" t="str">
        <f>IF(Notes!BZ584="","",Notes!BZ584)</f>
        <v/>
      </c>
      <c r="C588" s="7" t="str">
        <f>IF(Notes!CA584="","",Notes!CA584)</f>
        <v/>
      </c>
      <c r="D588" s="7" t="str">
        <f>IF(Notes!CB584="","",Notes!CB584)</f>
        <v/>
      </c>
      <c r="E588" s="7" t="str">
        <f>IF(Notes!CC584="","",Notes!CC584)</f>
        <v/>
      </c>
      <c r="F588" s="7" t="str">
        <f>IF(Notes!CD584="","",Notes!CD584)</f>
        <v/>
      </c>
      <c r="G588" s="7" t="str">
        <f>IF(Notes!CE584="","",Notes!CE584)</f>
        <v/>
      </c>
      <c r="H588" s="7" t="str">
        <f>IF(Notes!CF584="","",Notes!CF584)</f>
        <v/>
      </c>
      <c r="I588" s="7"/>
      <c r="J588" s="7"/>
      <c r="K588" s="7"/>
    </row>
    <row r="589" spans="1:11" x14ac:dyDescent="0.35">
      <c r="A589" s="7" t="str">
        <f>IF(Notes!BY585="","",Notes!BY585)</f>
        <v/>
      </c>
      <c r="B589" s="7" t="str">
        <f>IF(Notes!BZ585="","",Notes!BZ585)</f>
        <v/>
      </c>
      <c r="C589" s="7" t="str">
        <f>IF(Notes!CA585="","",Notes!CA585)</f>
        <v/>
      </c>
      <c r="D589" s="7" t="str">
        <f>IF(Notes!CB585="","",Notes!CB585)</f>
        <v/>
      </c>
      <c r="E589" s="7" t="str">
        <f>IF(Notes!CC585="","",Notes!CC585)</f>
        <v/>
      </c>
      <c r="F589" s="7" t="str">
        <f>IF(Notes!CD585="","",Notes!CD585)</f>
        <v/>
      </c>
      <c r="G589" s="7" t="str">
        <f>IF(Notes!CE585="","",Notes!CE585)</f>
        <v/>
      </c>
      <c r="H589" s="7" t="str">
        <f>IF(Notes!CF585="","",Notes!CF585)</f>
        <v/>
      </c>
      <c r="I589" s="7"/>
      <c r="J589" s="7"/>
      <c r="K589" s="7"/>
    </row>
    <row r="590" spans="1:11" x14ac:dyDescent="0.35">
      <c r="A590" s="7" t="str">
        <f>IF(Notes!BY586="","",Notes!BY586)</f>
        <v/>
      </c>
      <c r="B590" s="7" t="str">
        <f>IF(Notes!BZ586="","",Notes!BZ586)</f>
        <v/>
      </c>
      <c r="C590" s="7" t="str">
        <f>IF(Notes!CA586="","",Notes!CA586)</f>
        <v/>
      </c>
      <c r="D590" s="7" t="str">
        <f>IF(Notes!CB586="","",Notes!CB586)</f>
        <v/>
      </c>
      <c r="E590" s="7" t="str">
        <f>IF(Notes!CC586="","",Notes!CC586)</f>
        <v/>
      </c>
      <c r="F590" s="7" t="str">
        <f>IF(Notes!CD586="","",Notes!CD586)</f>
        <v/>
      </c>
      <c r="G590" s="7" t="str">
        <f>IF(Notes!CE586="","",Notes!CE586)</f>
        <v/>
      </c>
      <c r="H590" s="7" t="str">
        <f>IF(Notes!CF586="","",Notes!CF586)</f>
        <v/>
      </c>
      <c r="I590" s="7"/>
      <c r="J590" s="7"/>
      <c r="K590" s="7"/>
    </row>
    <row r="591" spans="1:11" x14ac:dyDescent="0.35">
      <c r="A591" s="7" t="str">
        <f>IF(Notes!BY587="","",Notes!BY587)</f>
        <v/>
      </c>
      <c r="B591" s="7" t="str">
        <f>IF(Notes!BZ587="","",Notes!BZ587)</f>
        <v/>
      </c>
      <c r="C591" s="7" t="str">
        <f>IF(Notes!CA587="","",Notes!CA587)</f>
        <v/>
      </c>
      <c r="D591" s="7" t="str">
        <f>IF(Notes!CB587="","",Notes!CB587)</f>
        <v/>
      </c>
      <c r="E591" s="7" t="str">
        <f>IF(Notes!CC587="","",Notes!CC587)</f>
        <v/>
      </c>
      <c r="F591" s="7" t="str">
        <f>IF(Notes!CD587="","",Notes!CD587)</f>
        <v/>
      </c>
      <c r="G591" s="7" t="str">
        <f>IF(Notes!CE587="","",Notes!CE587)</f>
        <v/>
      </c>
      <c r="H591" s="7" t="str">
        <f>IF(Notes!CF587="","",Notes!CF587)</f>
        <v/>
      </c>
      <c r="I591" s="7"/>
      <c r="J591" s="7"/>
      <c r="K591" s="7"/>
    </row>
    <row r="592" spans="1:11" x14ac:dyDescent="0.35">
      <c r="A592" s="7" t="str">
        <f>IF(Notes!BY588="","",Notes!BY588)</f>
        <v/>
      </c>
      <c r="B592" s="7" t="str">
        <f>IF(Notes!BZ588="","",Notes!BZ588)</f>
        <v/>
      </c>
      <c r="C592" s="7" t="str">
        <f>IF(Notes!CA588="","",Notes!CA588)</f>
        <v/>
      </c>
      <c r="D592" s="7" t="str">
        <f>IF(Notes!CB588="","",Notes!CB588)</f>
        <v/>
      </c>
      <c r="E592" s="7" t="str">
        <f>IF(Notes!CC588="","",Notes!CC588)</f>
        <v/>
      </c>
      <c r="F592" s="7" t="str">
        <f>IF(Notes!CD588="","",Notes!CD588)</f>
        <v/>
      </c>
      <c r="G592" s="7" t="str">
        <f>IF(Notes!CE588="","",Notes!CE588)</f>
        <v/>
      </c>
      <c r="H592" s="7" t="str">
        <f>IF(Notes!CF588="","",Notes!CF588)</f>
        <v/>
      </c>
      <c r="I592" s="7"/>
      <c r="J592" s="7"/>
      <c r="K592" s="7"/>
    </row>
    <row r="593" spans="1:11" x14ac:dyDescent="0.35">
      <c r="A593" s="7" t="str">
        <f>IF(Notes!BY589="","",Notes!BY589)</f>
        <v/>
      </c>
      <c r="B593" s="7" t="str">
        <f>IF(Notes!BZ589="","",Notes!BZ589)</f>
        <v/>
      </c>
      <c r="C593" s="7" t="str">
        <f>IF(Notes!CA589="","",Notes!CA589)</f>
        <v/>
      </c>
      <c r="D593" s="7" t="str">
        <f>IF(Notes!CB589="","",Notes!CB589)</f>
        <v/>
      </c>
      <c r="E593" s="7" t="str">
        <f>IF(Notes!CC589="","",Notes!CC589)</f>
        <v/>
      </c>
      <c r="F593" s="7" t="str">
        <f>IF(Notes!CD589="","",Notes!CD589)</f>
        <v/>
      </c>
      <c r="G593" s="7" t="str">
        <f>IF(Notes!CE589="","",Notes!CE589)</f>
        <v/>
      </c>
      <c r="H593" s="7" t="str">
        <f>IF(Notes!CF589="","",Notes!CF589)</f>
        <v/>
      </c>
      <c r="I593" s="7"/>
      <c r="J593" s="7"/>
      <c r="K593" s="7"/>
    </row>
    <row r="594" spans="1:11" x14ac:dyDescent="0.35">
      <c r="A594" s="7" t="str">
        <f>IF(Notes!BY590="","",Notes!BY590)</f>
        <v/>
      </c>
      <c r="B594" s="7" t="str">
        <f>IF(Notes!BZ590="","",Notes!BZ590)</f>
        <v/>
      </c>
      <c r="C594" s="7" t="str">
        <f>IF(Notes!CA590="","",Notes!CA590)</f>
        <v/>
      </c>
      <c r="D594" s="7" t="str">
        <f>IF(Notes!CB590="","",Notes!CB590)</f>
        <v/>
      </c>
      <c r="E594" s="7" t="str">
        <f>IF(Notes!CC590="","",Notes!CC590)</f>
        <v/>
      </c>
      <c r="F594" s="7" t="str">
        <f>IF(Notes!CD590="","",Notes!CD590)</f>
        <v/>
      </c>
      <c r="G594" s="7" t="str">
        <f>IF(Notes!CE590="","",Notes!CE590)</f>
        <v/>
      </c>
      <c r="H594" s="7" t="str">
        <f>IF(Notes!CF590="","",Notes!CF590)</f>
        <v/>
      </c>
      <c r="I594" s="7"/>
      <c r="J594" s="7"/>
      <c r="K594" s="7"/>
    </row>
    <row r="595" spans="1:11" x14ac:dyDescent="0.35">
      <c r="A595" s="7" t="str">
        <f>IF(Notes!BY591="","",Notes!BY591)</f>
        <v/>
      </c>
      <c r="B595" s="7" t="str">
        <f>IF(Notes!BZ591="","",Notes!BZ591)</f>
        <v/>
      </c>
      <c r="C595" s="7" t="str">
        <f>IF(Notes!CA591="","",Notes!CA591)</f>
        <v/>
      </c>
      <c r="D595" s="7" t="str">
        <f>IF(Notes!CB591="","",Notes!CB591)</f>
        <v/>
      </c>
      <c r="E595" s="7" t="str">
        <f>IF(Notes!CC591="","",Notes!CC591)</f>
        <v/>
      </c>
      <c r="F595" s="7" t="str">
        <f>IF(Notes!CD591="","",Notes!CD591)</f>
        <v/>
      </c>
      <c r="G595" s="7" t="str">
        <f>IF(Notes!CE591="","",Notes!CE591)</f>
        <v/>
      </c>
      <c r="H595" s="7" t="str">
        <f>IF(Notes!CF591="","",Notes!CF591)</f>
        <v/>
      </c>
      <c r="I595" s="7"/>
      <c r="J595" s="7"/>
      <c r="K595" s="7"/>
    </row>
    <row r="596" spans="1:11" x14ac:dyDescent="0.35">
      <c r="A596" s="7" t="str">
        <f>IF(Notes!BY592="","",Notes!BY592)</f>
        <v/>
      </c>
      <c r="B596" s="7" t="str">
        <f>IF(Notes!BZ592="","",Notes!BZ592)</f>
        <v/>
      </c>
      <c r="C596" s="7" t="str">
        <f>IF(Notes!CA592="","",Notes!CA592)</f>
        <v/>
      </c>
      <c r="D596" s="7" t="str">
        <f>IF(Notes!CB592="","",Notes!CB592)</f>
        <v/>
      </c>
      <c r="E596" s="7" t="str">
        <f>IF(Notes!CC592="","",Notes!CC592)</f>
        <v/>
      </c>
      <c r="F596" s="7" t="str">
        <f>IF(Notes!CD592="","",Notes!CD592)</f>
        <v/>
      </c>
      <c r="G596" s="7" t="str">
        <f>IF(Notes!CE592="","",Notes!CE592)</f>
        <v/>
      </c>
      <c r="H596" s="7" t="str">
        <f>IF(Notes!CF592="","",Notes!CF592)</f>
        <v/>
      </c>
      <c r="I596" s="7"/>
      <c r="J596" s="7"/>
      <c r="K596" s="7"/>
    </row>
    <row r="597" spans="1:11" x14ac:dyDescent="0.35">
      <c r="A597" s="7" t="str">
        <f>IF(Notes!BY593="","",Notes!BY593)</f>
        <v/>
      </c>
      <c r="B597" s="7" t="str">
        <f>IF(Notes!BZ593="","",Notes!BZ593)</f>
        <v/>
      </c>
      <c r="C597" s="7" t="str">
        <f>IF(Notes!CA593="","",Notes!CA593)</f>
        <v/>
      </c>
      <c r="D597" s="7" t="str">
        <f>IF(Notes!CB593="","",Notes!CB593)</f>
        <v/>
      </c>
      <c r="E597" s="7" t="str">
        <f>IF(Notes!CC593="","",Notes!CC593)</f>
        <v/>
      </c>
      <c r="F597" s="7" t="str">
        <f>IF(Notes!CD593="","",Notes!CD593)</f>
        <v/>
      </c>
      <c r="G597" s="7" t="str">
        <f>IF(Notes!CE593="","",Notes!CE593)</f>
        <v/>
      </c>
      <c r="H597" s="7" t="str">
        <f>IF(Notes!CF593="","",Notes!CF593)</f>
        <v/>
      </c>
      <c r="I597" s="7"/>
      <c r="J597" s="7"/>
      <c r="K597" s="7"/>
    </row>
    <row r="598" spans="1:11" x14ac:dyDescent="0.35">
      <c r="A598" s="7" t="str">
        <f>IF(Notes!BY594="","",Notes!BY594)</f>
        <v/>
      </c>
      <c r="B598" s="7" t="str">
        <f>IF(Notes!BZ594="","",Notes!BZ594)</f>
        <v/>
      </c>
      <c r="C598" s="7" t="str">
        <f>IF(Notes!CA594="","",Notes!CA594)</f>
        <v/>
      </c>
      <c r="D598" s="7" t="str">
        <f>IF(Notes!CB594="","",Notes!CB594)</f>
        <v/>
      </c>
      <c r="E598" s="7" t="str">
        <f>IF(Notes!CC594="","",Notes!CC594)</f>
        <v/>
      </c>
      <c r="F598" s="7" t="str">
        <f>IF(Notes!CD594="","",Notes!CD594)</f>
        <v/>
      </c>
      <c r="G598" s="7" t="str">
        <f>IF(Notes!CE594="","",Notes!CE594)</f>
        <v/>
      </c>
      <c r="H598" s="7" t="str">
        <f>IF(Notes!CF594="","",Notes!CF594)</f>
        <v/>
      </c>
      <c r="I598" s="7"/>
      <c r="J598" s="7"/>
      <c r="K598" s="7"/>
    </row>
    <row r="599" spans="1:11" x14ac:dyDescent="0.35">
      <c r="A599" s="7" t="str">
        <f>IF(Notes!BY595="","",Notes!BY595)</f>
        <v/>
      </c>
      <c r="B599" s="7" t="str">
        <f>IF(Notes!BZ595="","",Notes!BZ595)</f>
        <v/>
      </c>
      <c r="C599" s="7" t="str">
        <f>IF(Notes!CA595="","",Notes!CA595)</f>
        <v/>
      </c>
      <c r="D599" s="7" t="str">
        <f>IF(Notes!CB595="","",Notes!CB595)</f>
        <v/>
      </c>
      <c r="E599" s="7" t="str">
        <f>IF(Notes!CC595="","",Notes!CC595)</f>
        <v/>
      </c>
      <c r="F599" s="7" t="str">
        <f>IF(Notes!CD595="","",Notes!CD595)</f>
        <v/>
      </c>
      <c r="G599" s="7" t="str">
        <f>IF(Notes!CE595="","",Notes!CE595)</f>
        <v/>
      </c>
      <c r="H599" s="7" t="str">
        <f>IF(Notes!CF595="","",Notes!CF595)</f>
        <v/>
      </c>
      <c r="I599" s="7"/>
      <c r="J599" s="7"/>
      <c r="K599" s="7"/>
    </row>
    <row r="600" spans="1:11" x14ac:dyDescent="0.35">
      <c r="A600" s="7" t="str">
        <f>IF(Notes!BY596="","",Notes!BY596)</f>
        <v/>
      </c>
      <c r="B600" s="7" t="str">
        <f>IF(Notes!BZ596="","",Notes!BZ596)</f>
        <v/>
      </c>
      <c r="C600" s="7" t="str">
        <f>IF(Notes!CA596="","",Notes!CA596)</f>
        <v/>
      </c>
      <c r="D600" s="7" t="str">
        <f>IF(Notes!CB596="","",Notes!CB596)</f>
        <v/>
      </c>
      <c r="E600" s="7" t="str">
        <f>IF(Notes!CC596="","",Notes!CC596)</f>
        <v/>
      </c>
      <c r="F600" s="7" t="str">
        <f>IF(Notes!CD596="","",Notes!CD596)</f>
        <v/>
      </c>
      <c r="G600" s="7" t="str">
        <f>IF(Notes!CE596="","",Notes!CE596)</f>
        <v/>
      </c>
      <c r="H600" s="7" t="str">
        <f>IF(Notes!CF596="","",Notes!CF596)</f>
        <v/>
      </c>
      <c r="I600" s="7"/>
      <c r="J600" s="7"/>
      <c r="K600" s="7"/>
    </row>
    <row r="601" spans="1:11" x14ac:dyDescent="0.35">
      <c r="A601" s="7" t="str">
        <f>IF(Notes!BY597="","",Notes!BY597)</f>
        <v/>
      </c>
      <c r="B601" s="7" t="str">
        <f>IF(Notes!BZ597="","",Notes!BZ597)</f>
        <v/>
      </c>
      <c r="C601" s="7" t="str">
        <f>IF(Notes!CA597="","",Notes!CA597)</f>
        <v/>
      </c>
      <c r="D601" s="7" t="str">
        <f>IF(Notes!CB597="","",Notes!CB597)</f>
        <v/>
      </c>
      <c r="E601" s="7" t="str">
        <f>IF(Notes!CC597="","",Notes!CC597)</f>
        <v/>
      </c>
      <c r="F601" s="7" t="str">
        <f>IF(Notes!CD597="","",Notes!CD597)</f>
        <v/>
      </c>
      <c r="G601" s="7" t="str">
        <f>IF(Notes!CE597="","",Notes!CE597)</f>
        <v/>
      </c>
      <c r="H601" s="7" t="str">
        <f>IF(Notes!CF597="","",Notes!CF597)</f>
        <v/>
      </c>
      <c r="I601" s="7"/>
      <c r="J601" s="7"/>
      <c r="K601" s="7"/>
    </row>
    <row r="602" spans="1:11" x14ac:dyDescent="0.35">
      <c r="A602" s="7" t="str">
        <f>IF(Notes!BY598="","",Notes!BY598)</f>
        <v/>
      </c>
      <c r="B602" s="7" t="str">
        <f>IF(Notes!BZ598="","",Notes!BZ598)</f>
        <v/>
      </c>
      <c r="C602" s="7" t="str">
        <f>IF(Notes!CA598="","",Notes!CA598)</f>
        <v/>
      </c>
      <c r="D602" s="7" t="str">
        <f>IF(Notes!CB598="","",Notes!CB598)</f>
        <v/>
      </c>
      <c r="E602" s="7" t="str">
        <f>IF(Notes!CC598="","",Notes!CC598)</f>
        <v/>
      </c>
      <c r="F602" s="7" t="str">
        <f>IF(Notes!CD598="","",Notes!CD598)</f>
        <v/>
      </c>
      <c r="G602" s="7" t="str">
        <f>IF(Notes!CE598="","",Notes!CE598)</f>
        <v/>
      </c>
      <c r="H602" s="7" t="str">
        <f>IF(Notes!CF598="","",Notes!CF598)</f>
        <v/>
      </c>
      <c r="I602" s="7"/>
      <c r="J602" s="7"/>
      <c r="K602" s="7"/>
    </row>
    <row r="603" spans="1:11" x14ac:dyDescent="0.35">
      <c r="A603" s="7" t="str">
        <f>IF(Notes!BY599="","",Notes!BY599)</f>
        <v/>
      </c>
      <c r="B603" s="7" t="str">
        <f>IF(Notes!BZ599="","",Notes!BZ599)</f>
        <v/>
      </c>
      <c r="C603" s="7" t="str">
        <f>IF(Notes!CA599="","",Notes!CA599)</f>
        <v/>
      </c>
      <c r="D603" s="7" t="str">
        <f>IF(Notes!CB599="","",Notes!CB599)</f>
        <v/>
      </c>
      <c r="E603" s="7" t="str">
        <f>IF(Notes!CC599="","",Notes!CC599)</f>
        <v/>
      </c>
      <c r="F603" s="7" t="str">
        <f>IF(Notes!CD599="","",Notes!CD599)</f>
        <v/>
      </c>
      <c r="G603" s="7" t="str">
        <f>IF(Notes!CE599="","",Notes!CE599)</f>
        <v/>
      </c>
      <c r="H603" s="7" t="str">
        <f>IF(Notes!CF599="","",Notes!CF599)</f>
        <v/>
      </c>
      <c r="I603" s="7"/>
      <c r="J603" s="7"/>
      <c r="K603" s="7"/>
    </row>
    <row r="604" spans="1:11" x14ac:dyDescent="0.35">
      <c r="A604" s="7" t="str">
        <f>IF(Notes!BY600="","",Notes!BY600)</f>
        <v/>
      </c>
      <c r="B604" s="7" t="str">
        <f>IF(Notes!BZ600="","",Notes!BZ600)</f>
        <v/>
      </c>
      <c r="C604" s="7" t="str">
        <f>IF(Notes!CA600="","",Notes!CA600)</f>
        <v/>
      </c>
      <c r="D604" s="7" t="str">
        <f>IF(Notes!CB600="","",Notes!CB600)</f>
        <v/>
      </c>
      <c r="E604" s="7" t="str">
        <f>IF(Notes!CC600="","",Notes!CC600)</f>
        <v/>
      </c>
      <c r="F604" s="7" t="str">
        <f>IF(Notes!CD600="","",Notes!CD600)</f>
        <v/>
      </c>
      <c r="G604" s="7" t="str">
        <f>IF(Notes!CE600="","",Notes!CE600)</f>
        <v/>
      </c>
      <c r="H604" s="7" t="str">
        <f>IF(Notes!CF600="","",Notes!CF600)</f>
        <v/>
      </c>
      <c r="I604" s="7"/>
      <c r="J604" s="7"/>
      <c r="K604" s="7"/>
    </row>
    <row r="605" spans="1:11" x14ac:dyDescent="0.35">
      <c r="A605" s="7" t="str">
        <f>IF(Notes!BY601="","",Notes!BY601)</f>
        <v/>
      </c>
      <c r="B605" s="7" t="str">
        <f>IF(Notes!BZ601="","",Notes!BZ601)</f>
        <v/>
      </c>
      <c r="C605" s="7" t="str">
        <f>IF(Notes!CA601="","",Notes!CA601)</f>
        <v/>
      </c>
      <c r="D605" s="7" t="str">
        <f>IF(Notes!CB601="","",Notes!CB601)</f>
        <v/>
      </c>
      <c r="E605" s="7" t="str">
        <f>IF(Notes!CC601="","",Notes!CC601)</f>
        <v/>
      </c>
      <c r="F605" s="7" t="str">
        <f>IF(Notes!CD601="","",Notes!CD601)</f>
        <v/>
      </c>
      <c r="G605" s="7" t="str">
        <f>IF(Notes!CE601="","",Notes!CE601)</f>
        <v/>
      </c>
      <c r="H605" s="7" t="str">
        <f>IF(Notes!CF601="","",Notes!CF601)</f>
        <v/>
      </c>
      <c r="I605" s="7"/>
      <c r="J605" s="7"/>
      <c r="K605" s="7"/>
    </row>
    <row r="606" spans="1:11" x14ac:dyDescent="0.35">
      <c r="A606" s="7" t="str">
        <f>IF(Notes!BY602="","",Notes!BY602)</f>
        <v/>
      </c>
      <c r="B606" s="7" t="str">
        <f>IF(Notes!BZ602="","",Notes!BZ602)</f>
        <v/>
      </c>
      <c r="C606" s="7" t="str">
        <f>IF(Notes!CA602="","",Notes!CA602)</f>
        <v/>
      </c>
      <c r="D606" s="7" t="str">
        <f>IF(Notes!CB602="","",Notes!CB602)</f>
        <v/>
      </c>
      <c r="E606" s="7" t="str">
        <f>IF(Notes!CC602="","",Notes!CC602)</f>
        <v/>
      </c>
      <c r="F606" s="7" t="str">
        <f>IF(Notes!CD602="","",Notes!CD602)</f>
        <v/>
      </c>
      <c r="G606" s="7" t="str">
        <f>IF(Notes!CE602="","",Notes!CE602)</f>
        <v/>
      </c>
      <c r="H606" s="7" t="str">
        <f>IF(Notes!CF602="","",Notes!CF602)</f>
        <v/>
      </c>
      <c r="I606" s="7"/>
      <c r="J606" s="7"/>
      <c r="K606" s="7"/>
    </row>
    <row r="607" spans="1:11" x14ac:dyDescent="0.35">
      <c r="A607" s="7" t="str">
        <f>IF(Notes!BY603="","",Notes!BY603)</f>
        <v/>
      </c>
      <c r="B607" s="7" t="str">
        <f>IF(Notes!BZ603="","",Notes!BZ603)</f>
        <v/>
      </c>
      <c r="C607" s="7" t="str">
        <f>IF(Notes!CA603="","",Notes!CA603)</f>
        <v/>
      </c>
      <c r="D607" s="7" t="str">
        <f>IF(Notes!CB603="","",Notes!CB603)</f>
        <v/>
      </c>
      <c r="E607" s="7" t="str">
        <f>IF(Notes!CC603="","",Notes!CC603)</f>
        <v/>
      </c>
      <c r="F607" s="7" t="str">
        <f>IF(Notes!CD603="","",Notes!CD603)</f>
        <v/>
      </c>
      <c r="G607" s="7" t="str">
        <f>IF(Notes!CE603="","",Notes!CE603)</f>
        <v/>
      </c>
      <c r="H607" s="7" t="str">
        <f>IF(Notes!CF603="","",Notes!CF603)</f>
        <v/>
      </c>
      <c r="I607" s="7"/>
      <c r="J607" s="7"/>
      <c r="K607" s="7"/>
    </row>
    <row r="608" spans="1:11" x14ac:dyDescent="0.35">
      <c r="A608" s="7" t="str">
        <f>IF(Notes!BY604="","",Notes!BY604)</f>
        <v/>
      </c>
      <c r="B608" s="7" t="str">
        <f>IF(Notes!BZ604="","",Notes!BZ604)</f>
        <v/>
      </c>
      <c r="C608" s="7" t="str">
        <f>IF(Notes!CA604="","",Notes!CA604)</f>
        <v/>
      </c>
      <c r="D608" s="7" t="str">
        <f>IF(Notes!CB604="","",Notes!CB604)</f>
        <v/>
      </c>
      <c r="E608" s="7" t="str">
        <f>IF(Notes!CC604="","",Notes!CC604)</f>
        <v/>
      </c>
      <c r="F608" s="7" t="str">
        <f>IF(Notes!CD604="","",Notes!CD604)</f>
        <v/>
      </c>
      <c r="G608" s="7" t="str">
        <f>IF(Notes!CE604="","",Notes!CE604)</f>
        <v/>
      </c>
      <c r="H608" s="7" t="str">
        <f>IF(Notes!CF604="","",Notes!CF604)</f>
        <v/>
      </c>
      <c r="I608" s="7"/>
      <c r="J608" s="7"/>
      <c r="K608" s="7"/>
    </row>
    <row r="609" spans="1:11" x14ac:dyDescent="0.35">
      <c r="A609" s="7" t="str">
        <f>IF(Notes!BY605="","",Notes!BY605)</f>
        <v/>
      </c>
      <c r="B609" s="7" t="str">
        <f>IF(Notes!BZ605="","",Notes!BZ605)</f>
        <v/>
      </c>
      <c r="C609" s="7" t="str">
        <f>IF(Notes!CA605="","",Notes!CA605)</f>
        <v/>
      </c>
      <c r="D609" s="7" t="str">
        <f>IF(Notes!CB605="","",Notes!CB605)</f>
        <v/>
      </c>
      <c r="E609" s="7" t="str">
        <f>IF(Notes!CC605="","",Notes!CC605)</f>
        <v/>
      </c>
      <c r="F609" s="7" t="str">
        <f>IF(Notes!CD605="","",Notes!CD605)</f>
        <v/>
      </c>
      <c r="G609" s="7" t="str">
        <f>IF(Notes!CE605="","",Notes!CE605)</f>
        <v/>
      </c>
      <c r="H609" s="7" t="str">
        <f>IF(Notes!CF605="","",Notes!CF605)</f>
        <v/>
      </c>
      <c r="I609" s="7"/>
      <c r="J609" s="7"/>
      <c r="K609" s="7"/>
    </row>
    <row r="610" spans="1:11" x14ac:dyDescent="0.35">
      <c r="A610" s="7" t="str">
        <f>IF(Notes!BY606="","",Notes!BY606)</f>
        <v/>
      </c>
      <c r="B610" s="7" t="str">
        <f>IF(Notes!BZ606="","",Notes!BZ606)</f>
        <v/>
      </c>
      <c r="C610" s="7" t="str">
        <f>IF(Notes!CA606="","",Notes!CA606)</f>
        <v/>
      </c>
      <c r="D610" s="7" t="str">
        <f>IF(Notes!CB606="","",Notes!CB606)</f>
        <v/>
      </c>
      <c r="E610" s="7" t="str">
        <f>IF(Notes!CC606="","",Notes!CC606)</f>
        <v/>
      </c>
      <c r="F610" s="7" t="str">
        <f>IF(Notes!CD606="","",Notes!CD606)</f>
        <v/>
      </c>
      <c r="G610" s="7" t="str">
        <f>IF(Notes!CE606="","",Notes!CE606)</f>
        <v/>
      </c>
      <c r="H610" s="7" t="str">
        <f>IF(Notes!CF606="","",Notes!CF606)</f>
        <v/>
      </c>
      <c r="I610" s="7"/>
      <c r="J610" s="7"/>
      <c r="K610" s="7"/>
    </row>
    <row r="611" spans="1:11" x14ac:dyDescent="0.35">
      <c r="A611" s="7" t="str">
        <f>IF(Notes!BY607="","",Notes!BY607)</f>
        <v/>
      </c>
      <c r="B611" s="7" t="str">
        <f>IF(Notes!BZ607="","",Notes!BZ607)</f>
        <v/>
      </c>
      <c r="C611" s="7" t="str">
        <f>IF(Notes!CA607="","",Notes!CA607)</f>
        <v/>
      </c>
      <c r="D611" s="7" t="str">
        <f>IF(Notes!CB607="","",Notes!CB607)</f>
        <v/>
      </c>
      <c r="E611" s="7" t="str">
        <f>IF(Notes!CC607="","",Notes!CC607)</f>
        <v/>
      </c>
      <c r="F611" s="7" t="str">
        <f>IF(Notes!CD607="","",Notes!CD607)</f>
        <v/>
      </c>
      <c r="G611" s="7" t="str">
        <f>IF(Notes!CE607="","",Notes!CE607)</f>
        <v/>
      </c>
      <c r="H611" s="7" t="str">
        <f>IF(Notes!CF607="","",Notes!CF607)</f>
        <v/>
      </c>
      <c r="I611" s="7"/>
      <c r="J611" s="7"/>
      <c r="K611" s="7"/>
    </row>
    <row r="612" spans="1:11" x14ac:dyDescent="0.35">
      <c r="A612" s="7" t="str">
        <f>IF(Notes!BY608="","",Notes!BY608)</f>
        <v/>
      </c>
      <c r="B612" s="7" t="str">
        <f>IF(Notes!BZ608="","",Notes!BZ608)</f>
        <v/>
      </c>
      <c r="C612" s="7" t="str">
        <f>IF(Notes!CA608="","",Notes!CA608)</f>
        <v/>
      </c>
      <c r="D612" s="7" t="str">
        <f>IF(Notes!CB608="","",Notes!CB608)</f>
        <v/>
      </c>
      <c r="E612" s="7" t="str">
        <f>IF(Notes!CC608="","",Notes!CC608)</f>
        <v/>
      </c>
      <c r="F612" s="7" t="str">
        <f>IF(Notes!CD608="","",Notes!CD608)</f>
        <v/>
      </c>
      <c r="G612" s="7" t="str">
        <f>IF(Notes!CE608="","",Notes!CE608)</f>
        <v/>
      </c>
      <c r="H612" s="7" t="str">
        <f>IF(Notes!CF608="","",Notes!CF608)</f>
        <v/>
      </c>
      <c r="I612" s="7"/>
      <c r="J612" s="7"/>
      <c r="K612" s="7"/>
    </row>
    <row r="613" spans="1:11" x14ac:dyDescent="0.35">
      <c r="A613" s="7" t="str">
        <f>IF(Notes!BY609="","",Notes!BY609)</f>
        <v/>
      </c>
      <c r="B613" s="7" t="str">
        <f>IF(Notes!BZ609="","",Notes!BZ609)</f>
        <v/>
      </c>
      <c r="C613" s="7" t="str">
        <f>IF(Notes!CA609="","",Notes!CA609)</f>
        <v/>
      </c>
      <c r="D613" s="7" t="str">
        <f>IF(Notes!CB609="","",Notes!CB609)</f>
        <v/>
      </c>
      <c r="E613" s="7" t="str">
        <f>IF(Notes!CC609="","",Notes!CC609)</f>
        <v/>
      </c>
      <c r="F613" s="7" t="str">
        <f>IF(Notes!CD609="","",Notes!CD609)</f>
        <v/>
      </c>
      <c r="G613" s="7" t="str">
        <f>IF(Notes!CE609="","",Notes!CE609)</f>
        <v/>
      </c>
      <c r="H613" s="7" t="str">
        <f>IF(Notes!CF609="","",Notes!CF609)</f>
        <v/>
      </c>
      <c r="I613" s="7"/>
      <c r="J613" s="7"/>
      <c r="K613" s="7"/>
    </row>
    <row r="614" spans="1:11" x14ac:dyDescent="0.35">
      <c r="A614" s="7" t="str">
        <f>IF(Notes!BY610="","",Notes!BY610)</f>
        <v/>
      </c>
      <c r="B614" s="7" t="str">
        <f>IF(Notes!BZ610="","",Notes!BZ610)</f>
        <v/>
      </c>
      <c r="C614" s="7" t="str">
        <f>IF(Notes!CA610="","",Notes!CA610)</f>
        <v/>
      </c>
      <c r="D614" s="7" t="str">
        <f>IF(Notes!CB610="","",Notes!CB610)</f>
        <v/>
      </c>
      <c r="E614" s="7" t="str">
        <f>IF(Notes!CC610="","",Notes!CC610)</f>
        <v/>
      </c>
      <c r="F614" s="7" t="str">
        <f>IF(Notes!CD610="","",Notes!CD610)</f>
        <v/>
      </c>
      <c r="G614" s="7" t="str">
        <f>IF(Notes!CE610="","",Notes!CE610)</f>
        <v/>
      </c>
      <c r="H614" s="7" t="str">
        <f>IF(Notes!CF610="","",Notes!CF610)</f>
        <v/>
      </c>
      <c r="I614" s="7"/>
      <c r="J614" s="7"/>
      <c r="K614" s="7"/>
    </row>
    <row r="615" spans="1:11" x14ac:dyDescent="0.35">
      <c r="A615" s="7" t="str">
        <f>IF(Notes!BY611="","",Notes!BY611)</f>
        <v/>
      </c>
      <c r="B615" s="7" t="str">
        <f>IF(Notes!BZ611="","",Notes!BZ611)</f>
        <v/>
      </c>
      <c r="C615" s="7" t="str">
        <f>IF(Notes!CA611="","",Notes!CA611)</f>
        <v/>
      </c>
      <c r="D615" s="7" t="str">
        <f>IF(Notes!CB611="","",Notes!CB611)</f>
        <v/>
      </c>
      <c r="E615" s="7" t="str">
        <f>IF(Notes!CC611="","",Notes!CC611)</f>
        <v/>
      </c>
      <c r="F615" s="7" t="str">
        <f>IF(Notes!CD611="","",Notes!CD611)</f>
        <v/>
      </c>
      <c r="G615" s="7" t="str">
        <f>IF(Notes!CE611="","",Notes!CE611)</f>
        <v/>
      </c>
      <c r="H615" s="7" t="str">
        <f>IF(Notes!CF611="","",Notes!CF611)</f>
        <v/>
      </c>
      <c r="I615" s="7"/>
      <c r="J615" s="7"/>
      <c r="K615" s="7"/>
    </row>
    <row r="616" spans="1:11" x14ac:dyDescent="0.35">
      <c r="A616" s="7" t="str">
        <f>IF(Notes!BY612="","",Notes!BY612)</f>
        <v/>
      </c>
      <c r="B616" s="7" t="str">
        <f>IF(Notes!BZ612="","",Notes!BZ612)</f>
        <v/>
      </c>
      <c r="C616" s="7" t="str">
        <f>IF(Notes!CA612="","",Notes!CA612)</f>
        <v/>
      </c>
      <c r="D616" s="7" t="str">
        <f>IF(Notes!CB612="","",Notes!CB612)</f>
        <v/>
      </c>
      <c r="E616" s="7" t="str">
        <f>IF(Notes!CC612="","",Notes!CC612)</f>
        <v/>
      </c>
      <c r="F616" s="7" t="str">
        <f>IF(Notes!CD612="","",Notes!CD612)</f>
        <v/>
      </c>
      <c r="G616" s="7" t="str">
        <f>IF(Notes!CE612="","",Notes!CE612)</f>
        <v/>
      </c>
      <c r="H616" s="7" t="str">
        <f>IF(Notes!CF612="","",Notes!CF612)</f>
        <v/>
      </c>
      <c r="I616" s="7"/>
      <c r="J616" s="7"/>
      <c r="K616" s="7"/>
    </row>
    <row r="617" spans="1:11" x14ac:dyDescent="0.35">
      <c r="A617" s="7" t="str">
        <f>IF(Notes!BY613="","",Notes!BY613)</f>
        <v/>
      </c>
      <c r="B617" s="7" t="str">
        <f>IF(Notes!BZ613="","",Notes!BZ613)</f>
        <v/>
      </c>
      <c r="C617" s="7" t="str">
        <f>IF(Notes!CA613="","",Notes!CA613)</f>
        <v/>
      </c>
      <c r="D617" s="7" t="str">
        <f>IF(Notes!CB613="","",Notes!CB613)</f>
        <v/>
      </c>
      <c r="E617" s="7" t="str">
        <f>IF(Notes!CC613="","",Notes!CC613)</f>
        <v/>
      </c>
      <c r="F617" s="7" t="str">
        <f>IF(Notes!CD613="","",Notes!CD613)</f>
        <v/>
      </c>
      <c r="G617" s="7" t="str">
        <f>IF(Notes!CE613="","",Notes!CE613)</f>
        <v/>
      </c>
      <c r="H617" s="7" t="str">
        <f>IF(Notes!CF613="","",Notes!CF613)</f>
        <v/>
      </c>
      <c r="I617" s="7"/>
      <c r="J617" s="7"/>
      <c r="K617" s="7"/>
    </row>
    <row r="618" spans="1:11" x14ac:dyDescent="0.35">
      <c r="A618" s="7" t="str">
        <f>IF(Notes!BY614="","",Notes!BY614)</f>
        <v/>
      </c>
      <c r="B618" s="7" t="str">
        <f>IF(Notes!BZ614="","",Notes!BZ614)</f>
        <v/>
      </c>
      <c r="C618" s="7" t="str">
        <f>IF(Notes!CA614="","",Notes!CA614)</f>
        <v/>
      </c>
      <c r="D618" s="7" t="str">
        <f>IF(Notes!CB614="","",Notes!CB614)</f>
        <v/>
      </c>
      <c r="E618" s="7" t="str">
        <f>IF(Notes!CC614="","",Notes!CC614)</f>
        <v/>
      </c>
      <c r="F618" s="7" t="str">
        <f>IF(Notes!CD614="","",Notes!CD614)</f>
        <v/>
      </c>
      <c r="G618" s="7" t="str">
        <f>IF(Notes!CE614="","",Notes!CE614)</f>
        <v/>
      </c>
      <c r="H618" s="7" t="str">
        <f>IF(Notes!CF614="","",Notes!CF614)</f>
        <v/>
      </c>
      <c r="I618" s="7"/>
      <c r="J618" s="7"/>
      <c r="K618" s="7"/>
    </row>
    <row r="619" spans="1:11" x14ac:dyDescent="0.35">
      <c r="A619" s="7" t="str">
        <f>IF(Notes!BY615="","",Notes!BY615)</f>
        <v/>
      </c>
      <c r="B619" s="7" t="str">
        <f>IF(Notes!BZ615="","",Notes!BZ615)</f>
        <v/>
      </c>
      <c r="C619" s="7" t="str">
        <f>IF(Notes!CA615="","",Notes!CA615)</f>
        <v/>
      </c>
      <c r="D619" s="7" t="str">
        <f>IF(Notes!CB615="","",Notes!CB615)</f>
        <v/>
      </c>
      <c r="E619" s="7" t="str">
        <f>IF(Notes!CC615="","",Notes!CC615)</f>
        <v/>
      </c>
      <c r="F619" s="7" t="str">
        <f>IF(Notes!CD615="","",Notes!CD615)</f>
        <v/>
      </c>
      <c r="G619" s="7" t="str">
        <f>IF(Notes!CE615="","",Notes!CE615)</f>
        <v/>
      </c>
      <c r="H619" s="7" t="str">
        <f>IF(Notes!CF615="","",Notes!CF615)</f>
        <v/>
      </c>
      <c r="I619" s="7"/>
      <c r="J619" s="7"/>
      <c r="K619" s="7"/>
    </row>
    <row r="620" spans="1:11" x14ac:dyDescent="0.35">
      <c r="A620" s="7" t="str">
        <f>IF(Notes!BY616="","",Notes!BY616)</f>
        <v/>
      </c>
      <c r="B620" s="7" t="str">
        <f>IF(Notes!BZ616="","",Notes!BZ616)</f>
        <v/>
      </c>
      <c r="C620" s="7" t="str">
        <f>IF(Notes!CA616="","",Notes!CA616)</f>
        <v/>
      </c>
      <c r="D620" s="7" t="str">
        <f>IF(Notes!CB616="","",Notes!CB616)</f>
        <v/>
      </c>
      <c r="E620" s="7" t="str">
        <f>IF(Notes!CC616="","",Notes!CC616)</f>
        <v/>
      </c>
      <c r="F620" s="7" t="str">
        <f>IF(Notes!CD616="","",Notes!CD616)</f>
        <v/>
      </c>
      <c r="G620" s="7" t="str">
        <f>IF(Notes!CE616="","",Notes!CE616)</f>
        <v/>
      </c>
      <c r="H620" s="7" t="str">
        <f>IF(Notes!CF616="","",Notes!CF616)</f>
        <v/>
      </c>
      <c r="I620" s="7"/>
      <c r="J620" s="7"/>
      <c r="K620" s="7"/>
    </row>
    <row r="621" spans="1:11" x14ac:dyDescent="0.35">
      <c r="A621" s="7" t="str">
        <f>IF(Notes!BY617="","",Notes!BY617)</f>
        <v/>
      </c>
      <c r="B621" s="7" t="str">
        <f>IF(Notes!BZ617="","",Notes!BZ617)</f>
        <v/>
      </c>
      <c r="C621" s="7" t="str">
        <f>IF(Notes!CA617="","",Notes!CA617)</f>
        <v/>
      </c>
      <c r="D621" s="7" t="str">
        <f>IF(Notes!CB617="","",Notes!CB617)</f>
        <v/>
      </c>
      <c r="E621" s="7" t="str">
        <f>IF(Notes!CC617="","",Notes!CC617)</f>
        <v/>
      </c>
      <c r="F621" s="7" t="str">
        <f>IF(Notes!CD617="","",Notes!CD617)</f>
        <v/>
      </c>
      <c r="G621" s="7" t="str">
        <f>IF(Notes!CE617="","",Notes!CE617)</f>
        <v/>
      </c>
      <c r="H621" s="7" t="str">
        <f>IF(Notes!CF617="","",Notes!CF617)</f>
        <v/>
      </c>
      <c r="I621" s="7"/>
      <c r="J621" s="7"/>
      <c r="K621" s="7"/>
    </row>
    <row r="622" spans="1:11" x14ac:dyDescent="0.35">
      <c r="A622" s="7" t="str">
        <f>IF(Notes!BY618="","",Notes!BY618)</f>
        <v/>
      </c>
      <c r="B622" s="7" t="str">
        <f>IF(Notes!BZ618="","",Notes!BZ618)</f>
        <v/>
      </c>
      <c r="C622" s="7" t="str">
        <f>IF(Notes!CA618="","",Notes!CA618)</f>
        <v/>
      </c>
      <c r="D622" s="7" t="str">
        <f>IF(Notes!CB618="","",Notes!CB618)</f>
        <v/>
      </c>
      <c r="E622" s="7" t="str">
        <f>IF(Notes!CC618="","",Notes!CC618)</f>
        <v/>
      </c>
      <c r="F622" s="7" t="str">
        <f>IF(Notes!CD618="","",Notes!CD618)</f>
        <v/>
      </c>
      <c r="G622" s="7" t="str">
        <f>IF(Notes!CE618="","",Notes!CE618)</f>
        <v/>
      </c>
      <c r="H622" s="7" t="str">
        <f>IF(Notes!CF618="","",Notes!CF618)</f>
        <v/>
      </c>
      <c r="I622" s="7"/>
      <c r="J622" s="7"/>
      <c r="K622" s="7"/>
    </row>
    <row r="623" spans="1:11" x14ac:dyDescent="0.35">
      <c r="A623" s="7" t="str">
        <f>IF(Notes!BY619="","",Notes!BY619)</f>
        <v/>
      </c>
      <c r="B623" s="7" t="str">
        <f>IF(Notes!BZ619="","",Notes!BZ619)</f>
        <v/>
      </c>
      <c r="C623" s="7" t="str">
        <f>IF(Notes!CA619="","",Notes!CA619)</f>
        <v/>
      </c>
      <c r="D623" s="7" t="str">
        <f>IF(Notes!CB619="","",Notes!CB619)</f>
        <v/>
      </c>
      <c r="E623" s="7" t="str">
        <f>IF(Notes!CC619="","",Notes!CC619)</f>
        <v/>
      </c>
      <c r="F623" s="7" t="str">
        <f>IF(Notes!CD619="","",Notes!CD619)</f>
        <v/>
      </c>
      <c r="G623" s="7" t="str">
        <f>IF(Notes!CE619="","",Notes!CE619)</f>
        <v/>
      </c>
      <c r="H623" s="7" t="str">
        <f>IF(Notes!CF619="","",Notes!CF619)</f>
        <v/>
      </c>
      <c r="I623" s="7"/>
      <c r="J623" s="7"/>
      <c r="K623" s="7"/>
    </row>
    <row r="624" spans="1:11" x14ac:dyDescent="0.35">
      <c r="A624" s="7" t="str">
        <f>IF(Notes!BY620="","",Notes!BY620)</f>
        <v/>
      </c>
      <c r="B624" s="7" t="str">
        <f>IF(Notes!BZ620="","",Notes!BZ620)</f>
        <v/>
      </c>
      <c r="C624" s="7" t="str">
        <f>IF(Notes!CA620="","",Notes!CA620)</f>
        <v/>
      </c>
      <c r="D624" s="7" t="str">
        <f>IF(Notes!CB620="","",Notes!CB620)</f>
        <v/>
      </c>
      <c r="E624" s="7" t="str">
        <f>IF(Notes!CC620="","",Notes!CC620)</f>
        <v/>
      </c>
      <c r="F624" s="7" t="str">
        <f>IF(Notes!CD620="","",Notes!CD620)</f>
        <v/>
      </c>
      <c r="G624" s="7" t="str">
        <f>IF(Notes!CE620="","",Notes!CE620)</f>
        <v/>
      </c>
      <c r="H624" s="7" t="str">
        <f>IF(Notes!CF620="","",Notes!CF620)</f>
        <v/>
      </c>
      <c r="I624" s="7"/>
      <c r="J624" s="7"/>
      <c r="K624" s="7"/>
    </row>
    <row r="625" spans="1:11" x14ac:dyDescent="0.35">
      <c r="A625" s="7" t="str">
        <f>IF(Notes!BY621="","",Notes!BY621)</f>
        <v/>
      </c>
      <c r="B625" s="7" t="str">
        <f>IF(Notes!BZ621="","",Notes!BZ621)</f>
        <v/>
      </c>
      <c r="C625" s="7" t="str">
        <f>IF(Notes!CA621="","",Notes!CA621)</f>
        <v/>
      </c>
      <c r="D625" s="7" t="str">
        <f>IF(Notes!CB621="","",Notes!CB621)</f>
        <v/>
      </c>
      <c r="E625" s="7" t="str">
        <f>IF(Notes!CC621="","",Notes!CC621)</f>
        <v/>
      </c>
      <c r="F625" s="7" t="str">
        <f>IF(Notes!CD621="","",Notes!CD621)</f>
        <v/>
      </c>
      <c r="G625" s="7" t="str">
        <f>IF(Notes!CE621="","",Notes!CE621)</f>
        <v/>
      </c>
      <c r="H625" s="7" t="str">
        <f>IF(Notes!CF621="","",Notes!CF621)</f>
        <v/>
      </c>
      <c r="I625" s="7"/>
      <c r="J625" s="7"/>
      <c r="K625" s="7"/>
    </row>
    <row r="626" spans="1:11" x14ac:dyDescent="0.35">
      <c r="A626" s="7" t="str">
        <f>IF(Notes!BY622="","",Notes!BY622)</f>
        <v/>
      </c>
      <c r="B626" s="7" t="str">
        <f>IF(Notes!BZ622="","",Notes!BZ622)</f>
        <v/>
      </c>
      <c r="C626" s="7" t="str">
        <f>IF(Notes!CA622="","",Notes!CA622)</f>
        <v/>
      </c>
      <c r="D626" s="7" t="str">
        <f>IF(Notes!CB622="","",Notes!CB622)</f>
        <v/>
      </c>
      <c r="E626" s="7" t="str">
        <f>IF(Notes!CC622="","",Notes!CC622)</f>
        <v/>
      </c>
      <c r="F626" s="7" t="str">
        <f>IF(Notes!CD622="","",Notes!CD622)</f>
        <v/>
      </c>
      <c r="G626" s="7" t="str">
        <f>IF(Notes!CE622="","",Notes!CE622)</f>
        <v/>
      </c>
      <c r="H626" s="7" t="str">
        <f>IF(Notes!CF622="","",Notes!CF622)</f>
        <v/>
      </c>
      <c r="I626" s="7"/>
      <c r="J626" s="7"/>
      <c r="K626" s="7"/>
    </row>
    <row r="627" spans="1:11" x14ac:dyDescent="0.35">
      <c r="A627" s="7" t="str">
        <f>IF(Notes!BY623="","",Notes!BY623)</f>
        <v/>
      </c>
      <c r="B627" s="7" t="str">
        <f>IF(Notes!BZ623="","",Notes!BZ623)</f>
        <v/>
      </c>
      <c r="C627" s="7" t="str">
        <f>IF(Notes!CA623="","",Notes!CA623)</f>
        <v/>
      </c>
      <c r="D627" s="7" t="str">
        <f>IF(Notes!CB623="","",Notes!CB623)</f>
        <v/>
      </c>
      <c r="E627" s="7" t="str">
        <f>IF(Notes!CC623="","",Notes!CC623)</f>
        <v/>
      </c>
      <c r="F627" s="7" t="str">
        <f>IF(Notes!CD623="","",Notes!CD623)</f>
        <v/>
      </c>
      <c r="G627" s="7" t="str">
        <f>IF(Notes!CE623="","",Notes!CE623)</f>
        <v/>
      </c>
      <c r="H627" s="7" t="str">
        <f>IF(Notes!CF623="","",Notes!CF623)</f>
        <v/>
      </c>
      <c r="I627" s="7"/>
      <c r="J627" s="7"/>
      <c r="K627" s="7"/>
    </row>
    <row r="628" spans="1:11" x14ac:dyDescent="0.35">
      <c r="A628" s="7" t="str">
        <f>IF(Notes!BY624="","",Notes!BY624)</f>
        <v/>
      </c>
      <c r="B628" s="7" t="str">
        <f>IF(Notes!BZ624="","",Notes!BZ624)</f>
        <v/>
      </c>
      <c r="C628" s="7" t="str">
        <f>IF(Notes!CA624="","",Notes!CA624)</f>
        <v/>
      </c>
      <c r="D628" s="7" t="str">
        <f>IF(Notes!CB624="","",Notes!CB624)</f>
        <v/>
      </c>
      <c r="E628" s="7" t="str">
        <f>IF(Notes!CC624="","",Notes!CC624)</f>
        <v/>
      </c>
      <c r="F628" s="7" t="str">
        <f>IF(Notes!CD624="","",Notes!CD624)</f>
        <v/>
      </c>
      <c r="G628" s="7" t="str">
        <f>IF(Notes!CE624="","",Notes!CE624)</f>
        <v/>
      </c>
      <c r="H628" s="7" t="str">
        <f>IF(Notes!CF624="","",Notes!CF624)</f>
        <v/>
      </c>
      <c r="I628" s="7"/>
      <c r="J628" s="7"/>
      <c r="K628" s="7"/>
    </row>
    <row r="629" spans="1:11" x14ac:dyDescent="0.35">
      <c r="A629" s="7" t="str">
        <f>IF(Notes!BY625="","",Notes!BY625)</f>
        <v/>
      </c>
      <c r="B629" s="7" t="str">
        <f>IF(Notes!BZ625="","",Notes!BZ625)</f>
        <v/>
      </c>
      <c r="C629" s="7" t="str">
        <f>IF(Notes!CA625="","",Notes!CA625)</f>
        <v/>
      </c>
      <c r="D629" s="7" t="str">
        <f>IF(Notes!CB625="","",Notes!CB625)</f>
        <v/>
      </c>
      <c r="E629" s="7" t="str">
        <f>IF(Notes!CC625="","",Notes!CC625)</f>
        <v/>
      </c>
      <c r="F629" s="7" t="str">
        <f>IF(Notes!CD625="","",Notes!CD625)</f>
        <v/>
      </c>
      <c r="G629" s="7" t="str">
        <f>IF(Notes!CE625="","",Notes!CE625)</f>
        <v/>
      </c>
      <c r="H629" s="7" t="str">
        <f>IF(Notes!CF625="","",Notes!CF625)</f>
        <v/>
      </c>
      <c r="I629" s="7"/>
      <c r="J629" s="7"/>
      <c r="K629" s="7"/>
    </row>
    <row r="630" spans="1:11" x14ac:dyDescent="0.35">
      <c r="A630" s="7" t="str">
        <f>IF(Notes!BY626="","",Notes!BY626)</f>
        <v/>
      </c>
      <c r="B630" s="7" t="str">
        <f>IF(Notes!BZ626="","",Notes!BZ626)</f>
        <v/>
      </c>
      <c r="C630" s="7" t="str">
        <f>IF(Notes!CA626="","",Notes!CA626)</f>
        <v/>
      </c>
      <c r="D630" s="7" t="str">
        <f>IF(Notes!CB626="","",Notes!CB626)</f>
        <v/>
      </c>
      <c r="E630" s="7" t="str">
        <f>IF(Notes!CC626="","",Notes!CC626)</f>
        <v/>
      </c>
      <c r="F630" s="7" t="str">
        <f>IF(Notes!CD626="","",Notes!CD626)</f>
        <v/>
      </c>
      <c r="G630" s="7" t="str">
        <f>IF(Notes!CE626="","",Notes!CE626)</f>
        <v/>
      </c>
      <c r="H630" s="7" t="str">
        <f>IF(Notes!CF626="","",Notes!CF626)</f>
        <v/>
      </c>
      <c r="I630" s="7"/>
      <c r="J630" s="7"/>
      <c r="K630" s="7"/>
    </row>
    <row r="631" spans="1:11" x14ac:dyDescent="0.35">
      <c r="A631" s="7" t="str">
        <f>IF(Notes!BY627="","",Notes!BY627)</f>
        <v/>
      </c>
      <c r="B631" s="7" t="str">
        <f>IF(Notes!BZ627="","",Notes!BZ627)</f>
        <v/>
      </c>
      <c r="C631" s="7" t="str">
        <f>IF(Notes!CA627="","",Notes!CA627)</f>
        <v/>
      </c>
      <c r="D631" s="7" t="str">
        <f>IF(Notes!CB627="","",Notes!CB627)</f>
        <v/>
      </c>
      <c r="E631" s="7" t="str">
        <f>IF(Notes!CC627="","",Notes!CC627)</f>
        <v/>
      </c>
      <c r="F631" s="7" t="str">
        <f>IF(Notes!CD627="","",Notes!CD627)</f>
        <v/>
      </c>
      <c r="G631" s="7" t="str">
        <f>IF(Notes!CE627="","",Notes!CE627)</f>
        <v/>
      </c>
      <c r="H631" s="7" t="str">
        <f>IF(Notes!CF627="","",Notes!CF627)</f>
        <v/>
      </c>
      <c r="I631" s="7"/>
      <c r="J631" s="7"/>
      <c r="K631" s="7"/>
    </row>
    <row r="632" spans="1:11" x14ac:dyDescent="0.35">
      <c r="A632" s="7" t="str">
        <f>IF(Notes!BY628="","",Notes!BY628)</f>
        <v/>
      </c>
      <c r="B632" s="7" t="str">
        <f>IF(Notes!BZ628="","",Notes!BZ628)</f>
        <v/>
      </c>
      <c r="C632" s="7" t="str">
        <f>IF(Notes!CA628="","",Notes!CA628)</f>
        <v/>
      </c>
      <c r="D632" s="7" t="str">
        <f>IF(Notes!CB628="","",Notes!CB628)</f>
        <v/>
      </c>
      <c r="E632" s="7" t="str">
        <f>IF(Notes!CC628="","",Notes!CC628)</f>
        <v/>
      </c>
      <c r="F632" s="7" t="str">
        <f>IF(Notes!CD628="","",Notes!CD628)</f>
        <v/>
      </c>
      <c r="G632" s="7" t="str">
        <f>IF(Notes!CE628="","",Notes!CE628)</f>
        <v/>
      </c>
      <c r="H632" s="7" t="str">
        <f>IF(Notes!CF628="","",Notes!CF628)</f>
        <v/>
      </c>
      <c r="I632" s="7"/>
      <c r="J632" s="7"/>
      <c r="K632" s="7"/>
    </row>
    <row r="633" spans="1:11" x14ac:dyDescent="0.35">
      <c r="A633" s="7" t="str">
        <f>IF(Notes!BY629="","",Notes!BY629)</f>
        <v/>
      </c>
      <c r="B633" s="7" t="str">
        <f>IF(Notes!BZ629="","",Notes!BZ629)</f>
        <v/>
      </c>
      <c r="C633" s="7" t="str">
        <f>IF(Notes!CA629="","",Notes!CA629)</f>
        <v/>
      </c>
      <c r="D633" s="7" t="str">
        <f>IF(Notes!CB629="","",Notes!CB629)</f>
        <v/>
      </c>
      <c r="E633" s="7" t="str">
        <f>IF(Notes!CC629="","",Notes!CC629)</f>
        <v/>
      </c>
      <c r="F633" s="7" t="str">
        <f>IF(Notes!CD629="","",Notes!CD629)</f>
        <v/>
      </c>
      <c r="G633" s="7" t="str">
        <f>IF(Notes!CE629="","",Notes!CE629)</f>
        <v/>
      </c>
      <c r="H633" s="7" t="str">
        <f>IF(Notes!CF629="","",Notes!CF629)</f>
        <v/>
      </c>
      <c r="I633" s="7"/>
      <c r="J633" s="7"/>
      <c r="K633" s="7"/>
    </row>
    <row r="634" spans="1:11" x14ac:dyDescent="0.35">
      <c r="A634" s="7" t="str">
        <f>IF(Notes!BY630="","",Notes!BY630)</f>
        <v/>
      </c>
      <c r="B634" s="7" t="str">
        <f>IF(Notes!BZ630="","",Notes!BZ630)</f>
        <v/>
      </c>
      <c r="C634" s="7" t="str">
        <f>IF(Notes!CA630="","",Notes!CA630)</f>
        <v/>
      </c>
      <c r="D634" s="7" t="str">
        <f>IF(Notes!CB630="","",Notes!CB630)</f>
        <v/>
      </c>
      <c r="E634" s="7" t="str">
        <f>IF(Notes!CC630="","",Notes!CC630)</f>
        <v/>
      </c>
      <c r="F634" s="7" t="str">
        <f>IF(Notes!CD630="","",Notes!CD630)</f>
        <v/>
      </c>
      <c r="G634" s="7" t="str">
        <f>IF(Notes!CE630="","",Notes!CE630)</f>
        <v/>
      </c>
      <c r="H634" s="7" t="str">
        <f>IF(Notes!CF630="","",Notes!CF630)</f>
        <v/>
      </c>
      <c r="I634" s="7"/>
      <c r="J634" s="7"/>
      <c r="K634" s="7"/>
    </row>
    <row r="635" spans="1:11" x14ac:dyDescent="0.35">
      <c r="A635" s="7" t="str">
        <f>IF(Notes!BY631="","",Notes!BY631)</f>
        <v/>
      </c>
      <c r="B635" s="7" t="str">
        <f>IF(Notes!BZ631="","",Notes!BZ631)</f>
        <v/>
      </c>
      <c r="C635" s="7" t="str">
        <f>IF(Notes!CA631="","",Notes!CA631)</f>
        <v/>
      </c>
      <c r="D635" s="7" t="str">
        <f>IF(Notes!CB631="","",Notes!CB631)</f>
        <v/>
      </c>
      <c r="E635" s="7" t="str">
        <f>IF(Notes!CC631="","",Notes!CC631)</f>
        <v/>
      </c>
      <c r="F635" s="7" t="str">
        <f>IF(Notes!CD631="","",Notes!CD631)</f>
        <v/>
      </c>
      <c r="G635" s="7" t="str">
        <f>IF(Notes!CE631="","",Notes!CE631)</f>
        <v/>
      </c>
      <c r="H635" s="7" t="str">
        <f>IF(Notes!CF631="","",Notes!CF631)</f>
        <v/>
      </c>
      <c r="I635" s="7"/>
      <c r="J635" s="7"/>
      <c r="K635" s="7"/>
    </row>
    <row r="636" spans="1:11" x14ac:dyDescent="0.35">
      <c r="A636" s="7" t="str">
        <f>IF(Notes!BY632="","",Notes!BY632)</f>
        <v/>
      </c>
      <c r="B636" s="7" t="str">
        <f>IF(Notes!BZ632="","",Notes!BZ632)</f>
        <v/>
      </c>
      <c r="C636" s="7" t="str">
        <f>IF(Notes!CA632="","",Notes!CA632)</f>
        <v/>
      </c>
      <c r="D636" s="7" t="str">
        <f>IF(Notes!CB632="","",Notes!CB632)</f>
        <v/>
      </c>
      <c r="E636" s="7" t="str">
        <f>IF(Notes!CC632="","",Notes!CC632)</f>
        <v/>
      </c>
      <c r="F636" s="7" t="str">
        <f>IF(Notes!CD632="","",Notes!CD632)</f>
        <v/>
      </c>
      <c r="G636" s="7" t="str">
        <f>IF(Notes!CE632="","",Notes!CE632)</f>
        <v/>
      </c>
      <c r="H636" s="7" t="str">
        <f>IF(Notes!CF632="","",Notes!CF632)</f>
        <v/>
      </c>
      <c r="I636" s="7"/>
      <c r="J636" s="7"/>
      <c r="K636" s="7"/>
    </row>
    <row r="637" spans="1:11" x14ac:dyDescent="0.35">
      <c r="A637" s="7" t="str">
        <f>IF(Notes!BY633="","",Notes!BY633)</f>
        <v/>
      </c>
      <c r="B637" s="7" t="str">
        <f>IF(Notes!BZ633="","",Notes!BZ633)</f>
        <v/>
      </c>
      <c r="C637" s="7" t="str">
        <f>IF(Notes!CA633="","",Notes!CA633)</f>
        <v/>
      </c>
      <c r="D637" s="7" t="str">
        <f>IF(Notes!CB633="","",Notes!CB633)</f>
        <v/>
      </c>
      <c r="E637" s="7" t="str">
        <f>IF(Notes!CC633="","",Notes!CC633)</f>
        <v/>
      </c>
      <c r="F637" s="7" t="str">
        <f>IF(Notes!CD633="","",Notes!CD633)</f>
        <v/>
      </c>
      <c r="G637" s="7" t="str">
        <f>IF(Notes!CE633="","",Notes!CE633)</f>
        <v/>
      </c>
      <c r="H637" s="7" t="str">
        <f>IF(Notes!CF633="","",Notes!CF633)</f>
        <v/>
      </c>
      <c r="I637" s="7"/>
      <c r="J637" s="7"/>
      <c r="K637" s="7"/>
    </row>
    <row r="638" spans="1:11" x14ac:dyDescent="0.35">
      <c r="A638" s="7" t="str">
        <f>IF(Notes!BY634="","",Notes!BY634)</f>
        <v/>
      </c>
      <c r="B638" s="7" t="str">
        <f>IF(Notes!BZ634="","",Notes!BZ634)</f>
        <v/>
      </c>
      <c r="C638" s="7" t="str">
        <f>IF(Notes!CA634="","",Notes!CA634)</f>
        <v/>
      </c>
      <c r="D638" s="7" t="str">
        <f>IF(Notes!CB634="","",Notes!CB634)</f>
        <v/>
      </c>
      <c r="E638" s="7" t="str">
        <f>IF(Notes!CC634="","",Notes!CC634)</f>
        <v/>
      </c>
      <c r="F638" s="7" t="str">
        <f>IF(Notes!CD634="","",Notes!CD634)</f>
        <v/>
      </c>
      <c r="G638" s="7" t="str">
        <f>IF(Notes!CE634="","",Notes!CE634)</f>
        <v/>
      </c>
      <c r="H638" s="7" t="str">
        <f>IF(Notes!CF634="","",Notes!CF634)</f>
        <v/>
      </c>
      <c r="I638" s="7"/>
      <c r="J638" s="7"/>
      <c r="K638" s="7"/>
    </row>
    <row r="639" spans="1:11" x14ac:dyDescent="0.35">
      <c r="A639" s="7" t="str">
        <f>IF(Notes!BY635="","",Notes!BY635)</f>
        <v/>
      </c>
      <c r="B639" s="7" t="str">
        <f>IF(Notes!BZ635="","",Notes!BZ635)</f>
        <v/>
      </c>
      <c r="C639" s="7" t="str">
        <f>IF(Notes!CA635="","",Notes!CA635)</f>
        <v/>
      </c>
      <c r="D639" s="7" t="str">
        <f>IF(Notes!CB635="","",Notes!CB635)</f>
        <v/>
      </c>
      <c r="E639" s="7" t="str">
        <f>IF(Notes!CC635="","",Notes!CC635)</f>
        <v/>
      </c>
      <c r="F639" s="7" t="str">
        <f>IF(Notes!CD635="","",Notes!CD635)</f>
        <v/>
      </c>
      <c r="G639" s="7" t="str">
        <f>IF(Notes!CE635="","",Notes!CE635)</f>
        <v/>
      </c>
      <c r="H639" s="7" t="str">
        <f>IF(Notes!CF635="","",Notes!CF635)</f>
        <v/>
      </c>
      <c r="I639" s="7"/>
      <c r="J639" s="7"/>
      <c r="K639" s="7"/>
    </row>
    <row r="640" spans="1:11" x14ac:dyDescent="0.35">
      <c r="A640" s="7" t="str">
        <f>IF(Notes!BY636="","",Notes!BY636)</f>
        <v/>
      </c>
      <c r="B640" s="7" t="str">
        <f>IF(Notes!BZ636="","",Notes!BZ636)</f>
        <v/>
      </c>
      <c r="C640" s="7" t="str">
        <f>IF(Notes!CA636="","",Notes!CA636)</f>
        <v/>
      </c>
      <c r="D640" s="7" t="str">
        <f>IF(Notes!CB636="","",Notes!CB636)</f>
        <v/>
      </c>
      <c r="E640" s="7" t="str">
        <f>IF(Notes!CC636="","",Notes!CC636)</f>
        <v/>
      </c>
      <c r="F640" s="7" t="str">
        <f>IF(Notes!CD636="","",Notes!CD636)</f>
        <v/>
      </c>
      <c r="G640" s="7" t="str">
        <f>IF(Notes!CE636="","",Notes!CE636)</f>
        <v/>
      </c>
      <c r="H640" s="7" t="str">
        <f>IF(Notes!CF636="","",Notes!CF636)</f>
        <v/>
      </c>
      <c r="I640" s="7"/>
      <c r="J640" s="7"/>
      <c r="K640" s="7"/>
    </row>
    <row r="641" spans="1:11" x14ac:dyDescent="0.35">
      <c r="A641" s="7" t="str">
        <f>IF(Notes!BY637="","",Notes!BY637)</f>
        <v/>
      </c>
      <c r="B641" s="7" t="str">
        <f>IF(Notes!BZ637="","",Notes!BZ637)</f>
        <v/>
      </c>
      <c r="C641" s="7" t="str">
        <f>IF(Notes!CA637="","",Notes!CA637)</f>
        <v/>
      </c>
      <c r="D641" s="7" t="str">
        <f>IF(Notes!CB637="","",Notes!CB637)</f>
        <v/>
      </c>
      <c r="E641" s="7" t="str">
        <f>IF(Notes!CC637="","",Notes!CC637)</f>
        <v/>
      </c>
      <c r="F641" s="7" t="str">
        <f>IF(Notes!CD637="","",Notes!CD637)</f>
        <v/>
      </c>
      <c r="G641" s="7" t="str">
        <f>IF(Notes!CE637="","",Notes!CE637)</f>
        <v/>
      </c>
      <c r="H641" s="7" t="str">
        <f>IF(Notes!CF637="","",Notes!CF637)</f>
        <v/>
      </c>
      <c r="I641" s="7"/>
      <c r="J641" s="7"/>
      <c r="K641" s="7"/>
    </row>
    <row r="642" spans="1:11" x14ac:dyDescent="0.35">
      <c r="A642" s="7" t="str">
        <f>IF(Notes!BY638="","",Notes!BY638)</f>
        <v/>
      </c>
      <c r="B642" s="7" t="str">
        <f>IF(Notes!BZ638="","",Notes!BZ638)</f>
        <v/>
      </c>
      <c r="C642" s="7" t="str">
        <f>IF(Notes!CA638="","",Notes!CA638)</f>
        <v/>
      </c>
      <c r="D642" s="7" t="str">
        <f>IF(Notes!CB638="","",Notes!CB638)</f>
        <v/>
      </c>
      <c r="E642" s="7" t="str">
        <f>IF(Notes!CC638="","",Notes!CC638)</f>
        <v/>
      </c>
      <c r="F642" s="7" t="str">
        <f>IF(Notes!CD638="","",Notes!CD638)</f>
        <v/>
      </c>
      <c r="G642" s="7" t="str">
        <f>IF(Notes!CE638="","",Notes!CE638)</f>
        <v/>
      </c>
      <c r="H642" s="7" t="str">
        <f>IF(Notes!CF638="","",Notes!CF638)</f>
        <v/>
      </c>
      <c r="I642" s="7"/>
      <c r="J642" s="7"/>
      <c r="K642" s="7"/>
    </row>
    <row r="643" spans="1:11" x14ac:dyDescent="0.35">
      <c r="A643" s="7" t="str">
        <f>IF(Notes!BY639="","",Notes!BY639)</f>
        <v/>
      </c>
      <c r="B643" s="7" t="str">
        <f>IF(Notes!BZ639="","",Notes!BZ639)</f>
        <v/>
      </c>
      <c r="C643" s="7" t="str">
        <f>IF(Notes!CA639="","",Notes!CA639)</f>
        <v/>
      </c>
      <c r="D643" s="7" t="str">
        <f>IF(Notes!CB639="","",Notes!CB639)</f>
        <v/>
      </c>
      <c r="E643" s="7" t="str">
        <f>IF(Notes!CC639="","",Notes!CC639)</f>
        <v/>
      </c>
      <c r="F643" s="7" t="str">
        <f>IF(Notes!CD639="","",Notes!CD639)</f>
        <v/>
      </c>
      <c r="G643" s="7" t="str">
        <f>IF(Notes!CE639="","",Notes!CE639)</f>
        <v/>
      </c>
      <c r="H643" s="7" t="str">
        <f>IF(Notes!CF639="","",Notes!CF639)</f>
        <v/>
      </c>
      <c r="I643" s="7"/>
      <c r="J643" s="7"/>
      <c r="K643" s="7"/>
    </row>
    <row r="644" spans="1:11" x14ac:dyDescent="0.35">
      <c r="A644" s="7" t="str">
        <f>IF(Notes!BY640="","",Notes!BY640)</f>
        <v/>
      </c>
      <c r="B644" s="7" t="str">
        <f>IF(Notes!BZ640="","",Notes!BZ640)</f>
        <v/>
      </c>
      <c r="C644" s="7" t="str">
        <f>IF(Notes!CA640="","",Notes!CA640)</f>
        <v/>
      </c>
      <c r="D644" s="7" t="str">
        <f>IF(Notes!CB640="","",Notes!CB640)</f>
        <v/>
      </c>
      <c r="E644" s="7" t="str">
        <f>IF(Notes!CC640="","",Notes!CC640)</f>
        <v/>
      </c>
      <c r="F644" s="7" t="str">
        <f>IF(Notes!CD640="","",Notes!CD640)</f>
        <v/>
      </c>
      <c r="G644" s="7" t="str">
        <f>IF(Notes!CE640="","",Notes!CE640)</f>
        <v/>
      </c>
      <c r="H644" s="7" t="str">
        <f>IF(Notes!CF640="","",Notes!CF640)</f>
        <v/>
      </c>
      <c r="I644" s="7"/>
      <c r="J644" s="7"/>
      <c r="K644" s="7"/>
    </row>
    <row r="645" spans="1:11" x14ac:dyDescent="0.35">
      <c r="A645" s="7" t="str">
        <f>IF(Notes!BY641="","",Notes!BY641)</f>
        <v/>
      </c>
      <c r="B645" s="7" t="str">
        <f>IF(Notes!BZ641="","",Notes!BZ641)</f>
        <v/>
      </c>
      <c r="C645" s="7" t="str">
        <f>IF(Notes!CA641="","",Notes!CA641)</f>
        <v/>
      </c>
      <c r="D645" s="7" t="str">
        <f>IF(Notes!CB641="","",Notes!CB641)</f>
        <v/>
      </c>
      <c r="E645" s="7" t="str">
        <f>IF(Notes!CC641="","",Notes!CC641)</f>
        <v/>
      </c>
      <c r="F645" s="7" t="str">
        <f>IF(Notes!CD641="","",Notes!CD641)</f>
        <v/>
      </c>
      <c r="G645" s="7" t="str">
        <f>IF(Notes!CE641="","",Notes!CE641)</f>
        <v/>
      </c>
      <c r="H645" s="7" t="str">
        <f>IF(Notes!CF641="","",Notes!CF641)</f>
        <v/>
      </c>
      <c r="I645" s="7"/>
      <c r="J645" s="7"/>
      <c r="K645" s="7"/>
    </row>
    <row r="646" spans="1:11" x14ac:dyDescent="0.35">
      <c r="A646" s="7" t="str">
        <f>IF(Notes!BY642="","",Notes!BY642)</f>
        <v/>
      </c>
      <c r="B646" s="7" t="str">
        <f>IF(Notes!BZ642="","",Notes!BZ642)</f>
        <v/>
      </c>
      <c r="C646" s="7" t="str">
        <f>IF(Notes!CA642="","",Notes!CA642)</f>
        <v/>
      </c>
      <c r="D646" s="7" t="str">
        <f>IF(Notes!CB642="","",Notes!CB642)</f>
        <v/>
      </c>
      <c r="E646" s="7" t="str">
        <f>IF(Notes!CC642="","",Notes!CC642)</f>
        <v/>
      </c>
      <c r="F646" s="7" t="str">
        <f>IF(Notes!CD642="","",Notes!CD642)</f>
        <v/>
      </c>
      <c r="G646" s="7" t="str">
        <f>IF(Notes!CE642="","",Notes!CE642)</f>
        <v/>
      </c>
      <c r="H646" s="7" t="str">
        <f>IF(Notes!CF642="","",Notes!CF642)</f>
        <v/>
      </c>
      <c r="I646" s="7"/>
      <c r="J646" s="7"/>
      <c r="K646" s="7"/>
    </row>
    <row r="647" spans="1:11" x14ac:dyDescent="0.35">
      <c r="A647" s="7" t="str">
        <f>IF(Notes!BY643="","",Notes!BY643)</f>
        <v/>
      </c>
      <c r="B647" s="7" t="str">
        <f>IF(Notes!BZ643="","",Notes!BZ643)</f>
        <v/>
      </c>
      <c r="C647" s="7" t="str">
        <f>IF(Notes!CA643="","",Notes!CA643)</f>
        <v/>
      </c>
      <c r="D647" s="7" t="str">
        <f>IF(Notes!CB643="","",Notes!CB643)</f>
        <v/>
      </c>
      <c r="E647" s="7" t="str">
        <f>IF(Notes!CC643="","",Notes!CC643)</f>
        <v/>
      </c>
      <c r="F647" s="7" t="str">
        <f>IF(Notes!CD643="","",Notes!CD643)</f>
        <v/>
      </c>
      <c r="G647" s="7" t="str">
        <f>IF(Notes!CE643="","",Notes!CE643)</f>
        <v/>
      </c>
      <c r="H647" s="7" t="str">
        <f>IF(Notes!CF643="","",Notes!CF643)</f>
        <v/>
      </c>
      <c r="I647" s="7"/>
      <c r="J647" s="7"/>
      <c r="K647" s="7"/>
    </row>
    <row r="648" spans="1:11" x14ac:dyDescent="0.35">
      <c r="A648" s="7" t="str">
        <f>IF(Notes!BY644="","",Notes!BY644)</f>
        <v/>
      </c>
      <c r="B648" s="7" t="str">
        <f>IF(Notes!BZ644="","",Notes!BZ644)</f>
        <v/>
      </c>
      <c r="C648" s="7" t="str">
        <f>IF(Notes!CA644="","",Notes!CA644)</f>
        <v/>
      </c>
      <c r="D648" s="7" t="str">
        <f>IF(Notes!CB644="","",Notes!CB644)</f>
        <v/>
      </c>
      <c r="E648" s="7" t="str">
        <f>IF(Notes!CC644="","",Notes!CC644)</f>
        <v/>
      </c>
      <c r="F648" s="7" t="str">
        <f>IF(Notes!CD644="","",Notes!CD644)</f>
        <v/>
      </c>
      <c r="G648" s="7" t="str">
        <f>IF(Notes!CE644="","",Notes!CE644)</f>
        <v/>
      </c>
      <c r="H648" s="7" t="str">
        <f>IF(Notes!CF644="","",Notes!CF644)</f>
        <v/>
      </c>
      <c r="I648" s="7"/>
      <c r="J648" s="7"/>
      <c r="K648" s="7"/>
    </row>
    <row r="649" spans="1:11" x14ac:dyDescent="0.35">
      <c r="A649" s="7" t="str">
        <f>IF(Notes!BY645="","",Notes!BY645)</f>
        <v/>
      </c>
      <c r="B649" s="7" t="str">
        <f>IF(Notes!BZ645="","",Notes!BZ645)</f>
        <v/>
      </c>
      <c r="C649" s="7" t="str">
        <f>IF(Notes!CA645="","",Notes!CA645)</f>
        <v/>
      </c>
      <c r="D649" s="7" t="str">
        <f>IF(Notes!CB645="","",Notes!CB645)</f>
        <v/>
      </c>
      <c r="E649" s="7" t="str">
        <f>IF(Notes!CC645="","",Notes!CC645)</f>
        <v/>
      </c>
      <c r="F649" s="7" t="str">
        <f>IF(Notes!CD645="","",Notes!CD645)</f>
        <v/>
      </c>
      <c r="G649" s="7" t="str">
        <f>IF(Notes!CE645="","",Notes!CE645)</f>
        <v/>
      </c>
      <c r="H649" s="7" t="str">
        <f>IF(Notes!CF645="","",Notes!CF645)</f>
        <v/>
      </c>
      <c r="I649" s="7"/>
      <c r="J649" s="7"/>
      <c r="K649" s="7"/>
    </row>
    <row r="650" spans="1:11" x14ac:dyDescent="0.35">
      <c r="A650" s="7" t="str">
        <f>IF(Notes!BY646="","",Notes!BY646)</f>
        <v/>
      </c>
      <c r="B650" s="7" t="str">
        <f>IF(Notes!BZ646="","",Notes!BZ646)</f>
        <v/>
      </c>
      <c r="C650" s="7" t="str">
        <f>IF(Notes!CA646="","",Notes!CA646)</f>
        <v/>
      </c>
      <c r="D650" s="7" t="str">
        <f>IF(Notes!CB646="","",Notes!CB646)</f>
        <v/>
      </c>
      <c r="E650" s="7" t="str">
        <f>IF(Notes!CC646="","",Notes!CC646)</f>
        <v/>
      </c>
      <c r="F650" s="7" t="str">
        <f>IF(Notes!CD646="","",Notes!CD646)</f>
        <v/>
      </c>
      <c r="G650" s="7" t="str">
        <f>IF(Notes!CE646="","",Notes!CE646)</f>
        <v/>
      </c>
      <c r="H650" s="7" t="str">
        <f>IF(Notes!CF646="","",Notes!CF646)</f>
        <v/>
      </c>
      <c r="I650" s="7"/>
      <c r="J650" s="7"/>
      <c r="K650" s="7"/>
    </row>
    <row r="651" spans="1:11" x14ac:dyDescent="0.35">
      <c r="A651" s="7" t="str">
        <f>IF(Notes!BY647="","",Notes!BY647)</f>
        <v/>
      </c>
      <c r="B651" s="7" t="str">
        <f>IF(Notes!BZ647="","",Notes!BZ647)</f>
        <v/>
      </c>
      <c r="C651" s="7" t="str">
        <f>IF(Notes!CA647="","",Notes!CA647)</f>
        <v/>
      </c>
      <c r="D651" s="7" t="str">
        <f>IF(Notes!CB647="","",Notes!CB647)</f>
        <v/>
      </c>
      <c r="E651" s="7" t="str">
        <f>IF(Notes!CC647="","",Notes!CC647)</f>
        <v/>
      </c>
      <c r="F651" s="7" t="str">
        <f>IF(Notes!CD647="","",Notes!CD647)</f>
        <v/>
      </c>
      <c r="G651" s="7" t="str">
        <f>IF(Notes!CE647="","",Notes!CE647)</f>
        <v/>
      </c>
      <c r="H651" s="7" t="str">
        <f>IF(Notes!CF647="","",Notes!CF647)</f>
        <v/>
      </c>
      <c r="I651" s="7"/>
      <c r="J651" s="7"/>
      <c r="K651" s="7"/>
    </row>
    <row r="652" spans="1:11" x14ac:dyDescent="0.35">
      <c r="A652" s="7" t="str">
        <f>IF(Notes!BY648="","",Notes!BY648)</f>
        <v/>
      </c>
      <c r="B652" s="7" t="str">
        <f>IF(Notes!BZ648="","",Notes!BZ648)</f>
        <v/>
      </c>
      <c r="C652" s="7" t="str">
        <f>IF(Notes!CA648="","",Notes!CA648)</f>
        <v/>
      </c>
      <c r="D652" s="7" t="str">
        <f>IF(Notes!CB648="","",Notes!CB648)</f>
        <v/>
      </c>
      <c r="E652" s="7" t="str">
        <f>IF(Notes!CC648="","",Notes!CC648)</f>
        <v/>
      </c>
      <c r="F652" s="7" t="str">
        <f>IF(Notes!CD648="","",Notes!CD648)</f>
        <v/>
      </c>
      <c r="G652" s="7" t="str">
        <f>IF(Notes!CE648="","",Notes!CE648)</f>
        <v/>
      </c>
      <c r="H652" s="7" t="str">
        <f>IF(Notes!CF648="","",Notes!CF648)</f>
        <v/>
      </c>
      <c r="I652" s="7"/>
      <c r="J652" s="7"/>
      <c r="K652" s="7"/>
    </row>
    <row r="653" spans="1:11" x14ac:dyDescent="0.35">
      <c r="A653" s="7" t="str">
        <f>IF(Notes!BY649="","",Notes!BY649)</f>
        <v/>
      </c>
      <c r="B653" s="7" t="str">
        <f>IF(Notes!BZ649="","",Notes!BZ649)</f>
        <v/>
      </c>
      <c r="C653" s="7" t="str">
        <f>IF(Notes!CA649="","",Notes!CA649)</f>
        <v/>
      </c>
      <c r="D653" s="7" t="str">
        <f>IF(Notes!CB649="","",Notes!CB649)</f>
        <v/>
      </c>
      <c r="E653" s="7" t="str">
        <f>IF(Notes!CC649="","",Notes!CC649)</f>
        <v/>
      </c>
      <c r="F653" s="7" t="str">
        <f>IF(Notes!CD649="","",Notes!CD649)</f>
        <v/>
      </c>
      <c r="G653" s="7" t="str">
        <f>IF(Notes!CE649="","",Notes!CE649)</f>
        <v/>
      </c>
      <c r="H653" s="7" t="str">
        <f>IF(Notes!CF649="","",Notes!CF649)</f>
        <v/>
      </c>
      <c r="I653" s="7"/>
      <c r="J653" s="7"/>
      <c r="K653" s="7"/>
    </row>
    <row r="654" spans="1:11" x14ac:dyDescent="0.35">
      <c r="A654" s="7" t="str">
        <f>IF(Notes!BY650="","",Notes!BY650)</f>
        <v/>
      </c>
      <c r="B654" s="7" t="str">
        <f>IF(Notes!BZ650="","",Notes!BZ650)</f>
        <v/>
      </c>
      <c r="C654" s="7" t="str">
        <f>IF(Notes!CA650="","",Notes!CA650)</f>
        <v/>
      </c>
      <c r="D654" s="7" t="str">
        <f>IF(Notes!CB650="","",Notes!CB650)</f>
        <v/>
      </c>
      <c r="E654" s="7" t="str">
        <f>IF(Notes!CC650="","",Notes!CC650)</f>
        <v/>
      </c>
      <c r="F654" s="7" t="str">
        <f>IF(Notes!CD650="","",Notes!CD650)</f>
        <v/>
      </c>
      <c r="G654" s="7" t="str">
        <f>IF(Notes!CE650="","",Notes!CE650)</f>
        <v/>
      </c>
      <c r="H654" s="7" t="str">
        <f>IF(Notes!CF650="","",Notes!CF650)</f>
        <v/>
      </c>
      <c r="I654" s="7"/>
      <c r="J654" s="7"/>
      <c r="K654" s="7"/>
    </row>
    <row r="655" spans="1:11" x14ac:dyDescent="0.35">
      <c r="A655" s="7" t="str">
        <f>IF(Notes!BY651="","",Notes!BY651)</f>
        <v/>
      </c>
      <c r="B655" s="7" t="str">
        <f>IF(Notes!BZ651="","",Notes!BZ651)</f>
        <v/>
      </c>
      <c r="C655" s="7" t="str">
        <f>IF(Notes!CA651="","",Notes!CA651)</f>
        <v/>
      </c>
      <c r="D655" s="7" t="str">
        <f>IF(Notes!CB651="","",Notes!CB651)</f>
        <v/>
      </c>
      <c r="E655" s="7" t="str">
        <f>IF(Notes!CC651="","",Notes!CC651)</f>
        <v/>
      </c>
      <c r="F655" s="7" t="str">
        <f>IF(Notes!CD651="","",Notes!CD651)</f>
        <v/>
      </c>
      <c r="G655" s="7" t="str">
        <f>IF(Notes!CE651="","",Notes!CE651)</f>
        <v/>
      </c>
      <c r="H655" s="7" t="str">
        <f>IF(Notes!CF651="","",Notes!CF651)</f>
        <v/>
      </c>
      <c r="I655" s="7"/>
      <c r="J655" s="7"/>
      <c r="K655" s="7"/>
    </row>
    <row r="656" spans="1:11" x14ac:dyDescent="0.35">
      <c r="A656" s="7" t="str">
        <f>IF(Notes!BY652="","",Notes!BY652)</f>
        <v/>
      </c>
      <c r="B656" s="7" t="str">
        <f>IF(Notes!BZ652="","",Notes!BZ652)</f>
        <v/>
      </c>
      <c r="C656" s="7" t="str">
        <f>IF(Notes!CA652="","",Notes!CA652)</f>
        <v/>
      </c>
      <c r="D656" s="7" t="str">
        <f>IF(Notes!CB652="","",Notes!CB652)</f>
        <v/>
      </c>
      <c r="E656" s="7" t="str">
        <f>IF(Notes!CC652="","",Notes!CC652)</f>
        <v/>
      </c>
      <c r="F656" s="7" t="str">
        <f>IF(Notes!CD652="","",Notes!CD652)</f>
        <v/>
      </c>
      <c r="G656" s="7" t="str">
        <f>IF(Notes!CE652="","",Notes!CE652)</f>
        <v/>
      </c>
      <c r="H656" s="7" t="str">
        <f>IF(Notes!CF652="","",Notes!CF652)</f>
        <v/>
      </c>
      <c r="I656" s="7"/>
      <c r="J656" s="7"/>
      <c r="K656" s="7"/>
    </row>
    <row r="657" spans="1:11" x14ac:dyDescent="0.35">
      <c r="A657" s="7" t="str">
        <f>IF(Notes!BY653="","",Notes!BY653)</f>
        <v/>
      </c>
      <c r="B657" s="7" t="str">
        <f>IF(Notes!BZ653="","",Notes!BZ653)</f>
        <v/>
      </c>
      <c r="C657" s="7" t="str">
        <f>IF(Notes!CA653="","",Notes!CA653)</f>
        <v/>
      </c>
      <c r="D657" s="7" t="str">
        <f>IF(Notes!CB653="","",Notes!CB653)</f>
        <v/>
      </c>
      <c r="E657" s="7" t="str">
        <f>IF(Notes!CC653="","",Notes!CC653)</f>
        <v/>
      </c>
      <c r="F657" s="7" t="str">
        <f>IF(Notes!CD653="","",Notes!CD653)</f>
        <v/>
      </c>
      <c r="G657" s="7" t="str">
        <f>IF(Notes!CE653="","",Notes!CE653)</f>
        <v/>
      </c>
      <c r="H657" s="7" t="str">
        <f>IF(Notes!CF653="","",Notes!CF653)</f>
        <v/>
      </c>
      <c r="I657" s="7"/>
      <c r="J657" s="7"/>
      <c r="K657" s="7"/>
    </row>
    <row r="658" spans="1:11" x14ac:dyDescent="0.35">
      <c r="A658" s="7" t="str">
        <f>IF(Notes!BY654="","",Notes!BY654)</f>
        <v/>
      </c>
      <c r="B658" s="7" t="str">
        <f>IF(Notes!BZ654="","",Notes!BZ654)</f>
        <v/>
      </c>
      <c r="C658" s="7" t="str">
        <f>IF(Notes!CA654="","",Notes!CA654)</f>
        <v/>
      </c>
      <c r="D658" s="7" t="str">
        <f>IF(Notes!CB654="","",Notes!CB654)</f>
        <v/>
      </c>
      <c r="E658" s="7" t="str">
        <f>IF(Notes!CC654="","",Notes!CC654)</f>
        <v/>
      </c>
      <c r="F658" s="7" t="str">
        <f>IF(Notes!CD654="","",Notes!CD654)</f>
        <v/>
      </c>
      <c r="G658" s="7" t="str">
        <f>IF(Notes!CE654="","",Notes!CE654)</f>
        <v/>
      </c>
      <c r="H658" s="7" t="str">
        <f>IF(Notes!CF654="","",Notes!CF654)</f>
        <v/>
      </c>
      <c r="I658" s="7"/>
      <c r="J658" s="7"/>
      <c r="K658" s="7"/>
    </row>
    <row r="659" spans="1:11" x14ac:dyDescent="0.35">
      <c r="A659" s="7" t="str">
        <f>IF(Notes!BY655="","",Notes!BY655)</f>
        <v/>
      </c>
      <c r="B659" s="7" t="str">
        <f>IF(Notes!BZ655="","",Notes!BZ655)</f>
        <v/>
      </c>
      <c r="C659" s="7" t="str">
        <f>IF(Notes!CA655="","",Notes!CA655)</f>
        <v/>
      </c>
      <c r="D659" s="7" t="str">
        <f>IF(Notes!CB655="","",Notes!CB655)</f>
        <v/>
      </c>
      <c r="E659" s="7" t="str">
        <f>IF(Notes!CC655="","",Notes!CC655)</f>
        <v/>
      </c>
      <c r="F659" s="7" t="str">
        <f>IF(Notes!CD655="","",Notes!CD655)</f>
        <v/>
      </c>
      <c r="G659" s="7" t="str">
        <f>IF(Notes!CE655="","",Notes!CE655)</f>
        <v/>
      </c>
      <c r="H659" s="7" t="str">
        <f>IF(Notes!CF655="","",Notes!CF655)</f>
        <v/>
      </c>
      <c r="I659" s="7"/>
      <c r="J659" s="7"/>
      <c r="K659" s="7"/>
    </row>
    <row r="660" spans="1:11" x14ac:dyDescent="0.35">
      <c r="A660" s="7" t="str">
        <f>IF(Notes!BY656="","",Notes!BY656)</f>
        <v/>
      </c>
      <c r="B660" s="7" t="str">
        <f>IF(Notes!BZ656="","",Notes!BZ656)</f>
        <v/>
      </c>
      <c r="C660" s="7" t="str">
        <f>IF(Notes!CA656="","",Notes!CA656)</f>
        <v/>
      </c>
      <c r="D660" s="7" t="str">
        <f>IF(Notes!CB656="","",Notes!CB656)</f>
        <v/>
      </c>
      <c r="E660" s="7" t="str">
        <f>IF(Notes!CC656="","",Notes!CC656)</f>
        <v/>
      </c>
      <c r="F660" s="7" t="str">
        <f>IF(Notes!CD656="","",Notes!CD656)</f>
        <v/>
      </c>
      <c r="G660" s="7" t="str">
        <f>IF(Notes!CE656="","",Notes!CE656)</f>
        <v/>
      </c>
      <c r="H660" s="7" t="str">
        <f>IF(Notes!CF656="","",Notes!CF656)</f>
        <v/>
      </c>
      <c r="I660" s="7"/>
      <c r="J660" s="7"/>
      <c r="K660" s="7"/>
    </row>
    <row r="661" spans="1:11" x14ac:dyDescent="0.35">
      <c r="A661" s="7" t="str">
        <f>IF(Notes!BY657="","",Notes!BY657)</f>
        <v/>
      </c>
      <c r="B661" s="7" t="str">
        <f>IF(Notes!BZ657="","",Notes!BZ657)</f>
        <v/>
      </c>
      <c r="C661" s="7" t="str">
        <f>IF(Notes!CA657="","",Notes!CA657)</f>
        <v/>
      </c>
      <c r="D661" s="7" t="str">
        <f>IF(Notes!CB657="","",Notes!CB657)</f>
        <v/>
      </c>
      <c r="E661" s="7" t="str">
        <f>IF(Notes!CC657="","",Notes!CC657)</f>
        <v/>
      </c>
      <c r="F661" s="7" t="str">
        <f>IF(Notes!CD657="","",Notes!CD657)</f>
        <v/>
      </c>
      <c r="G661" s="7" t="str">
        <f>IF(Notes!CE657="","",Notes!CE657)</f>
        <v/>
      </c>
      <c r="H661" s="7" t="str">
        <f>IF(Notes!CF657="","",Notes!CF657)</f>
        <v/>
      </c>
      <c r="I661" s="7"/>
      <c r="J661" s="7"/>
      <c r="K661" s="7"/>
    </row>
    <row r="662" spans="1:11" x14ac:dyDescent="0.35">
      <c r="A662" s="7" t="str">
        <f>IF(Notes!BY658="","",Notes!BY658)</f>
        <v/>
      </c>
      <c r="B662" s="7" t="str">
        <f>IF(Notes!BZ658="","",Notes!BZ658)</f>
        <v/>
      </c>
      <c r="C662" s="7" t="str">
        <f>IF(Notes!CA658="","",Notes!CA658)</f>
        <v/>
      </c>
      <c r="D662" s="7" t="str">
        <f>IF(Notes!CB658="","",Notes!CB658)</f>
        <v/>
      </c>
      <c r="E662" s="7" t="str">
        <f>IF(Notes!CC658="","",Notes!CC658)</f>
        <v/>
      </c>
      <c r="F662" s="7" t="str">
        <f>IF(Notes!CD658="","",Notes!CD658)</f>
        <v/>
      </c>
      <c r="G662" s="7" t="str">
        <f>IF(Notes!CE658="","",Notes!CE658)</f>
        <v/>
      </c>
      <c r="H662" s="7" t="str">
        <f>IF(Notes!CF658="","",Notes!CF658)</f>
        <v/>
      </c>
      <c r="I662" s="7"/>
      <c r="J662" s="7"/>
      <c r="K662" s="7"/>
    </row>
    <row r="663" spans="1:11" x14ac:dyDescent="0.35">
      <c r="A663" s="7" t="str">
        <f>IF(Notes!BY659="","",Notes!BY659)</f>
        <v/>
      </c>
      <c r="B663" s="7" t="str">
        <f>IF(Notes!BZ659="","",Notes!BZ659)</f>
        <v/>
      </c>
      <c r="C663" s="7" t="str">
        <f>IF(Notes!CA659="","",Notes!CA659)</f>
        <v/>
      </c>
      <c r="D663" s="7" t="str">
        <f>IF(Notes!CB659="","",Notes!CB659)</f>
        <v/>
      </c>
      <c r="E663" s="7" t="str">
        <f>IF(Notes!CC659="","",Notes!CC659)</f>
        <v/>
      </c>
      <c r="F663" s="7" t="str">
        <f>IF(Notes!CD659="","",Notes!CD659)</f>
        <v/>
      </c>
      <c r="G663" s="7" t="str">
        <f>IF(Notes!CE659="","",Notes!CE659)</f>
        <v/>
      </c>
      <c r="H663" s="7" t="str">
        <f>IF(Notes!CF659="","",Notes!CF659)</f>
        <v/>
      </c>
      <c r="I663" s="7"/>
      <c r="J663" s="7"/>
      <c r="K663" s="7"/>
    </row>
    <row r="664" spans="1:11" x14ac:dyDescent="0.35">
      <c r="A664" s="7" t="str">
        <f>IF(Notes!BY660="","",Notes!BY660)</f>
        <v/>
      </c>
      <c r="B664" s="7" t="str">
        <f>IF(Notes!BZ660="","",Notes!BZ660)</f>
        <v/>
      </c>
      <c r="C664" s="7" t="str">
        <f>IF(Notes!CA660="","",Notes!CA660)</f>
        <v/>
      </c>
      <c r="D664" s="7" t="str">
        <f>IF(Notes!CB660="","",Notes!CB660)</f>
        <v/>
      </c>
      <c r="E664" s="7" t="str">
        <f>IF(Notes!CC660="","",Notes!CC660)</f>
        <v/>
      </c>
      <c r="F664" s="7" t="str">
        <f>IF(Notes!CD660="","",Notes!CD660)</f>
        <v/>
      </c>
      <c r="G664" s="7" t="str">
        <f>IF(Notes!CE660="","",Notes!CE660)</f>
        <v/>
      </c>
      <c r="H664" s="7" t="str">
        <f>IF(Notes!CF660="","",Notes!CF660)</f>
        <v/>
      </c>
      <c r="I664" s="7"/>
      <c r="J664" s="7"/>
      <c r="K664" s="7"/>
    </row>
    <row r="665" spans="1:11" x14ac:dyDescent="0.35">
      <c r="A665" s="7" t="str">
        <f>IF(Notes!BY661="","",Notes!BY661)</f>
        <v/>
      </c>
      <c r="B665" s="7" t="str">
        <f>IF(Notes!BZ661="","",Notes!BZ661)</f>
        <v/>
      </c>
      <c r="C665" s="7" t="str">
        <f>IF(Notes!CA661="","",Notes!CA661)</f>
        <v/>
      </c>
      <c r="D665" s="7" t="str">
        <f>IF(Notes!CB661="","",Notes!CB661)</f>
        <v/>
      </c>
      <c r="E665" s="7" t="str">
        <f>IF(Notes!CC661="","",Notes!CC661)</f>
        <v/>
      </c>
      <c r="F665" s="7" t="str">
        <f>IF(Notes!CD661="","",Notes!CD661)</f>
        <v/>
      </c>
      <c r="G665" s="7" t="str">
        <f>IF(Notes!CE661="","",Notes!CE661)</f>
        <v/>
      </c>
      <c r="H665" s="7" t="str">
        <f>IF(Notes!CF661="","",Notes!CF661)</f>
        <v/>
      </c>
      <c r="I665" s="7"/>
      <c r="J665" s="7"/>
      <c r="K665" s="7"/>
    </row>
    <row r="666" spans="1:11" x14ac:dyDescent="0.35">
      <c r="A666" s="7" t="str">
        <f>IF(Notes!BY662="","",Notes!BY662)</f>
        <v/>
      </c>
      <c r="B666" s="7" t="str">
        <f>IF(Notes!BZ662="","",Notes!BZ662)</f>
        <v/>
      </c>
      <c r="C666" s="7" t="str">
        <f>IF(Notes!CA662="","",Notes!CA662)</f>
        <v/>
      </c>
      <c r="D666" s="7" t="str">
        <f>IF(Notes!CB662="","",Notes!CB662)</f>
        <v/>
      </c>
      <c r="E666" s="7" t="str">
        <f>IF(Notes!CC662="","",Notes!CC662)</f>
        <v/>
      </c>
      <c r="F666" s="7" t="str">
        <f>IF(Notes!CD662="","",Notes!CD662)</f>
        <v/>
      </c>
      <c r="G666" s="7" t="str">
        <f>IF(Notes!CE662="","",Notes!CE662)</f>
        <v/>
      </c>
      <c r="H666" s="7" t="str">
        <f>IF(Notes!CF662="","",Notes!CF662)</f>
        <v/>
      </c>
      <c r="I666" s="7"/>
      <c r="J666" s="7"/>
      <c r="K666" s="7"/>
    </row>
    <row r="667" spans="1:11" x14ac:dyDescent="0.35">
      <c r="A667" s="7" t="str">
        <f>IF(Notes!BY663="","",Notes!BY663)</f>
        <v/>
      </c>
      <c r="B667" s="7" t="str">
        <f>IF(Notes!BZ663="","",Notes!BZ663)</f>
        <v/>
      </c>
      <c r="C667" s="7" t="str">
        <f>IF(Notes!CA663="","",Notes!CA663)</f>
        <v/>
      </c>
      <c r="D667" s="7" t="str">
        <f>IF(Notes!CB663="","",Notes!CB663)</f>
        <v/>
      </c>
      <c r="E667" s="7" t="str">
        <f>IF(Notes!CC663="","",Notes!CC663)</f>
        <v/>
      </c>
      <c r="F667" s="7" t="str">
        <f>IF(Notes!CD663="","",Notes!CD663)</f>
        <v/>
      </c>
      <c r="G667" s="7" t="str">
        <f>IF(Notes!CE663="","",Notes!CE663)</f>
        <v/>
      </c>
      <c r="H667" s="7" t="str">
        <f>IF(Notes!CF663="","",Notes!CF663)</f>
        <v/>
      </c>
      <c r="I667" s="7"/>
      <c r="J667" s="7"/>
      <c r="K667" s="7"/>
    </row>
    <row r="668" spans="1:11" x14ac:dyDescent="0.35">
      <c r="A668" s="7" t="str">
        <f>IF(Notes!BY664="","",Notes!BY664)</f>
        <v/>
      </c>
      <c r="B668" s="7" t="str">
        <f>IF(Notes!BZ664="","",Notes!BZ664)</f>
        <v/>
      </c>
      <c r="C668" s="7" t="str">
        <f>IF(Notes!CA664="","",Notes!CA664)</f>
        <v/>
      </c>
      <c r="D668" s="7" t="str">
        <f>IF(Notes!CB664="","",Notes!CB664)</f>
        <v/>
      </c>
      <c r="E668" s="7" t="str">
        <f>IF(Notes!CC664="","",Notes!CC664)</f>
        <v/>
      </c>
      <c r="F668" s="7" t="str">
        <f>IF(Notes!CD664="","",Notes!CD664)</f>
        <v/>
      </c>
      <c r="G668" s="7" t="str">
        <f>IF(Notes!CE664="","",Notes!CE664)</f>
        <v/>
      </c>
      <c r="H668" s="7" t="str">
        <f>IF(Notes!CF664="","",Notes!CF664)</f>
        <v/>
      </c>
      <c r="I668" s="7"/>
      <c r="J668" s="7"/>
      <c r="K668" s="7"/>
    </row>
    <row r="669" spans="1:11" x14ac:dyDescent="0.35">
      <c r="A669" s="7" t="str">
        <f>IF(Notes!BY665="","",Notes!BY665)</f>
        <v/>
      </c>
      <c r="B669" s="7" t="str">
        <f>IF(Notes!BZ665="","",Notes!BZ665)</f>
        <v/>
      </c>
      <c r="C669" s="7" t="str">
        <f>IF(Notes!CA665="","",Notes!CA665)</f>
        <v/>
      </c>
      <c r="D669" s="7" t="str">
        <f>IF(Notes!CB665="","",Notes!CB665)</f>
        <v/>
      </c>
      <c r="E669" s="7" t="str">
        <f>IF(Notes!CC665="","",Notes!CC665)</f>
        <v/>
      </c>
      <c r="F669" s="7" t="str">
        <f>IF(Notes!CD665="","",Notes!CD665)</f>
        <v/>
      </c>
      <c r="G669" s="7" t="str">
        <f>IF(Notes!CE665="","",Notes!CE665)</f>
        <v/>
      </c>
      <c r="H669" s="7" t="str">
        <f>IF(Notes!CF665="","",Notes!CF665)</f>
        <v/>
      </c>
      <c r="I669" s="7"/>
      <c r="J669" s="7"/>
      <c r="K669" s="7"/>
    </row>
    <row r="670" spans="1:11" x14ac:dyDescent="0.35">
      <c r="A670" s="7" t="str">
        <f>IF(Notes!BY666="","",Notes!BY666)</f>
        <v/>
      </c>
      <c r="B670" s="7" t="str">
        <f>IF(Notes!BZ666="","",Notes!BZ666)</f>
        <v/>
      </c>
      <c r="C670" s="7" t="str">
        <f>IF(Notes!CA666="","",Notes!CA666)</f>
        <v/>
      </c>
      <c r="D670" s="7" t="str">
        <f>IF(Notes!CB666="","",Notes!CB666)</f>
        <v/>
      </c>
      <c r="E670" s="7" t="str">
        <f>IF(Notes!CC666="","",Notes!CC666)</f>
        <v/>
      </c>
      <c r="F670" s="7" t="str">
        <f>IF(Notes!CD666="","",Notes!CD666)</f>
        <v/>
      </c>
      <c r="G670" s="7" t="str">
        <f>IF(Notes!CE666="","",Notes!CE666)</f>
        <v/>
      </c>
      <c r="H670" s="7" t="str">
        <f>IF(Notes!CF666="","",Notes!CF666)</f>
        <v/>
      </c>
      <c r="I670" s="7"/>
      <c r="J670" s="7"/>
      <c r="K670" s="7"/>
    </row>
    <row r="671" spans="1:11" x14ac:dyDescent="0.35">
      <c r="A671" s="7" t="str">
        <f>IF(Notes!BY667="","",Notes!BY667)</f>
        <v/>
      </c>
      <c r="B671" s="7" t="str">
        <f>IF(Notes!BZ667="","",Notes!BZ667)</f>
        <v/>
      </c>
      <c r="C671" s="7" t="str">
        <f>IF(Notes!CA667="","",Notes!CA667)</f>
        <v/>
      </c>
      <c r="D671" s="7" t="str">
        <f>IF(Notes!CB667="","",Notes!CB667)</f>
        <v/>
      </c>
      <c r="E671" s="7" t="str">
        <f>IF(Notes!CC667="","",Notes!CC667)</f>
        <v/>
      </c>
      <c r="F671" s="7" t="str">
        <f>IF(Notes!CD667="","",Notes!CD667)</f>
        <v/>
      </c>
      <c r="G671" s="7" t="str">
        <f>IF(Notes!CE667="","",Notes!CE667)</f>
        <v/>
      </c>
      <c r="H671" s="7" t="str">
        <f>IF(Notes!CF667="","",Notes!CF667)</f>
        <v/>
      </c>
      <c r="I671" s="7"/>
      <c r="J671" s="7"/>
      <c r="K671" s="7"/>
    </row>
    <row r="672" spans="1:11" x14ac:dyDescent="0.35">
      <c r="A672" s="7" t="str">
        <f>IF(Notes!BY668="","",Notes!BY668)</f>
        <v/>
      </c>
      <c r="B672" s="7" t="str">
        <f>IF(Notes!BZ668="","",Notes!BZ668)</f>
        <v/>
      </c>
      <c r="C672" s="7" t="str">
        <f>IF(Notes!CA668="","",Notes!CA668)</f>
        <v/>
      </c>
      <c r="D672" s="7" t="str">
        <f>IF(Notes!CB668="","",Notes!CB668)</f>
        <v/>
      </c>
      <c r="E672" s="7" t="str">
        <f>IF(Notes!CC668="","",Notes!CC668)</f>
        <v/>
      </c>
      <c r="F672" s="7" t="str">
        <f>IF(Notes!CD668="","",Notes!CD668)</f>
        <v/>
      </c>
      <c r="G672" s="7" t="str">
        <f>IF(Notes!CE668="","",Notes!CE668)</f>
        <v/>
      </c>
      <c r="H672" s="7" t="str">
        <f>IF(Notes!CF668="","",Notes!CF668)</f>
        <v/>
      </c>
      <c r="I672" s="7"/>
      <c r="J672" s="7"/>
      <c r="K672" s="7"/>
    </row>
    <row r="673" spans="1:11" x14ac:dyDescent="0.35">
      <c r="A673" s="7" t="str">
        <f>IF(Notes!BY669="","",Notes!BY669)</f>
        <v/>
      </c>
      <c r="B673" s="7" t="str">
        <f>IF(Notes!BZ669="","",Notes!BZ669)</f>
        <v/>
      </c>
      <c r="C673" s="7" t="str">
        <f>IF(Notes!CA669="","",Notes!CA669)</f>
        <v/>
      </c>
      <c r="D673" s="7" t="str">
        <f>IF(Notes!CB669="","",Notes!CB669)</f>
        <v/>
      </c>
      <c r="E673" s="7" t="str">
        <f>IF(Notes!CC669="","",Notes!CC669)</f>
        <v/>
      </c>
      <c r="F673" s="7" t="str">
        <f>IF(Notes!CD669="","",Notes!CD669)</f>
        <v/>
      </c>
      <c r="G673" s="7" t="str">
        <f>IF(Notes!CE669="","",Notes!CE669)</f>
        <v/>
      </c>
      <c r="H673" s="7" t="str">
        <f>IF(Notes!CF669="","",Notes!CF669)</f>
        <v/>
      </c>
      <c r="I673" s="7"/>
      <c r="J673" s="7"/>
      <c r="K673" s="7"/>
    </row>
    <row r="674" spans="1:11" x14ac:dyDescent="0.35">
      <c r="A674" s="7" t="str">
        <f>IF(Notes!BY670="","",Notes!BY670)</f>
        <v/>
      </c>
      <c r="B674" s="7" t="str">
        <f>IF(Notes!BZ670="","",Notes!BZ670)</f>
        <v/>
      </c>
      <c r="C674" s="7" t="str">
        <f>IF(Notes!CA670="","",Notes!CA670)</f>
        <v/>
      </c>
      <c r="D674" s="7" t="str">
        <f>IF(Notes!CB670="","",Notes!CB670)</f>
        <v/>
      </c>
      <c r="E674" s="7" t="str">
        <f>IF(Notes!CC670="","",Notes!CC670)</f>
        <v/>
      </c>
      <c r="F674" s="7" t="str">
        <f>IF(Notes!CD670="","",Notes!CD670)</f>
        <v/>
      </c>
      <c r="G674" s="7" t="str">
        <f>IF(Notes!CE670="","",Notes!CE670)</f>
        <v/>
      </c>
      <c r="H674" s="7" t="str">
        <f>IF(Notes!CF670="","",Notes!CF670)</f>
        <v/>
      </c>
      <c r="I674" s="7"/>
      <c r="J674" s="7"/>
      <c r="K674" s="7"/>
    </row>
    <row r="675" spans="1:11" x14ac:dyDescent="0.35">
      <c r="A675" s="7" t="str">
        <f>IF(Notes!BY671="","",Notes!BY671)</f>
        <v/>
      </c>
      <c r="B675" s="7" t="str">
        <f>IF(Notes!BZ671="","",Notes!BZ671)</f>
        <v/>
      </c>
      <c r="C675" s="7" t="str">
        <f>IF(Notes!CA671="","",Notes!CA671)</f>
        <v/>
      </c>
      <c r="D675" s="7" t="str">
        <f>IF(Notes!CB671="","",Notes!CB671)</f>
        <v/>
      </c>
      <c r="E675" s="7" t="str">
        <f>IF(Notes!CC671="","",Notes!CC671)</f>
        <v/>
      </c>
      <c r="F675" s="7" t="str">
        <f>IF(Notes!CD671="","",Notes!CD671)</f>
        <v/>
      </c>
      <c r="G675" s="7" t="str">
        <f>IF(Notes!CE671="","",Notes!CE671)</f>
        <v/>
      </c>
      <c r="H675" s="7" t="str">
        <f>IF(Notes!CF671="","",Notes!CF671)</f>
        <v/>
      </c>
      <c r="I675" s="7"/>
      <c r="J675" s="7"/>
      <c r="K675" s="7"/>
    </row>
    <row r="676" spans="1:11" x14ac:dyDescent="0.35">
      <c r="A676" s="7" t="str">
        <f>IF(Notes!BY672="","",Notes!BY672)</f>
        <v/>
      </c>
      <c r="B676" s="7" t="str">
        <f>IF(Notes!BZ672="","",Notes!BZ672)</f>
        <v/>
      </c>
      <c r="C676" s="7" t="str">
        <f>IF(Notes!CA672="","",Notes!CA672)</f>
        <v/>
      </c>
      <c r="D676" s="7" t="str">
        <f>IF(Notes!CB672="","",Notes!CB672)</f>
        <v/>
      </c>
      <c r="E676" s="7" t="str">
        <f>IF(Notes!CC672="","",Notes!CC672)</f>
        <v/>
      </c>
      <c r="F676" s="7" t="str">
        <f>IF(Notes!CD672="","",Notes!CD672)</f>
        <v/>
      </c>
      <c r="G676" s="7" t="str">
        <f>IF(Notes!CE672="","",Notes!CE672)</f>
        <v/>
      </c>
      <c r="H676" s="7" t="str">
        <f>IF(Notes!CF672="","",Notes!CF672)</f>
        <v/>
      </c>
      <c r="I676" s="7"/>
      <c r="J676" s="7"/>
      <c r="K676" s="7"/>
    </row>
    <row r="677" spans="1:11" x14ac:dyDescent="0.35">
      <c r="A677" s="7" t="str">
        <f>IF(Notes!BY673="","",Notes!BY673)</f>
        <v/>
      </c>
      <c r="B677" s="7" t="str">
        <f>IF(Notes!BZ673="","",Notes!BZ673)</f>
        <v/>
      </c>
      <c r="C677" s="7" t="str">
        <f>IF(Notes!CA673="","",Notes!CA673)</f>
        <v/>
      </c>
      <c r="D677" s="7" t="str">
        <f>IF(Notes!CB673="","",Notes!CB673)</f>
        <v/>
      </c>
      <c r="E677" s="7" t="str">
        <f>IF(Notes!CC673="","",Notes!CC673)</f>
        <v/>
      </c>
      <c r="F677" s="7" t="str">
        <f>IF(Notes!CD673="","",Notes!CD673)</f>
        <v/>
      </c>
      <c r="G677" s="7" t="str">
        <f>IF(Notes!CE673="","",Notes!CE673)</f>
        <v/>
      </c>
      <c r="H677" s="7" t="str">
        <f>IF(Notes!CF673="","",Notes!CF673)</f>
        <v/>
      </c>
      <c r="I677" s="7"/>
      <c r="J677" s="7"/>
      <c r="K677" s="7"/>
    </row>
    <row r="678" spans="1:11" x14ac:dyDescent="0.35">
      <c r="A678" s="7" t="str">
        <f>IF(Notes!BY674="","",Notes!BY674)</f>
        <v/>
      </c>
      <c r="B678" s="7" t="str">
        <f>IF(Notes!BZ674="","",Notes!BZ674)</f>
        <v/>
      </c>
      <c r="C678" s="7" t="str">
        <f>IF(Notes!CA674="","",Notes!CA674)</f>
        <v/>
      </c>
      <c r="D678" s="7" t="str">
        <f>IF(Notes!CB674="","",Notes!CB674)</f>
        <v/>
      </c>
      <c r="E678" s="7" t="str">
        <f>IF(Notes!CC674="","",Notes!CC674)</f>
        <v/>
      </c>
      <c r="F678" s="7" t="str">
        <f>IF(Notes!CD674="","",Notes!CD674)</f>
        <v/>
      </c>
      <c r="G678" s="7" t="str">
        <f>IF(Notes!CE674="","",Notes!CE674)</f>
        <v/>
      </c>
      <c r="H678" s="7" t="str">
        <f>IF(Notes!CF674="","",Notes!CF674)</f>
        <v/>
      </c>
      <c r="I678" s="7"/>
      <c r="J678" s="7"/>
      <c r="K678" s="7"/>
    </row>
    <row r="679" spans="1:11" x14ac:dyDescent="0.35">
      <c r="A679" s="7" t="str">
        <f>IF(Notes!BY675="","",Notes!BY675)</f>
        <v/>
      </c>
      <c r="B679" s="7" t="str">
        <f>IF(Notes!BZ675="","",Notes!BZ675)</f>
        <v/>
      </c>
      <c r="C679" s="7" t="str">
        <f>IF(Notes!CA675="","",Notes!CA675)</f>
        <v/>
      </c>
      <c r="D679" s="7" t="str">
        <f>IF(Notes!CB675="","",Notes!CB675)</f>
        <v/>
      </c>
      <c r="E679" s="7" t="str">
        <f>IF(Notes!CC675="","",Notes!CC675)</f>
        <v/>
      </c>
      <c r="F679" s="7" t="str">
        <f>IF(Notes!CD675="","",Notes!CD675)</f>
        <v/>
      </c>
      <c r="G679" s="7" t="str">
        <f>IF(Notes!CE675="","",Notes!CE675)</f>
        <v/>
      </c>
      <c r="H679" s="7" t="str">
        <f>IF(Notes!CF675="","",Notes!CF675)</f>
        <v/>
      </c>
      <c r="I679" s="7"/>
      <c r="J679" s="7"/>
      <c r="K679" s="7"/>
    </row>
    <row r="680" spans="1:11" x14ac:dyDescent="0.35">
      <c r="A680" s="7" t="str">
        <f>IF(Notes!BY676="","",Notes!BY676)</f>
        <v/>
      </c>
      <c r="B680" s="7" t="str">
        <f>IF(Notes!BZ676="","",Notes!BZ676)</f>
        <v/>
      </c>
      <c r="C680" s="7" t="str">
        <f>IF(Notes!CA676="","",Notes!CA676)</f>
        <v/>
      </c>
      <c r="D680" s="7" t="str">
        <f>IF(Notes!CB676="","",Notes!CB676)</f>
        <v/>
      </c>
      <c r="E680" s="7" t="str">
        <f>IF(Notes!CC676="","",Notes!CC676)</f>
        <v/>
      </c>
      <c r="F680" s="7" t="str">
        <f>IF(Notes!CD676="","",Notes!CD676)</f>
        <v/>
      </c>
      <c r="G680" s="7" t="str">
        <f>IF(Notes!CE676="","",Notes!CE676)</f>
        <v/>
      </c>
      <c r="H680" s="7" t="str">
        <f>IF(Notes!CF676="","",Notes!CF676)</f>
        <v/>
      </c>
      <c r="I680" s="7"/>
      <c r="J680" s="7"/>
      <c r="K680" s="7"/>
    </row>
    <row r="681" spans="1:11" x14ac:dyDescent="0.35">
      <c r="A681" s="7" t="str">
        <f>IF(Notes!BY677="","",Notes!BY677)</f>
        <v/>
      </c>
      <c r="B681" s="7" t="str">
        <f>IF(Notes!BZ677="","",Notes!BZ677)</f>
        <v/>
      </c>
      <c r="C681" s="7" t="str">
        <f>IF(Notes!CA677="","",Notes!CA677)</f>
        <v/>
      </c>
      <c r="D681" s="7" t="str">
        <f>IF(Notes!CB677="","",Notes!CB677)</f>
        <v/>
      </c>
      <c r="E681" s="7" t="str">
        <f>IF(Notes!CC677="","",Notes!CC677)</f>
        <v/>
      </c>
      <c r="F681" s="7" t="str">
        <f>IF(Notes!CD677="","",Notes!CD677)</f>
        <v/>
      </c>
      <c r="G681" s="7" t="str">
        <f>IF(Notes!CE677="","",Notes!CE677)</f>
        <v/>
      </c>
      <c r="H681" s="7" t="str">
        <f>IF(Notes!CF677="","",Notes!CF677)</f>
        <v/>
      </c>
      <c r="I681" s="7"/>
      <c r="J681" s="7"/>
      <c r="K681" s="7"/>
    </row>
    <row r="682" spans="1:11" x14ac:dyDescent="0.35">
      <c r="A682" s="7" t="str">
        <f>IF(Notes!BY678="","",Notes!BY678)</f>
        <v/>
      </c>
      <c r="B682" s="7" t="str">
        <f>IF(Notes!BZ678="","",Notes!BZ678)</f>
        <v/>
      </c>
      <c r="C682" s="7" t="str">
        <f>IF(Notes!CA678="","",Notes!CA678)</f>
        <v/>
      </c>
      <c r="D682" s="7" t="str">
        <f>IF(Notes!CB678="","",Notes!CB678)</f>
        <v/>
      </c>
      <c r="E682" s="7" t="str">
        <f>IF(Notes!CC678="","",Notes!CC678)</f>
        <v/>
      </c>
      <c r="F682" s="7" t="str">
        <f>IF(Notes!CD678="","",Notes!CD678)</f>
        <v/>
      </c>
      <c r="G682" s="7" t="str">
        <f>IF(Notes!CE678="","",Notes!CE678)</f>
        <v/>
      </c>
      <c r="H682" s="7" t="str">
        <f>IF(Notes!CF678="","",Notes!CF678)</f>
        <v/>
      </c>
      <c r="I682" s="7"/>
      <c r="J682" s="7"/>
      <c r="K682" s="7"/>
    </row>
    <row r="683" spans="1:11" x14ac:dyDescent="0.35">
      <c r="A683" s="7" t="str">
        <f>IF(Notes!BY679="","",Notes!BY679)</f>
        <v/>
      </c>
      <c r="B683" s="7" t="str">
        <f>IF(Notes!BZ679="","",Notes!BZ679)</f>
        <v/>
      </c>
      <c r="C683" s="7" t="str">
        <f>IF(Notes!CA679="","",Notes!CA679)</f>
        <v/>
      </c>
      <c r="D683" s="7" t="str">
        <f>IF(Notes!CB679="","",Notes!CB679)</f>
        <v/>
      </c>
      <c r="E683" s="7" t="str">
        <f>IF(Notes!CC679="","",Notes!CC679)</f>
        <v/>
      </c>
      <c r="F683" s="7" t="str">
        <f>IF(Notes!CD679="","",Notes!CD679)</f>
        <v/>
      </c>
      <c r="G683" s="7" t="str">
        <f>IF(Notes!CE679="","",Notes!CE679)</f>
        <v/>
      </c>
      <c r="H683" s="7" t="str">
        <f>IF(Notes!CF679="","",Notes!CF679)</f>
        <v/>
      </c>
      <c r="I683" s="7"/>
      <c r="J683" s="7"/>
      <c r="K683" s="7"/>
    </row>
    <row r="684" spans="1:11" x14ac:dyDescent="0.35">
      <c r="A684" s="7" t="str">
        <f>IF(Notes!BY680="","",Notes!BY680)</f>
        <v/>
      </c>
      <c r="B684" s="7" t="str">
        <f>IF(Notes!BZ680="","",Notes!BZ680)</f>
        <v/>
      </c>
      <c r="C684" s="7" t="str">
        <f>IF(Notes!CA680="","",Notes!CA680)</f>
        <v/>
      </c>
      <c r="D684" s="7" t="str">
        <f>IF(Notes!CB680="","",Notes!CB680)</f>
        <v/>
      </c>
      <c r="E684" s="7" t="str">
        <f>IF(Notes!CC680="","",Notes!CC680)</f>
        <v/>
      </c>
      <c r="F684" s="7" t="str">
        <f>IF(Notes!CD680="","",Notes!CD680)</f>
        <v/>
      </c>
      <c r="G684" s="7" t="str">
        <f>IF(Notes!CE680="","",Notes!CE680)</f>
        <v/>
      </c>
      <c r="H684" s="7" t="str">
        <f>IF(Notes!CF680="","",Notes!CF680)</f>
        <v/>
      </c>
      <c r="I684" s="7"/>
      <c r="J684" s="7"/>
      <c r="K684" s="7"/>
    </row>
    <row r="685" spans="1:11" x14ac:dyDescent="0.35">
      <c r="A685" s="7" t="str">
        <f>IF(Notes!BY681="","",Notes!BY681)</f>
        <v/>
      </c>
      <c r="B685" s="7" t="str">
        <f>IF(Notes!BZ681="","",Notes!BZ681)</f>
        <v/>
      </c>
      <c r="C685" s="7" t="str">
        <f>IF(Notes!CA681="","",Notes!CA681)</f>
        <v/>
      </c>
      <c r="D685" s="7" t="str">
        <f>IF(Notes!CB681="","",Notes!CB681)</f>
        <v/>
      </c>
      <c r="E685" s="7" t="str">
        <f>IF(Notes!CC681="","",Notes!CC681)</f>
        <v/>
      </c>
      <c r="F685" s="7" t="str">
        <f>IF(Notes!CD681="","",Notes!CD681)</f>
        <v/>
      </c>
      <c r="G685" s="7" t="str">
        <f>IF(Notes!CE681="","",Notes!CE681)</f>
        <v/>
      </c>
      <c r="H685" s="7" t="str">
        <f>IF(Notes!CF681="","",Notes!CF681)</f>
        <v/>
      </c>
      <c r="I685" s="7"/>
      <c r="J685" s="7"/>
      <c r="K685" s="7"/>
    </row>
    <row r="686" spans="1:11" x14ac:dyDescent="0.35">
      <c r="A686" s="7" t="str">
        <f>IF(Notes!BY682="","",Notes!BY682)</f>
        <v/>
      </c>
      <c r="B686" s="7" t="str">
        <f>IF(Notes!BZ682="","",Notes!BZ682)</f>
        <v/>
      </c>
      <c r="C686" s="7" t="str">
        <f>IF(Notes!CA682="","",Notes!CA682)</f>
        <v/>
      </c>
      <c r="D686" s="7" t="str">
        <f>IF(Notes!CB682="","",Notes!CB682)</f>
        <v/>
      </c>
      <c r="E686" s="7" t="str">
        <f>IF(Notes!CC682="","",Notes!CC682)</f>
        <v/>
      </c>
      <c r="F686" s="7" t="str">
        <f>IF(Notes!CD682="","",Notes!CD682)</f>
        <v/>
      </c>
      <c r="G686" s="7" t="str">
        <f>IF(Notes!CE682="","",Notes!CE682)</f>
        <v/>
      </c>
      <c r="H686" s="7" t="str">
        <f>IF(Notes!CF682="","",Notes!CF682)</f>
        <v/>
      </c>
      <c r="I686" s="7"/>
      <c r="J686" s="7"/>
      <c r="K686" s="7"/>
    </row>
    <row r="687" spans="1:11" x14ac:dyDescent="0.35">
      <c r="A687" s="7" t="str">
        <f>IF(Notes!BY683="","",Notes!BY683)</f>
        <v/>
      </c>
      <c r="B687" s="7" t="str">
        <f>IF(Notes!BZ683="","",Notes!BZ683)</f>
        <v/>
      </c>
      <c r="C687" s="7" t="str">
        <f>IF(Notes!CA683="","",Notes!CA683)</f>
        <v/>
      </c>
      <c r="D687" s="7" t="str">
        <f>IF(Notes!CB683="","",Notes!CB683)</f>
        <v/>
      </c>
      <c r="E687" s="7" t="str">
        <f>IF(Notes!CC683="","",Notes!CC683)</f>
        <v/>
      </c>
      <c r="F687" s="7" t="str">
        <f>IF(Notes!CD683="","",Notes!CD683)</f>
        <v/>
      </c>
      <c r="G687" s="7" t="str">
        <f>IF(Notes!CE683="","",Notes!CE683)</f>
        <v/>
      </c>
      <c r="H687" s="7" t="str">
        <f>IF(Notes!CF683="","",Notes!CF683)</f>
        <v/>
      </c>
      <c r="I687" s="7"/>
      <c r="J687" s="7"/>
      <c r="K687" s="7"/>
    </row>
    <row r="688" spans="1:11" x14ac:dyDescent="0.35">
      <c r="A688" s="7" t="str">
        <f>IF(Notes!BY684="","",Notes!BY684)</f>
        <v/>
      </c>
      <c r="B688" s="7" t="str">
        <f>IF(Notes!BZ684="","",Notes!BZ684)</f>
        <v/>
      </c>
      <c r="C688" s="7" t="str">
        <f>IF(Notes!CA684="","",Notes!CA684)</f>
        <v/>
      </c>
      <c r="D688" s="7" t="str">
        <f>IF(Notes!CB684="","",Notes!CB684)</f>
        <v/>
      </c>
      <c r="E688" s="7" t="str">
        <f>IF(Notes!CC684="","",Notes!CC684)</f>
        <v/>
      </c>
      <c r="F688" s="7" t="str">
        <f>IF(Notes!CD684="","",Notes!CD684)</f>
        <v/>
      </c>
      <c r="G688" s="7" t="str">
        <f>IF(Notes!CE684="","",Notes!CE684)</f>
        <v/>
      </c>
      <c r="H688" s="7" t="str">
        <f>IF(Notes!CF684="","",Notes!CF684)</f>
        <v/>
      </c>
      <c r="I688" s="7"/>
      <c r="J688" s="7"/>
      <c r="K688" s="7"/>
    </row>
    <row r="689" spans="1:11" x14ac:dyDescent="0.35">
      <c r="A689" s="7" t="str">
        <f>IF(Notes!BY685="","",Notes!BY685)</f>
        <v/>
      </c>
      <c r="B689" s="7" t="str">
        <f>IF(Notes!BZ685="","",Notes!BZ685)</f>
        <v/>
      </c>
      <c r="C689" s="7" t="str">
        <f>IF(Notes!CA685="","",Notes!CA685)</f>
        <v/>
      </c>
      <c r="D689" s="7" t="str">
        <f>IF(Notes!CB685="","",Notes!CB685)</f>
        <v/>
      </c>
      <c r="E689" s="7" t="str">
        <f>IF(Notes!CC685="","",Notes!CC685)</f>
        <v/>
      </c>
      <c r="F689" s="7" t="str">
        <f>IF(Notes!CD685="","",Notes!CD685)</f>
        <v/>
      </c>
      <c r="G689" s="7" t="str">
        <f>IF(Notes!CE685="","",Notes!CE685)</f>
        <v/>
      </c>
      <c r="H689" s="7" t="str">
        <f>IF(Notes!CF685="","",Notes!CF685)</f>
        <v/>
      </c>
      <c r="I689" s="7"/>
      <c r="J689" s="7"/>
      <c r="K689" s="7"/>
    </row>
    <row r="690" spans="1:11" x14ac:dyDescent="0.35">
      <c r="A690" s="7" t="str">
        <f>IF(Notes!BY686="","",Notes!BY686)</f>
        <v/>
      </c>
      <c r="B690" s="7" t="str">
        <f>IF(Notes!BZ686="","",Notes!BZ686)</f>
        <v/>
      </c>
      <c r="C690" s="7" t="str">
        <f>IF(Notes!CA686="","",Notes!CA686)</f>
        <v/>
      </c>
      <c r="D690" s="7" t="str">
        <f>IF(Notes!CB686="","",Notes!CB686)</f>
        <v/>
      </c>
      <c r="E690" s="7" t="str">
        <f>IF(Notes!CC686="","",Notes!CC686)</f>
        <v/>
      </c>
      <c r="F690" s="7" t="str">
        <f>IF(Notes!CD686="","",Notes!CD686)</f>
        <v/>
      </c>
      <c r="G690" s="7" t="str">
        <f>IF(Notes!CE686="","",Notes!CE686)</f>
        <v/>
      </c>
      <c r="H690" s="7" t="str">
        <f>IF(Notes!CF686="","",Notes!CF686)</f>
        <v/>
      </c>
      <c r="I690" s="7"/>
      <c r="J690" s="7"/>
      <c r="K690" s="7"/>
    </row>
    <row r="691" spans="1:11" x14ac:dyDescent="0.35">
      <c r="A691" s="7" t="str">
        <f>IF(Notes!BY687="","",Notes!BY687)</f>
        <v/>
      </c>
      <c r="B691" s="7" t="str">
        <f>IF(Notes!BZ687="","",Notes!BZ687)</f>
        <v/>
      </c>
      <c r="C691" s="7" t="str">
        <f>IF(Notes!CA687="","",Notes!CA687)</f>
        <v/>
      </c>
      <c r="D691" s="7" t="str">
        <f>IF(Notes!CB687="","",Notes!CB687)</f>
        <v/>
      </c>
      <c r="E691" s="7" t="str">
        <f>IF(Notes!CC687="","",Notes!CC687)</f>
        <v/>
      </c>
      <c r="F691" s="7" t="str">
        <f>IF(Notes!CD687="","",Notes!CD687)</f>
        <v/>
      </c>
      <c r="G691" s="7" t="str">
        <f>IF(Notes!CE687="","",Notes!CE687)</f>
        <v/>
      </c>
      <c r="H691" s="7" t="str">
        <f>IF(Notes!CF687="","",Notes!CF687)</f>
        <v/>
      </c>
      <c r="I691" s="7"/>
      <c r="J691" s="7"/>
      <c r="K691" s="7"/>
    </row>
    <row r="692" spans="1:11" x14ac:dyDescent="0.35">
      <c r="A692" s="7" t="str">
        <f>IF(Notes!BY688="","",Notes!BY688)</f>
        <v/>
      </c>
      <c r="B692" s="7" t="str">
        <f>IF(Notes!BZ688="","",Notes!BZ688)</f>
        <v/>
      </c>
      <c r="C692" s="7" t="str">
        <f>IF(Notes!CA688="","",Notes!CA688)</f>
        <v/>
      </c>
      <c r="D692" s="7" t="str">
        <f>IF(Notes!CB688="","",Notes!CB688)</f>
        <v/>
      </c>
      <c r="E692" s="7" t="str">
        <f>IF(Notes!CC688="","",Notes!CC688)</f>
        <v/>
      </c>
      <c r="F692" s="7" t="str">
        <f>IF(Notes!CD688="","",Notes!CD688)</f>
        <v/>
      </c>
      <c r="G692" s="7" t="str">
        <f>IF(Notes!CE688="","",Notes!CE688)</f>
        <v/>
      </c>
      <c r="H692" s="7" t="str">
        <f>IF(Notes!CF688="","",Notes!CF688)</f>
        <v/>
      </c>
      <c r="I692" s="7"/>
      <c r="J692" s="7"/>
      <c r="K692" s="7"/>
    </row>
    <row r="693" spans="1:11" x14ac:dyDescent="0.35">
      <c r="A693" s="7" t="str">
        <f>IF(Notes!BY689="","",Notes!BY689)</f>
        <v/>
      </c>
      <c r="B693" s="7" t="str">
        <f>IF(Notes!BZ689="","",Notes!BZ689)</f>
        <v/>
      </c>
      <c r="C693" s="7" t="str">
        <f>IF(Notes!CA689="","",Notes!CA689)</f>
        <v/>
      </c>
      <c r="D693" s="7" t="str">
        <f>IF(Notes!CB689="","",Notes!CB689)</f>
        <v/>
      </c>
      <c r="E693" s="7" t="str">
        <f>IF(Notes!CC689="","",Notes!CC689)</f>
        <v/>
      </c>
      <c r="F693" s="7" t="str">
        <f>IF(Notes!CD689="","",Notes!CD689)</f>
        <v/>
      </c>
      <c r="G693" s="7" t="str">
        <f>IF(Notes!CE689="","",Notes!CE689)</f>
        <v/>
      </c>
      <c r="H693" s="7" t="str">
        <f>IF(Notes!CF689="","",Notes!CF689)</f>
        <v/>
      </c>
      <c r="I693" s="7"/>
      <c r="J693" s="7"/>
      <c r="K693" s="7"/>
    </row>
    <row r="694" spans="1:11" x14ac:dyDescent="0.35">
      <c r="A694" s="7" t="str">
        <f>IF(Notes!BY690="","",Notes!BY690)</f>
        <v/>
      </c>
      <c r="B694" s="7" t="str">
        <f>IF(Notes!BZ690="","",Notes!BZ690)</f>
        <v/>
      </c>
      <c r="C694" s="7" t="str">
        <f>IF(Notes!CA690="","",Notes!CA690)</f>
        <v/>
      </c>
      <c r="D694" s="7" t="str">
        <f>IF(Notes!CB690="","",Notes!CB690)</f>
        <v/>
      </c>
      <c r="E694" s="7" t="str">
        <f>IF(Notes!CC690="","",Notes!CC690)</f>
        <v/>
      </c>
      <c r="F694" s="7" t="str">
        <f>IF(Notes!CD690="","",Notes!CD690)</f>
        <v/>
      </c>
      <c r="G694" s="7" t="str">
        <f>IF(Notes!CE690="","",Notes!CE690)</f>
        <v/>
      </c>
      <c r="H694" s="7" t="str">
        <f>IF(Notes!CF690="","",Notes!CF690)</f>
        <v/>
      </c>
      <c r="I694" s="7"/>
      <c r="J694" s="7"/>
      <c r="K694" s="7"/>
    </row>
    <row r="695" spans="1:11" x14ac:dyDescent="0.35">
      <c r="A695" s="7" t="str">
        <f>IF(Notes!BY691="","",Notes!BY691)</f>
        <v/>
      </c>
      <c r="B695" s="7" t="str">
        <f>IF(Notes!BZ691="","",Notes!BZ691)</f>
        <v/>
      </c>
      <c r="C695" s="7" t="str">
        <f>IF(Notes!CA691="","",Notes!CA691)</f>
        <v/>
      </c>
      <c r="D695" s="7" t="str">
        <f>IF(Notes!CB691="","",Notes!CB691)</f>
        <v/>
      </c>
      <c r="E695" s="7" t="str">
        <f>IF(Notes!CC691="","",Notes!CC691)</f>
        <v/>
      </c>
      <c r="F695" s="7" t="str">
        <f>IF(Notes!CD691="","",Notes!CD691)</f>
        <v/>
      </c>
      <c r="G695" s="7" t="str">
        <f>IF(Notes!CE691="","",Notes!CE691)</f>
        <v/>
      </c>
      <c r="H695" s="7" t="str">
        <f>IF(Notes!CF691="","",Notes!CF691)</f>
        <v/>
      </c>
      <c r="I695" s="7"/>
      <c r="J695" s="7"/>
      <c r="K695" s="7"/>
    </row>
    <row r="696" spans="1:11" x14ac:dyDescent="0.35">
      <c r="A696" s="7" t="str">
        <f>IF(Notes!BY692="","",Notes!BY692)</f>
        <v/>
      </c>
      <c r="B696" s="7" t="str">
        <f>IF(Notes!BZ692="","",Notes!BZ692)</f>
        <v/>
      </c>
      <c r="C696" s="7" t="str">
        <f>IF(Notes!CA692="","",Notes!CA692)</f>
        <v/>
      </c>
      <c r="D696" s="7" t="str">
        <f>IF(Notes!CB692="","",Notes!CB692)</f>
        <v/>
      </c>
      <c r="E696" s="7" t="str">
        <f>IF(Notes!CC692="","",Notes!CC692)</f>
        <v/>
      </c>
      <c r="F696" s="7" t="str">
        <f>IF(Notes!CD692="","",Notes!CD692)</f>
        <v/>
      </c>
      <c r="G696" s="7" t="str">
        <f>IF(Notes!CE692="","",Notes!CE692)</f>
        <v/>
      </c>
      <c r="H696" s="7" t="str">
        <f>IF(Notes!CF692="","",Notes!CF692)</f>
        <v/>
      </c>
      <c r="I696" s="7"/>
      <c r="J696" s="7"/>
      <c r="K696" s="7"/>
    </row>
    <row r="697" spans="1:11" x14ac:dyDescent="0.35">
      <c r="A697" s="7" t="str">
        <f>IF(Notes!BY693="","",Notes!BY693)</f>
        <v/>
      </c>
      <c r="B697" s="7" t="str">
        <f>IF(Notes!BZ693="","",Notes!BZ693)</f>
        <v/>
      </c>
      <c r="C697" s="7" t="str">
        <f>IF(Notes!CA693="","",Notes!CA693)</f>
        <v/>
      </c>
      <c r="D697" s="7" t="str">
        <f>IF(Notes!CB693="","",Notes!CB693)</f>
        <v/>
      </c>
      <c r="E697" s="7" t="str">
        <f>IF(Notes!CC693="","",Notes!CC693)</f>
        <v/>
      </c>
      <c r="F697" s="7" t="str">
        <f>IF(Notes!CD693="","",Notes!CD693)</f>
        <v/>
      </c>
      <c r="G697" s="7" t="str">
        <f>IF(Notes!CE693="","",Notes!CE693)</f>
        <v/>
      </c>
      <c r="H697" s="7" t="str">
        <f>IF(Notes!CF693="","",Notes!CF693)</f>
        <v/>
      </c>
      <c r="I697" s="7"/>
      <c r="J697" s="7"/>
      <c r="K697" s="7"/>
    </row>
    <row r="698" spans="1:11" x14ac:dyDescent="0.35">
      <c r="A698" s="7" t="str">
        <f>IF(Notes!BY694="","",Notes!BY694)</f>
        <v/>
      </c>
      <c r="B698" s="7" t="str">
        <f>IF(Notes!BZ694="","",Notes!BZ694)</f>
        <v/>
      </c>
      <c r="C698" s="7" t="str">
        <f>IF(Notes!CA694="","",Notes!CA694)</f>
        <v/>
      </c>
      <c r="D698" s="7" t="str">
        <f>IF(Notes!CB694="","",Notes!CB694)</f>
        <v/>
      </c>
      <c r="E698" s="7" t="str">
        <f>IF(Notes!CC694="","",Notes!CC694)</f>
        <v/>
      </c>
      <c r="F698" s="7" t="str">
        <f>IF(Notes!CD694="","",Notes!CD694)</f>
        <v/>
      </c>
      <c r="G698" s="7" t="str">
        <f>IF(Notes!CE694="","",Notes!CE694)</f>
        <v/>
      </c>
      <c r="H698" s="7" t="str">
        <f>IF(Notes!CF694="","",Notes!CF694)</f>
        <v/>
      </c>
      <c r="I698" s="7"/>
      <c r="J698" s="7"/>
      <c r="K698" s="7"/>
    </row>
    <row r="699" spans="1:11" x14ac:dyDescent="0.35">
      <c r="A699" s="7" t="str">
        <f>IF(Notes!BY695="","",Notes!BY695)</f>
        <v/>
      </c>
      <c r="B699" s="7" t="str">
        <f>IF(Notes!BZ695="","",Notes!BZ695)</f>
        <v/>
      </c>
      <c r="C699" s="7" t="str">
        <f>IF(Notes!CA695="","",Notes!CA695)</f>
        <v/>
      </c>
      <c r="D699" s="7" t="str">
        <f>IF(Notes!CB695="","",Notes!CB695)</f>
        <v/>
      </c>
      <c r="E699" s="7" t="str">
        <f>IF(Notes!CC695="","",Notes!CC695)</f>
        <v/>
      </c>
      <c r="F699" s="7" t="str">
        <f>IF(Notes!CD695="","",Notes!CD695)</f>
        <v/>
      </c>
      <c r="G699" s="7" t="str">
        <f>IF(Notes!CE695="","",Notes!CE695)</f>
        <v/>
      </c>
      <c r="H699" s="7" t="str">
        <f>IF(Notes!CF695="","",Notes!CF695)</f>
        <v/>
      </c>
      <c r="I699" s="7"/>
      <c r="J699" s="7"/>
      <c r="K699" s="7"/>
    </row>
    <row r="700" spans="1:11" x14ac:dyDescent="0.35">
      <c r="A700" s="7" t="str">
        <f>IF(Notes!BY696="","",Notes!BY696)</f>
        <v/>
      </c>
      <c r="B700" s="7" t="str">
        <f>IF(Notes!BZ696="","",Notes!BZ696)</f>
        <v/>
      </c>
      <c r="C700" s="7" t="str">
        <f>IF(Notes!CA696="","",Notes!CA696)</f>
        <v/>
      </c>
      <c r="D700" s="7" t="str">
        <f>IF(Notes!CB696="","",Notes!CB696)</f>
        <v/>
      </c>
      <c r="E700" s="7" t="str">
        <f>IF(Notes!CC696="","",Notes!CC696)</f>
        <v/>
      </c>
      <c r="F700" s="7" t="str">
        <f>IF(Notes!CD696="","",Notes!CD696)</f>
        <v/>
      </c>
      <c r="G700" s="7" t="str">
        <f>IF(Notes!CE696="","",Notes!CE696)</f>
        <v/>
      </c>
      <c r="H700" s="7" t="str">
        <f>IF(Notes!CF696="","",Notes!CF696)</f>
        <v/>
      </c>
      <c r="I700" s="7"/>
      <c r="J700" s="7"/>
      <c r="K700" s="7"/>
    </row>
    <row r="701" spans="1:11" x14ac:dyDescent="0.35">
      <c r="A701" s="7" t="str">
        <f>IF(Notes!BY697="","",Notes!BY697)</f>
        <v/>
      </c>
      <c r="B701" s="7" t="str">
        <f>IF(Notes!BZ697="","",Notes!BZ697)</f>
        <v/>
      </c>
      <c r="C701" s="7" t="str">
        <f>IF(Notes!CA697="","",Notes!CA697)</f>
        <v/>
      </c>
      <c r="D701" s="7" t="str">
        <f>IF(Notes!CB697="","",Notes!CB697)</f>
        <v/>
      </c>
      <c r="E701" s="7" t="str">
        <f>IF(Notes!CC697="","",Notes!CC697)</f>
        <v/>
      </c>
      <c r="F701" s="7" t="str">
        <f>IF(Notes!CD697="","",Notes!CD697)</f>
        <v/>
      </c>
      <c r="G701" s="7" t="str">
        <f>IF(Notes!CE697="","",Notes!CE697)</f>
        <v/>
      </c>
      <c r="H701" s="7" t="str">
        <f>IF(Notes!CF697="","",Notes!CF697)</f>
        <v/>
      </c>
      <c r="I701" s="7"/>
      <c r="J701" s="7"/>
      <c r="K701" s="7"/>
    </row>
    <row r="702" spans="1:11" x14ac:dyDescent="0.35">
      <c r="A702" s="7" t="str">
        <f>IF(Notes!BY698="","",Notes!BY698)</f>
        <v/>
      </c>
      <c r="B702" s="7" t="str">
        <f>IF(Notes!BZ698="","",Notes!BZ698)</f>
        <v/>
      </c>
      <c r="C702" s="7" t="str">
        <f>IF(Notes!CA698="","",Notes!CA698)</f>
        <v/>
      </c>
      <c r="D702" s="7" t="str">
        <f>IF(Notes!CB698="","",Notes!CB698)</f>
        <v/>
      </c>
      <c r="E702" s="7" t="str">
        <f>IF(Notes!CC698="","",Notes!CC698)</f>
        <v/>
      </c>
      <c r="F702" s="7" t="str">
        <f>IF(Notes!CD698="","",Notes!CD698)</f>
        <v/>
      </c>
      <c r="G702" s="7" t="str">
        <f>IF(Notes!CE698="","",Notes!CE698)</f>
        <v/>
      </c>
      <c r="H702" s="7" t="str">
        <f>IF(Notes!CF698="","",Notes!CF698)</f>
        <v/>
      </c>
      <c r="I702" s="7"/>
      <c r="J702" s="7"/>
      <c r="K702" s="7"/>
    </row>
    <row r="703" spans="1:11" x14ac:dyDescent="0.35">
      <c r="A703" s="7" t="str">
        <f>IF(Notes!BY699="","",Notes!BY699)</f>
        <v/>
      </c>
      <c r="B703" s="7" t="str">
        <f>IF(Notes!BZ699="","",Notes!BZ699)</f>
        <v/>
      </c>
      <c r="C703" s="7" t="str">
        <f>IF(Notes!CA699="","",Notes!CA699)</f>
        <v/>
      </c>
      <c r="D703" s="7" t="str">
        <f>IF(Notes!CB699="","",Notes!CB699)</f>
        <v/>
      </c>
      <c r="E703" s="7" t="str">
        <f>IF(Notes!CC699="","",Notes!CC699)</f>
        <v/>
      </c>
      <c r="F703" s="7" t="str">
        <f>IF(Notes!CD699="","",Notes!CD699)</f>
        <v/>
      </c>
      <c r="G703" s="7" t="str">
        <f>IF(Notes!CE699="","",Notes!CE699)</f>
        <v/>
      </c>
      <c r="H703" s="7" t="str">
        <f>IF(Notes!CF699="","",Notes!CF699)</f>
        <v/>
      </c>
      <c r="I703" s="7"/>
      <c r="J703" s="7"/>
      <c r="K703" s="7"/>
    </row>
    <row r="704" spans="1:11" x14ac:dyDescent="0.35">
      <c r="A704" s="7" t="str">
        <f>IF(Notes!BY700="","",Notes!BY700)</f>
        <v/>
      </c>
      <c r="B704" s="7" t="str">
        <f>IF(Notes!BZ700="","",Notes!BZ700)</f>
        <v/>
      </c>
      <c r="C704" s="7" t="str">
        <f>IF(Notes!CA700="","",Notes!CA700)</f>
        <v/>
      </c>
      <c r="D704" s="7" t="str">
        <f>IF(Notes!CB700="","",Notes!CB700)</f>
        <v/>
      </c>
      <c r="E704" s="7" t="str">
        <f>IF(Notes!CC700="","",Notes!CC700)</f>
        <v/>
      </c>
      <c r="F704" s="7" t="str">
        <f>IF(Notes!CD700="","",Notes!CD700)</f>
        <v/>
      </c>
      <c r="G704" s="7" t="str">
        <f>IF(Notes!CE700="","",Notes!CE700)</f>
        <v/>
      </c>
      <c r="H704" s="7" t="str">
        <f>IF(Notes!CF700="","",Notes!CF700)</f>
        <v/>
      </c>
      <c r="I704" s="7"/>
      <c r="J704" s="7"/>
      <c r="K704" s="7"/>
    </row>
    <row r="705" spans="1:11" x14ac:dyDescent="0.35">
      <c r="A705" s="7" t="str">
        <f>IF(Notes!BY701="","",Notes!BY701)</f>
        <v/>
      </c>
      <c r="B705" s="7" t="str">
        <f>IF(Notes!BZ701="","",Notes!BZ701)</f>
        <v/>
      </c>
      <c r="C705" s="7" t="str">
        <f>IF(Notes!CA701="","",Notes!CA701)</f>
        <v/>
      </c>
      <c r="D705" s="7" t="str">
        <f>IF(Notes!CB701="","",Notes!CB701)</f>
        <v/>
      </c>
      <c r="E705" s="7" t="str">
        <f>IF(Notes!CC701="","",Notes!CC701)</f>
        <v/>
      </c>
      <c r="F705" s="7" t="str">
        <f>IF(Notes!CD701="","",Notes!CD701)</f>
        <v/>
      </c>
      <c r="G705" s="7" t="str">
        <f>IF(Notes!CE701="","",Notes!CE701)</f>
        <v/>
      </c>
      <c r="H705" s="7" t="str">
        <f>IF(Notes!CF701="","",Notes!CF701)</f>
        <v/>
      </c>
      <c r="I705" s="7"/>
      <c r="J705" s="7"/>
      <c r="K705" s="7"/>
    </row>
    <row r="706" spans="1:11" x14ac:dyDescent="0.35">
      <c r="A706" s="7" t="str">
        <f>IF(Notes!BY702="","",Notes!BY702)</f>
        <v/>
      </c>
      <c r="B706" s="7" t="str">
        <f>IF(Notes!BZ702="","",Notes!BZ702)</f>
        <v/>
      </c>
      <c r="C706" s="7" t="str">
        <f>IF(Notes!CA702="","",Notes!CA702)</f>
        <v/>
      </c>
      <c r="D706" s="7" t="str">
        <f>IF(Notes!CB702="","",Notes!CB702)</f>
        <v/>
      </c>
      <c r="E706" s="7" t="str">
        <f>IF(Notes!CC702="","",Notes!CC702)</f>
        <v/>
      </c>
      <c r="F706" s="7" t="str">
        <f>IF(Notes!CD702="","",Notes!CD702)</f>
        <v/>
      </c>
      <c r="G706" s="7" t="str">
        <f>IF(Notes!CE702="","",Notes!CE702)</f>
        <v/>
      </c>
      <c r="H706" s="7" t="str">
        <f>IF(Notes!CF702="","",Notes!CF702)</f>
        <v/>
      </c>
      <c r="I706" s="7"/>
      <c r="J706" s="7"/>
      <c r="K706" s="7"/>
    </row>
    <row r="707" spans="1:11" x14ac:dyDescent="0.35">
      <c r="A707" s="7" t="str">
        <f>IF(Notes!BY703="","",Notes!BY703)</f>
        <v/>
      </c>
      <c r="B707" s="7" t="str">
        <f>IF(Notes!BZ703="","",Notes!BZ703)</f>
        <v/>
      </c>
      <c r="C707" s="7" t="str">
        <f>IF(Notes!CA703="","",Notes!CA703)</f>
        <v/>
      </c>
      <c r="D707" s="7" t="str">
        <f>IF(Notes!CB703="","",Notes!CB703)</f>
        <v/>
      </c>
      <c r="E707" s="7" t="str">
        <f>IF(Notes!CC703="","",Notes!CC703)</f>
        <v/>
      </c>
      <c r="F707" s="7" t="str">
        <f>IF(Notes!CD703="","",Notes!CD703)</f>
        <v/>
      </c>
      <c r="G707" s="7" t="str">
        <f>IF(Notes!CE703="","",Notes!CE703)</f>
        <v/>
      </c>
      <c r="H707" s="7" t="str">
        <f>IF(Notes!CF703="","",Notes!CF703)</f>
        <v/>
      </c>
      <c r="I707" s="7"/>
      <c r="J707" s="7"/>
      <c r="K707" s="7"/>
    </row>
    <row r="708" spans="1:11" x14ac:dyDescent="0.35">
      <c r="A708" s="7" t="str">
        <f>IF(Notes!BY704="","",Notes!BY704)</f>
        <v/>
      </c>
      <c r="B708" s="7" t="str">
        <f>IF(Notes!BZ704="","",Notes!BZ704)</f>
        <v/>
      </c>
      <c r="C708" s="7" t="str">
        <f>IF(Notes!CA704="","",Notes!CA704)</f>
        <v/>
      </c>
      <c r="D708" s="7" t="str">
        <f>IF(Notes!CB704="","",Notes!CB704)</f>
        <v/>
      </c>
      <c r="E708" s="7" t="str">
        <f>IF(Notes!CC704="","",Notes!CC704)</f>
        <v/>
      </c>
      <c r="F708" s="7" t="str">
        <f>IF(Notes!CD704="","",Notes!CD704)</f>
        <v/>
      </c>
      <c r="G708" s="7" t="str">
        <f>IF(Notes!CE704="","",Notes!CE704)</f>
        <v/>
      </c>
      <c r="H708" s="7" t="str">
        <f>IF(Notes!CF704="","",Notes!CF704)</f>
        <v/>
      </c>
      <c r="I708" s="7"/>
      <c r="J708" s="7"/>
      <c r="K708" s="7"/>
    </row>
    <row r="709" spans="1:11" x14ac:dyDescent="0.35">
      <c r="A709" s="7" t="str">
        <f>IF(Notes!BY705="","",Notes!BY705)</f>
        <v/>
      </c>
      <c r="B709" s="7" t="str">
        <f>IF(Notes!BZ705="","",Notes!BZ705)</f>
        <v/>
      </c>
      <c r="C709" s="7" t="str">
        <f>IF(Notes!CA705="","",Notes!CA705)</f>
        <v/>
      </c>
      <c r="D709" s="7" t="str">
        <f>IF(Notes!CB705="","",Notes!CB705)</f>
        <v/>
      </c>
      <c r="E709" s="7" t="str">
        <f>IF(Notes!CC705="","",Notes!CC705)</f>
        <v/>
      </c>
      <c r="F709" s="7" t="str">
        <f>IF(Notes!CD705="","",Notes!CD705)</f>
        <v/>
      </c>
      <c r="G709" s="7" t="str">
        <f>IF(Notes!CE705="","",Notes!CE705)</f>
        <v/>
      </c>
      <c r="H709" s="7" t="str">
        <f>IF(Notes!CF705="","",Notes!CF705)</f>
        <v/>
      </c>
      <c r="I709" s="7"/>
      <c r="J709" s="7"/>
      <c r="K709" s="7"/>
    </row>
    <row r="710" spans="1:11" x14ac:dyDescent="0.35">
      <c r="A710" s="7" t="str">
        <f>IF(Notes!BY706="","",Notes!BY706)</f>
        <v/>
      </c>
      <c r="B710" s="7" t="str">
        <f>IF(Notes!BZ706="","",Notes!BZ706)</f>
        <v/>
      </c>
      <c r="C710" s="7" t="str">
        <f>IF(Notes!CA706="","",Notes!CA706)</f>
        <v/>
      </c>
      <c r="D710" s="7" t="str">
        <f>IF(Notes!CB706="","",Notes!CB706)</f>
        <v/>
      </c>
      <c r="E710" s="7" t="str">
        <f>IF(Notes!CC706="","",Notes!CC706)</f>
        <v/>
      </c>
      <c r="F710" s="7" t="str">
        <f>IF(Notes!CD706="","",Notes!CD706)</f>
        <v/>
      </c>
      <c r="G710" s="7" t="str">
        <f>IF(Notes!CE706="","",Notes!CE706)</f>
        <v/>
      </c>
      <c r="H710" s="7" t="str">
        <f>IF(Notes!CF706="","",Notes!CF706)</f>
        <v/>
      </c>
      <c r="I710" s="7"/>
      <c r="J710" s="7"/>
      <c r="K710" s="7"/>
    </row>
    <row r="711" spans="1:11" x14ac:dyDescent="0.35">
      <c r="A711" s="7" t="str">
        <f>IF(Notes!BY707="","",Notes!BY707)</f>
        <v/>
      </c>
      <c r="B711" s="7" t="str">
        <f>IF(Notes!BZ707="","",Notes!BZ707)</f>
        <v/>
      </c>
      <c r="C711" s="7" t="str">
        <f>IF(Notes!CA707="","",Notes!CA707)</f>
        <v/>
      </c>
      <c r="D711" s="7" t="str">
        <f>IF(Notes!CB707="","",Notes!CB707)</f>
        <v/>
      </c>
      <c r="E711" s="7" t="str">
        <f>IF(Notes!CC707="","",Notes!CC707)</f>
        <v/>
      </c>
      <c r="F711" s="7" t="str">
        <f>IF(Notes!CD707="","",Notes!CD707)</f>
        <v/>
      </c>
      <c r="G711" s="7" t="str">
        <f>IF(Notes!CE707="","",Notes!CE707)</f>
        <v/>
      </c>
      <c r="H711" s="7" t="str">
        <f>IF(Notes!CF707="","",Notes!CF707)</f>
        <v/>
      </c>
      <c r="I711" s="7"/>
      <c r="J711" s="7"/>
      <c r="K711" s="7"/>
    </row>
    <row r="712" spans="1:11" x14ac:dyDescent="0.35">
      <c r="A712" s="7" t="str">
        <f>IF(Notes!BY708="","",Notes!BY708)</f>
        <v/>
      </c>
      <c r="B712" s="7" t="str">
        <f>IF(Notes!BZ708="","",Notes!BZ708)</f>
        <v/>
      </c>
      <c r="C712" s="7" t="str">
        <f>IF(Notes!CA708="","",Notes!CA708)</f>
        <v/>
      </c>
      <c r="D712" s="7" t="str">
        <f>IF(Notes!CB708="","",Notes!CB708)</f>
        <v/>
      </c>
      <c r="E712" s="7" t="str">
        <f>IF(Notes!CC708="","",Notes!CC708)</f>
        <v/>
      </c>
      <c r="F712" s="7" t="str">
        <f>IF(Notes!CD708="","",Notes!CD708)</f>
        <v/>
      </c>
      <c r="G712" s="7" t="str">
        <f>IF(Notes!CE708="","",Notes!CE708)</f>
        <v/>
      </c>
      <c r="H712" s="7" t="str">
        <f>IF(Notes!CF708="","",Notes!CF708)</f>
        <v/>
      </c>
      <c r="I712" s="7"/>
      <c r="J712" s="7"/>
      <c r="K712" s="7"/>
    </row>
    <row r="713" spans="1:11" x14ac:dyDescent="0.35">
      <c r="A713" s="7" t="str">
        <f>IF(Notes!BY709="","",Notes!BY709)</f>
        <v/>
      </c>
      <c r="B713" s="7" t="str">
        <f>IF(Notes!BZ709="","",Notes!BZ709)</f>
        <v/>
      </c>
      <c r="C713" s="7" t="str">
        <f>IF(Notes!CA709="","",Notes!CA709)</f>
        <v/>
      </c>
      <c r="D713" s="7" t="str">
        <f>IF(Notes!CB709="","",Notes!CB709)</f>
        <v/>
      </c>
      <c r="E713" s="7" t="str">
        <f>IF(Notes!CC709="","",Notes!CC709)</f>
        <v/>
      </c>
      <c r="F713" s="7" t="str">
        <f>IF(Notes!CD709="","",Notes!CD709)</f>
        <v/>
      </c>
      <c r="G713" s="7" t="str">
        <f>IF(Notes!CE709="","",Notes!CE709)</f>
        <v/>
      </c>
      <c r="H713" s="7" t="str">
        <f>IF(Notes!CF709="","",Notes!CF709)</f>
        <v/>
      </c>
      <c r="I713" s="7"/>
      <c r="J713" s="7"/>
      <c r="K713" s="7"/>
    </row>
    <row r="714" spans="1:11" x14ac:dyDescent="0.35">
      <c r="A714" s="7" t="str">
        <f>IF(Notes!BY710="","",Notes!BY710)</f>
        <v/>
      </c>
      <c r="B714" s="7" t="str">
        <f>IF(Notes!BZ710="","",Notes!BZ710)</f>
        <v/>
      </c>
      <c r="C714" s="7" t="str">
        <f>IF(Notes!CA710="","",Notes!CA710)</f>
        <v/>
      </c>
      <c r="D714" s="7" t="str">
        <f>IF(Notes!CB710="","",Notes!CB710)</f>
        <v/>
      </c>
      <c r="E714" s="7" t="str">
        <f>IF(Notes!CC710="","",Notes!CC710)</f>
        <v/>
      </c>
      <c r="F714" s="7" t="str">
        <f>IF(Notes!CD710="","",Notes!CD710)</f>
        <v/>
      </c>
      <c r="G714" s="7" t="str">
        <f>IF(Notes!CE710="","",Notes!CE710)</f>
        <v/>
      </c>
      <c r="H714" s="7" t="str">
        <f>IF(Notes!CF710="","",Notes!CF710)</f>
        <v/>
      </c>
      <c r="I714" s="7"/>
      <c r="J714" s="7"/>
      <c r="K714" s="7"/>
    </row>
    <row r="715" spans="1:11" x14ac:dyDescent="0.35">
      <c r="A715" s="7" t="str">
        <f>IF(Notes!BY711="","",Notes!BY711)</f>
        <v/>
      </c>
      <c r="B715" s="7" t="str">
        <f>IF(Notes!BZ711="","",Notes!BZ711)</f>
        <v/>
      </c>
      <c r="C715" s="7" t="str">
        <f>IF(Notes!CA711="","",Notes!CA711)</f>
        <v/>
      </c>
      <c r="D715" s="7" t="str">
        <f>IF(Notes!CB711="","",Notes!CB711)</f>
        <v/>
      </c>
      <c r="E715" s="7" t="str">
        <f>IF(Notes!CC711="","",Notes!CC711)</f>
        <v/>
      </c>
      <c r="F715" s="7" t="str">
        <f>IF(Notes!CD711="","",Notes!CD711)</f>
        <v/>
      </c>
      <c r="G715" s="7" t="str">
        <f>IF(Notes!CE711="","",Notes!CE711)</f>
        <v/>
      </c>
      <c r="H715" s="7" t="str">
        <f>IF(Notes!CF711="","",Notes!CF711)</f>
        <v/>
      </c>
      <c r="I715" s="7"/>
      <c r="J715" s="7"/>
      <c r="K715" s="7"/>
    </row>
    <row r="716" spans="1:11" x14ac:dyDescent="0.35">
      <c r="A716" s="7" t="str">
        <f>IF(Notes!BY712="","",Notes!BY712)</f>
        <v/>
      </c>
      <c r="B716" s="7" t="str">
        <f>IF(Notes!BZ712="","",Notes!BZ712)</f>
        <v/>
      </c>
      <c r="C716" s="7" t="str">
        <f>IF(Notes!CA712="","",Notes!CA712)</f>
        <v/>
      </c>
      <c r="D716" s="7" t="str">
        <f>IF(Notes!CB712="","",Notes!CB712)</f>
        <v/>
      </c>
      <c r="E716" s="7" t="str">
        <f>IF(Notes!CC712="","",Notes!CC712)</f>
        <v/>
      </c>
      <c r="F716" s="7" t="str">
        <f>IF(Notes!CD712="","",Notes!CD712)</f>
        <v/>
      </c>
      <c r="G716" s="7" t="str">
        <f>IF(Notes!CE712="","",Notes!CE712)</f>
        <v/>
      </c>
      <c r="H716" s="7" t="str">
        <f>IF(Notes!CF712="","",Notes!CF712)</f>
        <v/>
      </c>
      <c r="I716" s="7"/>
      <c r="J716" s="7"/>
      <c r="K716" s="7"/>
    </row>
    <row r="717" spans="1:11" x14ac:dyDescent="0.35">
      <c r="A717" s="7" t="str">
        <f>IF(Notes!BY713="","",Notes!BY713)</f>
        <v/>
      </c>
      <c r="B717" s="7" t="str">
        <f>IF(Notes!BZ713="","",Notes!BZ713)</f>
        <v/>
      </c>
      <c r="C717" s="7" t="str">
        <f>IF(Notes!CA713="","",Notes!CA713)</f>
        <v/>
      </c>
      <c r="D717" s="7" t="str">
        <f>IF(Notes!CB713="","",Notes!CB713)</f>
        <v/>
      </c>
      <c r="E717" s="7" t="str">
        <f>IF(Notes!CC713="","",Notes!CC713)</f>
        <v/>
      </c>
      <c r="F717" s="7" t="str">
        <f>IF(Notes!CD713="","",Notes!CD713)</f>
        <v/>
      </c>
      <c r="G717" s="7" t="str">
        <f>IF(Notes!CE713="","",Notes!CE713)</f>
        <v/>
      </c>
      <c r="H717" s="7" t="str">
        <f>IF(Notes!CF713="","",Notes!CF713)</f>
        <v/>
      </c>
      <c r="I717" s="7"/>
      <c r="J717" s="7"/>
      <c r="K717" s="7"/>
    </row>
    <row r="718" spans="1:11" x14ac:dyDescent="0.35">
      <c r="A718" s="7" t="str">
        <f>IF(Notes!BY714="","",Notes!BY714)</f>
        <v/>
      </c>
      <c r="B718" s="7" t="str">
        <f>IF(Notes!BZ714="","",Notes!BZ714)</f>
        <v/>
      </c>
      <c r="C718" s="7" t="str">
        <f>IF(Notes!CA714="","",Notes!CA714)</f>
        <v/>
      </c>
      <c r="D718" s="7" t="str">
        <f>IF(Notes!CB714="","",Notes!CB714)</f>
        <v/>
      </c>
      <c r="E718" s="7" t="str">
        <f>IF(Notes!CC714="","",Notes!CC714)</f>
        <v/>
      </c>
      <c r="F718" s="7" t="str">
        <f>IF(Notes!CD714="","",Notes!CD714)</f>
        <v/>
      </c>
      <c r="G718" s="7" t="str">
        <f>IF(Notes!CE714="","",Notes!CE714)</f>
        <v/>
      </c>
      <c r="H718" s="7" t="str">
        <f>IF(Notes!CF714="","",Notes!CF714)</f>
        <v/>
      </c>
      <c r="I718" s="7"/>
      <c r="J718" s="7"/>
      <c r="K718" s="7"/>
    </row>
    <row r="719" spans="1:11" x14ac:dyDescent="0.35">
      <c r="A719" s="7" t="str">
        <f>IF(Notes!BY715="","",Notes!BY715)</f>
        <v/>
      </c>
      <c r="B719" s="7" t="str">
        <f>IF(Notes!BZ715="","",Notes!BZ715)</f>
        <v/>
      </c>
      <c r="C719" s="7" t="str">
        <f>IF(Notes!CA715="","",Notes!CA715)</f>
        <v/>
      </c>
      <c r="D719" s="7" t="str">
        <f>IF(Notes!CB715="","",Notes!CB715)</f>
        <v/>
      </c>
      <c r="E719" s="7" t="str">
        <f>IF(Notes!CC715="","",Notes!CC715)</f>
        <v/>
      </c>
      <c r="F719" s="7" t="str">
        <f>IF(Notes!CD715="","",Notes!CD715)</f>
        <v/>
      </c>
      <c r="G719" s="7" t="str">
        <f>IF(Notes!CE715="","",Notes!CE715)</f>
        <v/>
      </c>
      <c r="H719" s="7" t="str">
        <f>IF(Notes!CF715="","",Notes!CF715)</f>
        <v/>
      </c>
      <c r="I719" s="7"/>
      <c r="J719" s="7"/>
      <c r="K719" s="7"/>
    </row>
    <row r="720" spans="1:11" x14ac:dyDescent="0.35">
      <c r="A720" s="7" t="str">
        <f>IF(Notes!BY716="","",Notes!BY716)</f>
        <v/>
      </c>
      <c r="B720" s="7" t="str">
        <f>IF(Notes!BZ716="","",Notes!BZ716)</f>
        <v/>
      </c>
      <c r="C720" s="7" t="str">
        <f>IF(Notes!CA716="","",Notes!CA716)</f>
        <v/>
      </c>
      <c r="D720" s="7" t="str">
        <f>IF(Notes!CB716="","",Notes!CB716)</f>
        <v/>
      </c>
      <c r="E720" s="7" t="str">
        <f>IF(Notes!CC716="","",Notes!CC716)</f>
        <v/>
      </c>
      <c r="F720" s="7" t="str">
        <f>IF(Notes!CD716="","",Notes!CD716)</f>
        <v/>
      </c>
      <c r="G720" s="7" t="str">
        <f>IF(Notes!CE716="","",Notes!CE716)</f>
        <v/>
      </c>
      <c r="H720" s="7" t="str">
        <f>IF(Notes!CF716="","",Notes!CF716)</f>
        <v/>
      </c>
      <c r="I720" s="7"/>
      <c r="J720" s="7"/>
      <c r="K720" s="7"/>
    </row>
    <row r="721" spans="1:11" x14ac:dyDescent="0.35">
      <c r="A721" s="7" t="str">
        <f>IF(Notes!BY717="","",Notes!BY717)</f>
        <v/>
      </c>
      <c r="B721" s="7" t="str">
        <f>IF(Notes!BZ717="","",Notes!BZ717)</f>
        <v/>
      </c>
      <c r="C721" s="7" t="str">
        <f>IF(Notes!CA717="","",Notes!CA717)</f>
        <v/>
      </c>
      <c r="D721" s="7" t="str">
        <f>IF(Notes!CB717="","",Notes!CB717)</f>
        <v/>
      </c>
      <c r="E721" s="7" t="str">
        <f>IF(Notes!CC717="","",Notes!CC717)</f>
        <v/>
      </c>
      <c r="F721" s="7" t="str">
        <f>IF(Notes!CD717="","",Notes!CD717)</f>
        <v/>
      </c>
      <c r="G721" s="7" t="str">
        <f>IF(Notes!CE717="","",Notes!CE717)</f>
        <v/>
      </c>
      <c r="H721" s="7" t="str">
        <f>IF(Notes!CF717="","",Notes!CF717)</f>
        <v/>
      </c>
      <c r="I721" s="7"/>
      <c r="J721" s="7"/>
      <c r="K721" s="7"/>
    </row>
    <row r="722" spans="1:11" x14ac:dyDescent="0.35">
      <c r="A722" s="7" t="str">
        <f>IF(Notes!BY718="","",Notes!BY718)</f>
        <v/>
      </c>
      <c r="B722" s="7" t="str">
        <f>IF(Notes!BZ718="","",Notes!BZ718)</f>
        <v/>
      </c>
      <c r="C722" s="7" t="str">
        <f>IF(Notes!CA718="","",Notes!CA718)</f>
        <v/>
      </c>
      <c r="D722" s="7" t="str">
        <f>IF(Notes!CB718="","",Notes!CB718)</f>
        <v/>
      </c>
      <c r="E722" s="7" t="str">
        <f>IF(Notes!CC718="","",Notes!CC718)</f>
        <v/>
      </c>
      <c r="F722" s="7" t="str">
        <f>IF(Notes!CD718="","",Notes!CD718)</f>
        <v/>
      </c>
      <c r="G722" s="7" t="str">
        <f>IF(Notes!CE718="","",Notes!CE718)</f>
        <v/>
      </c>
      <c r="H722" s="7" t="str">
        <f>IF(Notes!CF718="","",Notes!CF718)</f>
        <v/>
      </c>
      <c r="I722" s="7"/>
      <c r="J722" s="7"/>
      <c r="K722" s="7"/>
    </row>
    <row r="723" spans="1:11" x14ac:dyDescent="0.35">
      <c r="A723" s="7" t="str">
        <f>IF(Notes!BY719="","",Notes!BY719)</f>
        <v/>
      </c>
      <c r="B723" s="7" t="str">
        <f>IF(Notes!BZ719="","",Notes!BZ719)</f>
        <v/>
      </c>
      <c r="C723" s="7" t="str">
        <f>IF(Notes!CA719="","",Notes!CA719)</f>
        <v/>
      </c>
      <c r="D723" s="7" t="str">
        <f>IF(Notes!CB719="","",Notes!CB719)</f>
        <v/>
      </c>
      <c r="E723" s="7" t="str">
        <f>IF(Notes!CC719="","",Notes!CC719)</f>
        <v/>
      </c>
      <c r="F723" s="7" t="str">
        <f>IF(Notes!CD719="","",Notes!CD719)</f>
        <v/>
      </c>
      <c r="G723" s="7" t="str">
        <f>IF(Notes!CE719="","",Notes!CE719)</f>
        <v/>
      </c>
      <c r="H723" s="7" t="str">
        <f>IF(Notes!CF719="","",Notes!CF719)</f>
        <v/>
      </c>
      <c r="I723" s="7"/>
      <c r="J723" s="7"/>
      <c r="K723" s="7"/>
    </row>
    <row r="724" spans="1:11" x14ac:dyDescent="0.35">
      <c r="A724" s="7" t="str">
        <f>IF(Notes!BY720="","",Notes!BY720)</f>
        <v/>
      </c>
      <c r="B724" s="7" t="str">
        <f>IF(Notes!BZ720="","",Notes!BZ720)</f>
        <v/>
      </c>
      <c r="C724" s="7" t="str">
        <f>IF(Notes!CA720="","",Notes!CA720)</f>
        <v/>
      </c>
      <c r="D724" s="7" t="str">
        <f>IF(Notes!CB720="","",Notes!CB720)</f>
        <v/>
      </c>
      <c r="E724" s="7" t="str">
        <f>IF(Notes!CC720="","",Notes!CC720)</f>
        <v/>
      </c>
      <c r="F724" s="7" t="str">
        <f>IF(Notes!CD720="","",Notes!CD720)</f>
        <v/>
      </c>
      <c r="G724" s="7" t="str">
        <f>IF(Notes!CE720="","",Notes!CE720)</f>
        <v/>
      </c>
      <c r="H724" s="7" t="str">
        <f>IF(Notes!CF720="","",Notes!CF720)</f>
        <v/>
      </c>
      <c r="I724" s="7"/>
      <c r="J724" s="7"/>
      <c r="K724" s="7"/>
    </row>
    <row r="725" spans="1:11" x14ac:dyDescent="0.35">
      <c r="A725" s="7" t="str">
        <f>IF(Notes!BY721="","",Notes!BY721)</f>
        <v/>
      </c>
      <c r="B725" s="7" t="str">
        <f>IF(Notes!BZ721="","",Notes!BZ721)</f>
        <v/>
      </c>
      <c r="C725" s="7" t="str">
        <f>IF(Notes!CA721="","",Notes!CA721)</f>
        <v/>
      </c>
      <c r="D725" s="7" t="str">
        <f>IF(Notes!CB721="","",Notes!CB721)</f>
        <v/>
      </c>
      <c r="E725" s="7" t="str">
        <f>IF(Notes!CC721="","",Notes!CC721)</f>
        <v/>
      </c>
      <c r="F725" s="7" t="str">
        <f>IF(Notes!CD721="","",Notes!CD721)</f>
        <v/>
      </c>
      <c r="G725" s="7" t="str">
        <f>IF(Notes!CE721="","",Notes!CE721)</f>
        <v/>
      </c>
      <c r="H725" s="7" t="str">
        <f>IF(Notes!CF721="","",Notes!CF721)</f>
        <v/>
      </c>
      <c r="I725" s="7"/>
      <c r="J725" s="7"/>
      <c r="K725" s="7"/>
    </row>
    <row r="726" spans="1:11" x14ac:dyDescent="0.35">
      <c r="A726" s="7" t="str">
        <f>IF(Notes!BY722="","",Notes!BY722)</f>
        <v/>
      </c>
      <c r="B726" s="7" t="str">
        <f>IF(Notes!BZ722="","",Notes!BZ722)</f>
        <v/>
      </c>
      <c r="C726" s="7" t="str">
        <f>IF(Notes!CA722="","",Notes!CA722)</f>
        <v/>
      </c>
      <c r="D726" s="7" t="str">
        <f>IF(Notes!CB722="","",Notes!CB722)</f>
        <v/>
      </c>
      <c r="E726" s="7" t="str">
        <f>IF(Notes!CC722="","",Notes!CC722)</f>
        <v/>
      </c>
      <c r="F726" s="7" t="str">
        <f>IF(Notes!CD722="","",Notes!CD722)</f>
        <v/>
      </c>
      <c r="G726" s="7" t="str">
        <f>IF(Notes!CE722="","",Notes!CE722)</f>
        <v/>
      </c>
      <c r="H726" s="7" t="str">
        <f>IF(Notes!CF722="","",Notes!CF722)</f>
        <v/>
      </c>
      <c r="I726" s="7"/>
      <c r="J726" s="7"/>
      <c r="K726" s="7"/>
    </row>
    <row r="727" spans="1:11" x14ac:dyDescent="0.35">
      <c r="A727" s="7" t="str">
        <f>IF(Notes!BY723="","",Notes!BY723)</f>
        <v/>
      </c>
      <c r="B727" s="7" t="str">
        <f>IF(Notes!BZ723="","",Notes!BZ723)</f>
        <v/>
      </c>
      <c r="C727" s="7" t="str">
        <f>IF(Notes!CA723="","",Notes!CA723)</f>
        <v/>
      </c>
      <c r="D727" s="7" t="str">
        <f>IF(Notes!CB723="","",Notes!CB723)</f>
        <v/>
      </c>
      <c r="E727" s="7" t="str">
        <f>IF(Notes!CC723="","",Notes!CC723)</f>
        <v/>
      </c>
      <c r="F727" s="7" t="str">
        <f>IF(Notes!CD723="","",Notes!CD723)</f>
        <v/>
      </c>
      <c r="G727" s="7" t="str">
        <f>IF(Notes!CE723="","",Notes!CE723)</f>
        <v/>
      </c>
      <c r="H727" s="7" t="str">
        <f>IF(Notes!CF723="","",Notes!CF723)</f>
        <v/>
      </c>
      <c r="I727" s="7"/>
      <c r="J727" s="7"/>
      <c r="K727" s="7"/>
    </row>
    <row r="728" spans="1:11" x14ac:dyDescent="0.35">
      <c r="A728" s="7" t="str">
        <f>IF(Notes!BY724="","",Notes!BY724)</f>
        <v/>
      </c>
      <c r="B728" s="7" t="str">
        <f>IF(Notes!BZ724="","",Notes!BZ724)</f>
        <v/>
      </c>
      <c r="C728" s="7" t="str">
        <f>IF(Notes!CA724="","",Notes!CA724)</f>
        <v/>
      </c>
      <c r="D728" s="7" t="str">
        <f>IF(Notes!CB724="","",Notes!CB724)</f>
        <v/>
      </c>
      <c r="E728" s="7" t="str">
        <f>IF(Notes!CC724="","",Notes!CC724)</f>
        <v/>
      </c>
      <c r="F728" s="7" t="str">
        <f>IF(Notes!CD724="","",Notes!CD724)</f>
        <v/>
      </c>
      <c r="G728" s="7" t="str">
        <f>IF(Notes!CE724="","",Notes!CE724)</f>
        <v/>
      </c>
      <c r="H728" s="7" t="str">
        <f>IF(Notes!CF724="","",Notes!CF724)</f>
        <v/>
      </c>
      <c r="I728" s="7"/>
      <c r="J728" s="7"/>
      <c r="K728" s="7"/>
    </row>
    <row r="729" spans="1:11" x14ac:dyDescent="0.35">
      <c r="A729" s="7" t="str">
        <f>IF(Notes!BY725="","",Notes!BY725)</f>
        <v/>
      </c>
      <c r="B729" s="7" t="str">
        <f>IF(Notes!BZ725="","",Notes!BZ725)</f>
        <v/>
      </c>
      <c r="C729" s="7" t="str">
        <f>IF(Notes!CA725="","",Notes!CA725)</f>
        <v/>
      </c>
      <c r="D729" s="7" t="str">
        <f>IF(Notes!CB725="","",Notes!CB725)</f>
        <v/>
      </c>
      <c r="E729" s="7" t="str">
        <f>IF(Notes!CC725="","",Notes!CC725)</f>
        <v/>
      </c>
      <c r="F729" s="7" t="str">
        <f>IF(Notes!CD725="","",Notes!CD725)</f>
        <v/>
      </c>
      <c r="G729" s="7" t="str">
        <f>IF(Notes!CE725="","",Notes!CE725)</f>
        <v/>
      </c>
      <c r="H729" s="7" t="str">
        <f>IF(Notes!CF725="","",Notes!CF725)</f>
        <v/>
      </c>
      <c r="I729" s="7"/>
      <c r="J729" s="7"/>
      <c r="K729" s="7"/>
    </row>
    <row r="730" spans="1:11" x14ac:dyDescent="0.35">
      <c r="A730" s="7" t="str">
        <f>IF(Notes!BY726="","",Notes!BY726)</f>
        <v/>
      </c>
      <c r="B730" s="7" t="str">
        <f>IF(Notes!BZ726="","",Notes!BZ726)</f>
        <v/>
      </c>
      <c r="C730" s="7" t="str">
        <f>IF(Notes!CA726="","",Notes!CA726)</f>
        <v/>
      </c>
      <c r="D730" s="7" t="str">
        <f>IF(Notes!CB726="","",Notes!CB726)</f>
        <v/>
      </c>
      <c r="E730" s="7" t="str">
        <f>IF(Notes!CC726="","",Notes!CC726)</f>
        <v/>
      </c>
      <c r="F730" s="7" t="str">
        <f>IF(Notes!CD726="","",Notes!CD726)</f>
        <v/>
      </c>
      <c r="G730" s="7" t="str">
        <f>IF(Notes!CE726="","",Notes!CE726)</f>
        <v/>
      </c>
      <c r="H730" s="7" t="str">
        <f>IF(Notes!CF726="","",Notes!CF726)</f>
        <v/>
      </c>
      <c r="I730" s="7"/>
      <c r="J730" s="7"/>
      <c r="K730" s="7"/>
    </row>
    <row r="731" spans="1:11" x14ac:dyDescent="0.35">
      <c r="A731" s="7" t="str">
        <f>IF(Notes!BY727="","",Notes!BY727)</f>
        <v/>
      </c>
      <c r="B731" s="7" t="str">
        <f>IF(Notes!BZ727="","",Notes!BZ727)</f>
        <v/>
      </c>
      <c r="C731" s="7" t="str">
        <f>IF(Notes!CA727="","",Notes!CA727)</f>
        <v/>
      </c>
      <c r="D731" s="7" t="str">
        <f>IF(Notes!CB727="","",Notes!CB727)</f>
        <v/>
      </c>
      <c r="E731" s="7" t="str">
        <f>IF(Notes!CC727="","",Notes!CC727)</f>
        <v/>
      </c>
      <c r="F731" s="7" t="str">
        <f>IF(Notes!CD727="","",Notes!CD727)</f>
        <v/>
      </c>
      <c r="G731" s="7" t="str">
        <f>IF(Notes!CE727="","",Notes!CE727)</f>
        <v/>
      </c>
      <c r="H731" s="7" t="str">
        <f>IF(Notes!CF727="","",Notes!CF727)</f>
        <v/>
      </c>
      <c r="I731" s="7"/>
      <c r="J731" s="7"/>
      <c r="K731" s="7"/>
    </row>
    <row r="732" spans="1:11" x14ac:dyDescent="0.35">
      <c r="A732" s="7" t="str">
        <f>IF(Notes!BY728="","",Notes!BY728)</f>
        <v/>
      </c>
      <c r="B732" s="7" t="str">
        <f>IF(Notes!BZ728="","",Notes!BZ728)</f>
        <v/>
      </c>
      <c r="C732" s="7" t="str">
        <f>IF(Notes!CA728="","",Notes!CA728)</f>
        <v/>
      </c>
      <c r="D732" s="7" t="str">
        <f>IF(Notes!CB728="","",Notes!CB728)</f>
        <v/>
      </c>
      <c r="E732" s="7" t="str">
        <f>IF(Notes!CC728="","",Notes!CC728)</f>
        <v/>
      </c>
      <c r="F732" s="7" t="str">
        <f>IF(Notes!CD728="","",Notes!CD728)</f>
        <v/>
      </c>
      <c r="G732" s="7" t="str">
        <f>IF(Notes!CE728="","",Notes!CE728)</f>
        <v/>
      </c>
      <c r="H732" s="7" t="str">
        <f>IF(Notes!CF728="","",Notes!CF728)</f>
        <v/>
      </c>
      <c r="I732" s="7"/>
      <c r="J732" s="7"/>
      <c r="K732" s="7"/>
    </row>
    <row r="733" spans="1:11" x14ac:dyDescent="0.35">
      <c r="A733" s="7" t="str">
        <f>IF(Notes!BY729="","",Notes!BY729)</f>
        <v/>
      </c>
      <c r="B733" s="7" t="str">
        <f>IF(Notes!BZ729="","",Notes!BZ729)</f>
        <v/>
      </c>
      <c r="C733" s="7" t="str">
        <f>IF(Notes!CA729="","",Notes!CA729)</f>
        <v/>
      </c>
      <c r="D733" s="7" t="str">
        <f>IF(Notes!CB729="","",Notes!CB729)</f>
        <v/>
      </c>
      <c r="E733" s="7" t="str">
        <f>IF(Notes!CC729="","",Notes!CC729)</f>
        <v/>
      </c>
      <c r="F733" s="7" t="str">
        <f>IF(Notes!CD729="","",Notes!CD729)</f>
        <v/>
      </c>
      <c r="G733" s="7" t="str">
        <f>IF(Notes!CE729="","",Notes!CE729)</f>
        <v/>
      </c>
      <c r="H733" s="7" t="str">
        <f>IF(Notes!CF729="","",Notes!CF729)</f>
        <v/>
      </c>
      <c r="I733" s="7"/>
      <c r="J733" s="7"/>
      <c r="K733" s="7"/>
    </row>
    <row r="734" spans="1:11" x14ac:dyDescent="0.35">
      <c r="A734" s="7" t="str">
        <f>IF(Notes!BY730="","",Notes!BY730)</f>
        <v/>
      </c>
      <c r="B734" s="7" t="str">
        <f>IF(Notes!BZ730="","",Notes!BZ730)</f>
        <v/>
      </c>
      <c r="C734" s="7" t="str">
        <f>IF(Notes!CA730="","",Notes!CA730)</f>
        <v/>
      </c>
      <c r="D734" s="7" t="str">
        <f>IF(Notes!CB730="","",Notes!CB730)</f>
        <v/>
      </c>
      <c r="E734" s="7" t="str">
        <f>IF(Notes!CC730="","",Notes!CC730)</f>
        <v/>
      </c>
      <c r="F734" s="7" t="str">
        <f>IF(Notes!CD730="","",Notes!CD730)</f>
        <v/>
      </c>
      <c r="G734" s="7" t="str">
        <f>IF(Notes!CE730="","",Notes!CE730)</f>
        <v/>
      </c>
      <c r="H734" s="7" t="str">
        <f>IF(Notes!CF730="","",Notes!CF730)</f>
        <v/>
      </c>
      <c r="I734" s="7"/>
      <c r="J734" s="7"/>
      <c r="K734" s="7"/>
    </row>
    <row r="735" spans="1:11" x14ac:dyDescent="0.35">
      <c r="A735" s="7" t="str">
        <f>IF(Notes!BY731="","",Notes!BY731)</f>
        <v/>
      </c>
      <c r="B735" s="7" t="str">
        <f>IF(Notes!BZ731="","",Notes!BZ731)</f>
        <v/>
      </c>
      <c r="C735" s="7" t="str">
        <f>IF(Notes!CA731="","",Notes!CA731)</f>
        <v/>
      </c>
      <c r="D735" s="7" t="str">
        <f>IF(Notes!CB731="","",Notes!CB731)</f>
        <v/>
      </c>
      <c r="E735" s="7" t="str">
        <f>IF(Notes!CC731="","",Notes!CC731)</f>
        <v/>
      </c>
      <c r="F735" s="7" t="str">
        <f>IF(Notes!CD731="","",Notes!CD731)</f>
        <v/>
      </c>
      <c r="G735" s="7" t="str">
        <f>IF(Notes!CE731="","",Notes!CE731)</f>
        <v/>
      </c>
      <c r="H735" s="7" t="str">
        <f>IF(Notes!CF731="","",Notes!CF731)</f>
        <v/>
      </c>
      <c r="I735" s="7"/>
      <c r="J735" s="7"/>
      <c r="K735" s="7"/>
    </row>
    <row r="736" spans="1:11" x14ac:dyDescent="0.35">
      <c r="A736" s="7" t="str">
        <f>IF(Notes!BY732="","",Notes!BY732)</f>
        <v/>
      </c>
      <c r="B736" s="7" t="str">
        <f>IF(Notes!BZ732="","",Notes!BZ732)</f>
        <v/>
      </c>
      <c r="C736" s="7" t="str">
        <f>IF(Notes!CA732="","",Notes!CA732)</f>
        <v/>
      </c>
      <c r="D736" s="7" t="str">
        <f>IF(Notes!CB732="","",Notes!CB732)</f>
        <v/>
      </c>
      <c r="E736" s="7" t="str">
        <f>IF(Notes!CC732="","",Notes!CC732)</f>
        <v/>
      </c>
      <c r="F736" s="7" t="str">
        <f>IF(Notes!CD732="","",Notes!CD732)</f>
        <v/>
      </c>
      <c r="G736" s="7" t="str">
        <f>IF(Notes!CE732="","",Notes!CE732)</f>
        <v/>
      </c>
      <c r="H736" s="7" t="str">
        <f>IF(Notes!CF732="","",Notes!CF732)</f>
        <v/>
      </c>
      <c r="I736" s="7"/>
      <c r="J736" s="7"/>
      <c r="K736" s="7"/>
    </row>
    <row r="737" spans="1:11" x14ac:dyDescent="0.35">
      <c r="A737" s="7" t="str">
        <f>IF(Notes!BY733="","",Notes!BY733)</f>
        <v/>
      </c>
      <c r="B737" s="7" t="str">
        <f>IF(Notes!BZ733="","",Notes!BZ733)</f>
        <v/>
      </c>
      <c r="C737" s="7" t="str">
        <f>IF(Notes!CA733="","",Notes!CA733)</f>
        <v/>
      </c>
      <c r="D737" s="7" t="str">
        <f>IF(Notes!CB733="","",Notes!CB733)</f>
        <v/>
      </c>
      <c r="E737" s="7" t="str">
        <f>IF(Notes!CC733="","",Notes!CC733)</f>
        <v/>
      </c>
      <c r="F737" s="7" t="str">
        <f>IF(Notes!CD733="","",Notes!CD733)</f>
        <v/>
      </c>
      <c r="G737" s="7" t="str">
        <f>IF(Notes!CE733="","",Notes!CE733)</f>
        <v/>
      </c>
      <c r="H737" s="7" t="str">
        <f>IF(Notes!CF733="","",Notes!CF733)</f>
        <v/>
      </c>
      <c r="I737" s="7"/>
      <c r="J737" s="7"/>
      <c r="K737" s="7"/>
    </row>
    <row r="738" spans="1:11" x14ac:dyDescent="0.35">
      <c r="A738" s="7" t="str">
        <f>IF(Notes!BY734="","",Notes!BY734)</f>
        <v/>
      </c>
      <c r="B738" s="7" t="str">
        <f>IF(Notes!BZ734="","",Notes!BZ734)</f>
        <v/>
      </c>
      <c r="C738" s="7" t="str">
        <f>IF(Notes!CA734="","",Notes!CA734)</f>
        <v/>
      </c>
      <c r="D738" s="7" t="str">
        <f>IF(Notes!CB734="","",Notes!CB734)</f>
        <v/>
      </c>
      <c r="E738" s="7" t="str">
        <f>IF(Notes!CC734="","",Notes!CC734)</f>
        <v/>
      </c>
      <c r="F738" s="7" t="str">
        <f>IF(Notes!CD734="","",Notes!CD734)</f>
        <v/>
      </c>
      <c r="G738" s="7" t="str">
        <f>IF(Notes!CE734="","",Notes!CE734)</f>
        <v/>
      </c>
      <c r="H738" s="7" t="str">
        <f>IF(Notes!CF734="","",Notes!CF734)</f>
        <v/>
      </c>
      <c r="I738" s="7"/>
      <c r="J738" s="7"/>
      <c r="K738" s="7"/>
    </row>
    <row r="739" spans="1:11" x14ac:dyDescent="0.35">
      <c r="A739" s="7" t="str">
        <f>IF(Notes!BY735="","",Notes!BY735)</f>
        <v/>
      </c>
      <c r="B739" s="7" t="str">
        <f>IF(Notes!BZ735="","",Notes!BZ735)</f>
        <v/>
      </c>
      <c r="C739" s="7" t="str">
        <f>IF(Notes!CA735="","",Notes!CA735)</f>
        <v/>
      </c>
      <c r="D739" s="7" t="str">
        <f>IF(Notes!CB735="","",Notes!CB735)</f>
        <v/>
      </c>
      <c r="E739" s="7" t="str">
        <f>IF(Notes!CC735="","",Notes!CC735)</f>
        <v/>
      </c>
      <c r="F739" s="7" t="str">
        <f>IF(Notes!CD735="","",Notes!CD735)</f>
        <v/>
      </c>
      <c r="G739" s="7" t="str">
        <f>IF(Notes!CE735="","",Notes!CE735)</f>
        <v/>
      </c>
      <c r="H739" s="7" t="str">
        <f>IF(Notes!CF735="","",Notes!CF735)</f>
        <v/>
      </c>
      <c r="I739" s="7"/>
      <c r="J739" s="7"/>
      <c r="K739" s="7"/>
    </row>
    <row r="740" spans="1:11" x14ac:dyDescent="0.35">
      <c r="A740" s="7" t="str">
        <f>IF(Notes!BY736="","",Notes!BY736)</f>
        <v/>
      </c>
      <c r="B740" s="7" t="str">
        <f>IF(Notes!BZ736="","",Notes!BZ736)</f>
        <v/>
      </c>
      <c r="C740" s="7" t="str">
        <f>IF(Notes!CA736="","",Notes!CA736)</f>
        <v/>
      </c>
      <c r="D740" s="7" t="str">
        <f>IF(Notes!CB736="","",Notes!CB736)</f>
        <v/>
      </c>
      <c r="E740" s="7" t="str">
        <f>IF(Notes!CC736="","",Notes!CC736)</f>
        <v/>
      </c>
      <c r="F740" s="7" t="str">
        <f>IF(Notes!CD736="","",Notes!CD736)</f>
        <v/>
      </c>
      <c r="G740" s="7" t="str">
        <f>IF(Notes!CE736="","",Notes!CE736)</f>
        <v/>
      </c>
      <c r="H740" s="7" t="str">
        <f>IF(Notes!CF736="","",Notes!CF736)</f>
        <v/>
      </c>
      <c r="I740" s="7"/>
      <c r="J740" s="7"/>
      <c r="K740" s="7"/>
    </row>
    <row r="741" spans="1:11" x14ac:dyDescent="0.35">
      <c r="A741" s="7" t="str">
        <f>IF(Notes!BY737="","",Notes!BY737)</f>
        <v/>
      </c>
      <c r="B741" s="7" t="str">
        <f>IF(Notes!BZ737="","",Notes!BZ737)</f>
        <v/>
      </c>
      <c r="C741" s="7" t="str">
        <f>IF(Notes!CA737="","",Notes!CA737)</f>
        <v/>
      </c>
      <c r="D741" s="7" t="str">
        <f>IF(Notes!CB737="","",Notes!CB737)</f>
        <v/>
      </c>
      <c r="E741" s="7" t="str">
        <f>IF(Notes!CC737="","",Notes!CC737)</f>
        <v/>
      </c>
      <c r="F741" s="7" t="str">
        <f>IF(Notes!CD737="","",Notes!CD737)</f>
        <v/>
      </c>
      <c r="G741" s="7" t="str">
        <f>IF(Notes!CE737="","",Notes!CE737)</f>
        <v/>
      </c>
      <c r="H741" s="7" t="str">
        <f>IF(Notes!CF737="","",Notes!CF737)</f>
        <v/>
      </c>
      <c r="I741" s="7"/>
      <c r="J741" s="7"/>
      <c r="K741" s="7"/>
    </row>
    <row r="742" spans="1:11" x14ac:dyDescent="0.35">
      <c r="A742" s="7" t="str">
        <f>IF(Notes!BY738="","",Notes!BY738)</f>
        <v/>
      </c>
      <c r="B742" s="7" t="str">
        <f>IF(Notes!BZ738="","",Notes!BZ738)</f>
        <v/>
      </c>
      <c r="C742" s="7" t="str">
        <f>IF(Notes!CA738="","",Notes!CA738)</f>
        <v/>
      </c>
      <c r="D742" s="7" t="str">
        <f>IF(Notes!CB738="","",Notes!CB738)</f>
        <v/>
      </c>
      <c r="E742" s="7" t="str">
        <f>IF(Notes!CC738="","",Notes!CC738)</f>
        <v/>
      </c>
      <c r="F742" s="7" t="str">
        <f>IF(Notes!CD738="","",Notes!CD738)</f>
        <v/>
      </c>
      <c r="G742" s="7" t="str">
        <f>IF(Notes!CE738="","",Notes!CE738)</f>
        <v/>
      </c>
      <c r="H742" s="7" t="str">
        <f>IF(Notes!CF738="","",Notes!CF738)</f>
        <v/>
      </c>
      <c r="I742" s="7"/>
      <c r="J742" s="7"/>
      <c r="K742" s="7"/>
    </row>
    <row r="743" spans="1:11" x14ac:dyDescent="0.35">
      <c r="A743" s="7" t="str">
        <f>IF(Notes!BY739="","",Notes!BY739)</f>
        <v/>
      </c>
      <c r="B743" s="7" t="str">
        <f>IF(Notes!BZ739="","",Notes!BZ739)</f>
        <v/>
      </c>
      <c r="C743" s="7" t="str">
        <f>IF(Notes!CA739="","",Notes!CA739)</f>
        <v/>
      </c>
      <c r="D743" s="7" t="str">
        <f>IF(Notes!CB739="","",Notes!CB739)</f>
        <v/>
      </c>
      <c r="E743" s="7" t="str">
        <f>IF(Notes!CC739="","",Notes!CC739)</f>
        <v/>
      </c>
      <c r="F743" s="7" t="str">
        <f>IF(Notes!CD739="","",Notes!CD739)</f>
        <v/>
      </c>
      <c r="G743" s="7" t="str">
        <f>IF(Notes!CE739="","",Notes!CE739)</f>
        <v/>
      </c>
      <c r="H743" s="7" t="str">
        <f>IF(Notes!CF739="","",Notes!CF739)</f>
        <v/>
      </c>
      <c r="I743" s="7"/>
      <c r="J743" s="7"/>
      <c r="K743" s="7"/>
    </row>
    <row r="744" spans="1:11" x14ac:dyDescent="0.35">
      <c r="A744" s="7" t="str">
        <f>IF(Notes!BY740="","",Notes!BY740)</f>
        <v/>
      </c>
      <c r="B744" s="7" t="str">
        <f>IF(Notes!BZ740="","",Notes!BZ740)</f>
        <v/>
      </c>
      <c r="C744" s="7" t="str">
        <f>IF(Notes!CA740="","",Notes!CA740)</f>
        <v/>
      </c>
      <c r="D744" s="7" t="str">
        <f>IF(Notes!CB740="","",Notes!CB740)</f>
        <v/>
      </c>
      <c r="E744" s="7" t="str">
        <f>IF(Notes!CC740="","",Notes!CC740)</f>
        <v/>
      </c>
      <c r="F744" s="7" t="str">
        <f>IF(Notes!CD740="","",Notes!CD740)</f>
        <v/>
      </c>
      <c r="G744" s="7" t="str">
        <f>IF(Notes!CE740="","",Notes!CE740)</f>
        <v/>
      </c>
      <c r="H744" s="7" t="str">
        <f>IF(Notes!CF740="","",Notes!CF740)</f>
        <v/>
      </c>
      <c r="I744" s="7"/>
      <c r="J744" s="7"/>
      <c r="K744" s="7"/>
    </row>
    <row r="745" spans="1:11" x14ac:dyDescent="0.35">
      <c r="A745" s="7" t="str">
        <f>IF(Notes!BY741="","",Notes!BY741)</f>
        <v/>
      </c>
      <c r="B745" s="7" t="str">
        <f>IF(Notes!BZ741="","",Notes!BZ741)</f>
        <v/>
      </c>
      <c r="C745" s="7" t="str">
        <f>IF(Notes!CA741="","",Notes!CA741)</f>
        <v/>
      </c>
      <c r="D745" s="7" t="str">
        <f>IF(Notes!CB741="","",Notes!CB741)</f>
        <v/>
      </c>
      <c r="E745" s="7" t="str">
        <f>IF(Notes!CC741="","",Notes!CC741)</f>
        <v/>
      </c>
      <c r="F745" s="7" t="str">
        <f>IF(Notes!CD741="","",Notes!CD741)</f>
        <v/>
      </c>
      <c r="G745" s="7" t="str">
        <f>IF(Notes!CE741="","",Notes!CE741)</f>
        <v/>
      </c>
      <c r="H745" s="7" t="str">
        <f>IF(Notes!CF741="","",Notes!CF741)</f>
        <v/>
      </c>
      <c r="I745" s="7"/>
      <c r="J745" s="7"/>
      <c r="K745" s="7"/>
    </row>
    <row r="746" spans="1:11" x14ac:dyDescent="0.35">
      <c r="A746" s="7" t="str">
        <f>IF(Notes!BY742="","",Notes!BY742)</f>
        <v/>
      </c>
      <c r="B746" s="7" t="str">
        <f>IF(Notes!BZ742="","",Notes!BZ742)</f>
        <v/>
      </c>
      <c r="C746" s="7" t="str">
        <f>IF(Notes!CA742="","",Notes!CA742)</f>
        <v/>
      </c>
      <c r="D746" s="7" t="str">
        <f>IF(Notes!CB742="","",Notes!CB742)</f>
        <v/>
      </c>
      <c r="E746" s="7" t="str">
        <f>IF(Notes!CC742="","",Notes!CC742)</f>
        <v/>
      </c>
      <c r="F746" s="7" t="str">
        <f>IF(Notes!CD742="","",Notes!CD742)</f>
        <v/>
      </c>
      <c r="G746" s="7" t="str">
        <f>IF(Notes!CE742="","",Notes!CE742)</f>
        <v/>
      </c>
      <c r="H746" s="7" t="str">
        <f>IF(Notes!CF742="","",Notes!CF742)</f>
        <v/>
      </c>
      <c r="I746" s="7"/>
      <c r="J746" s="7"/>
      <c r="K746" s="7"/>
    </row>
    <row r="747" spans="1:11" x14ac:dyDescent="0.35">
      <c r="A747" s="7" t="str">
        <f>IF(Notes!BY743="","",Notes!BY743)</f>
        <v/>
      </c>
      <c r="B747" s="7" t="str">
        <f>IF(Notes!BZ743="","",Notes!BZ743)</f>
        <v/>
      </c>
      <c r="C747" s="7" t="str">
        <f>IF(Notes!CA743="","",Notes!CA743)</f>
        <v/>
      </c>
      <c r="D747" s="7" t="str">
        <f>IF(Notes!CB743="","",Notes!CB743)</f>
        <v/>
      </c>
      <c r="E747" s="7" t="str">
        <f>IF(Notes!CC743="","",Notes!CC743)</f>
        <v/>
      </c>
      <c r="F747" s="7" t="str">
        <f>IF(Notes!CD743="","",Notes!CD743)</f>
        <v/>
      </c>
      <c r="G747" s="7" t="str">
        <f>IF(Notes!CE743="","",Notes!CE743)</f>
        <v/>
      </c>
      <c r="H747" s="7" t="str">
        <f>IF(Notes!CF743="","",Notes!CF743)</f>
        <v/>
      </c>
      <c r="I747" s="7"/>
      <c r="J747" s="7"/>
      <c r="K747" s="7"/>
    </row>
    <row r="748" spans="1:11" x14ac:dyDescent="0.35">
      <c r="A748" s="7" t="str">
        <f>IF(Notes!BY744="","",Notes!BY744)</f>
        <v/>
      </c>
      <c r="B748" s="7" t="str">
        <f>IF(Notes!BZ744="","",Notes!BZ744)</f>
        <v/>
      </c>
      <c r="C748" s="7" t="str">
        <f>IF(Notes!CA744="","",Notes!CA744)</f>
        <v/>
      </c>
      <c r="D748" s="7" t="str">
        <f>IF(Notes!CB744="","",Notes!CB744)</f>
        <v/>
      </c>
      <c r="E748" s="7" t="str">
        <f>IF(Notes!CC744="","",Notes!CC744)</f>
        <v/>
      </c>
      <c r="F748" s="7" t="str">
        <f>IF(Notes!CD744="","",Notes!CD744)</f>
        <v/>
      </c>
      <c r="G748" s="7" t="str">
        <f>IF(Notes!CE744="","",Notes!CE744)</f>
        <v/>
      </c>
      <c r="H748" s="7" t="str">
        <f>IF(Notes!CF744="","",Notes!CF744)</f>
        <v/>
      </c>
      <c r="I748" s="7"/>
      <c r="J748" s="7"/>
      <c r="K748" s="7"/>
    </row>
    <row r="749" spans="1:11" x14ac:dyDescent="0.35">
      <c r="A749" s="7" t="str">
        <f>IF(Notes!BY745="","",Notes!BY745)</f>
        <v/>
      </c>
      <c r="B749" s="7" t="str">
        <f>IF(Notes!BZ745="","",Notes!BZ745)</f>
        <v/>
      </c>
      <c r="C749" s="7" t="str">
        <f>IF(Notes!CA745="","",Notes!CA745)</f>
        <v/>
      </c>
      <c r="D749" s="7" t="str">
        <f>IF(Notes!CB745="","",Notes!CB745)</f>
        <v/>
      </c>
      <c r="E749" s="7" t="str">
        <f>IF(Notes!CC745="","",Notes!CC745)</f>
        <v/>
      </c>
      <c r="F749" s="7" t="str">
        <f>IF(Notes!CD745="","",Notes!CD745)</f>
        <v/>
      </c>
      <c r="G749" s="7" t="str">
        <f>IF(Notes!CE745="","",Notes!CE745)</f>
        <v/>
      </c>
      <c r="H749" s="7" t="str">
        <f>IF(Notes!CF745="","",Notes!CF745)</f>
        <v/>
      </c>
      <c r="I749" s="7"/>
      <c r="J749" s="7"/>
      <c r="K749" s="7"/>
    </row>
    <row r="750" spans="1:11" x14ac:dyDescent="0.35">
      <c r="A750" s="7" t="str">
        <f>IF(Notes!BY746="","",Notes!BY746)</f>
        <v/>
      </c>
      <c r="B750" s="7" t="str">
        <f>IF(Notes!BZ746="","",Notes!BZ746)</f>
        <v/>
      </c>
      <c r="C750" s="7" t="str">
        <f>IF(Notes!CA746="","",Notes!CA746)</f>
        <v/>
      </c>
      <c r="D750" s="7" t="str">
        <f>IF(Notes!CB746="","",Notes!CB746)</f>
        <v/>
      </c>
      <c r="E750" s="7" t="str">
        <f>IF(Notes!CC746="","",Notes!CC746)</f>
        <v/>
      </c>
      <c r="F750" s="7" t="str">
        <f>IF(Notes!CD746="","",Notes!CD746)</f>
        <v/>
      </c>
      <c r="G750" s="7" t="str">
        <f>IF(Notes!CE746="","",Notes!CE746)</f>
        <v/>
      </c>
      <c r="H750" s="7" t="str">
        <f>IF(Notes!CF746="","",Notes!CF746)</f>
        <v/>
      </c>
      <c r="I750" s="7"/>
      <c r="J750" s="7"/>
      <c r="K750" s="7"/>
    </row>
    <row r="751" spans="1:11" x14ac:dyDescent="0.35">
      <c r="A751" s="7" t="str">
        <f>IF(Notes!BY747="","",Notes!BY747)</f>
        <v/>
      </c>
      <c r="B751" s="7" t="str">
        <f>IF(Notes!BZ747="","",Notes!BZ747)</f>
        <v/>
      </c>
      <c r="C751" s="7" t="str">
        <f>IF(Notes!CA747="","",Notes!CA747)</f>
        <v/>
      </c>
      <c r="D751" s="7" t="str">
        <f>IF(Notes!CB747="","",Notes!CB747)</f>
        <v/>
      </c>
      <c r="E751" s="7" t="str">
        <f>IF(Notes!CC747="","",Notes!CC747)</f>
        <v/>
      </c>
      <c r="F751" s="7" t="str">
        <f>IF(Notes!CD747="","",Notes!CD747)</f>
        <v/>
      </c>
      <c r="G751" s="7" t="str">
        <f>IF(Notes!CE747="","",Notes!CE747)</f>
        <v/>
      </c>
      <c r="H751" s="7" t="str">
        <f>IF(Notes!CF747="","",Notes!CF747)</f>
        <v/>
      </c>
      <c r="I751" s="7"/>
      <c r="J751" s="7"/>
      <c r="K751" s="7"/>
    </row>
    <row r="752" spans="1:11" x14ac:dyDescent="0.35">
      <c r="A752" s="7" t="str">
        <f>IF(Notes!BY748="","",Notes!BY748)</f>
        <v/>
      </c>
      <c r="B752" s="7" t="str">
        <f>IF(Notes!BZ748="","",Notes!BZ748)</f>
        <v/>
      </c>
      <c r="C752" s="7" t="str">
        <f>IF(Notes!CA748="","",Notes!CA748)</f>
        <v/>
      </c>
      <c r="D752" s="7" t="str">
        <f>IF(Notes!CB748="","",Notes!CB748)</f>
        <v/>
      </c>
      <c r="E752" s="7" t="str">
        <f>IF(Notes!CC748="","",Notes!CC748)</f>
        <v/>
      </c>
      <c r="F752" s="7" t="str">
        <f>IF(Notes!CD748="","",Notes!CD748)</f>
        <v/>
      </c>
      <c r="G752" s="7" t="str">
        <f>IF(Notes!CE748="","",Notes!CE748)</f>
        <v/>
      </c>
      <c r="H752" s="7" t="str">
        <f>IF(Notes!CF748="","",Notes!CF748)</f>
        <v/>
      </c>
      <c r="I752" s="7"/>
      <c r="J752" s="7"/>
      <c r="K752" s="7"/>
    </row>
    <row r="753" spans="1:11" x14ac:dyDescent="0.35">
      <c r="A753" s="7" t="str">
        <f>IF(Notes!BY749="","",Notes!BY749)</f>
        <v/>
      </c>
      <c r="B753" s="7" t="str">
        <f>IF(Notes!BZ749="","",Notes!BZ749)</f>
        <v/>
      </c>
      <c r="C753" s="7" t="str">
        <f>IF(Notes!CA749="","",Notes!CA749)</f>
        <v/>
      </c>
      <c r="D753" s="7" t="str">
        <f>IF(Notes!CB749="","",Notes!CB749)</f>
        <v/>
      </c>
      <c r="E753" s="7" t="str">
        <f>IF(Notes!CC749="","",Notes!CC749)</f>
        <v/>
      </c>
      <c r="F753" s="7" t="str">
        <f>IF(Notes!CD749="","",Notes!CD749)</f>
        <v/>
      </c>
      <c r="G753" s="7" t="str">
        <f>IF(Notes!CE749="","",Notes!CE749)</f>
        <v/>
      </c>
      <c r="H753" s="7" t="str">
        <f>IF(Notes!CF749="","",Notes!CF749)</f>
        <v/>
      </c>
      <c r="I753" s="7"/>
      <c r="J753" s="7"/>
      <c r="K753" s="7"/>
    </row>
    <row r="754" spans="1:11" x14ac:dyDescent="0.35">
      <c r="A754" s="7" t="str">
        <f>IF(Notes!BY750="","",Notes!BY750)</f>
        <v/>
      </c>
      <c r="B754" s="7" t="str">
        <f>IF(Notes!BZ750="","",Notes!BZ750)</f>
        <v/>
      </c>
      <c r="C754" s="7" t="str">
        <f>IF(Notes!CA750="","",Notes!CA750)</f>
        <v/>
      </c>
      <c r="D754" s="7" t="str">
        <f>IF(Notes!CB750="","",Notes!CB750)</f>
        <v/>
      </c>
      <c r="E754" s="7" t="str">
        <f>IF(Notes!CC750="","",Notes!CC750)</f>
        <v/>
      </c>
      <c r="F754" s="7" t="str">
        <f>IF(Notes!CD750="","",Notes!CD750)</f>
        <v/>
      </c>
      <c r="G754" s="7" t="str">
        <f>IF(Notes!CE750="","",Notes!CE750)</f>
        <v/>
      </c>
      <c r="H754" s="7" t="str">
        <f>IF(Notes!CF750="","",Notes!CF750)</f>
        <v/>
      </c>
      <c r="I754" s="7"/>
      <c r="J754" s="7"/>
      <c r="K754" s="7"/>
    </row>
    <row r="755" spans="1:11" x14ac:dyDescent="0.35">
      <c r="A755" s="7" t="str">
        <f>IF(Notes!BY751="","",Notes!BY751)</f>
        <v/>
      </c>
      <c r="B755" s="7" t="str">
        <f>IF(Notes!BZ751="","",Notes!BZ751)</f>
        <v/>
      </c>
      <c r="C755" s="7" t="str">
        <f>IF(Notes!CA751="","",Notes!CA751)</f>
        <v/>
      </c>
      <c r="D755" s="7" t="str">
        <f>IF(Notes!CB751="","",Notes!CB751)</f>
        <v/>
      </c>
      <c r="E755" s="7" t="str">
        <f>IF(Notes!CC751="","",Notes!CC751)</f>
        <v/>
      </c>
      <c r="F755" s="7" t="str">
        <f>IF(Notes!CD751="","",Notes!CD751)</f>
        <v/>
      </c>
      <c r="G755" s="7" t="str">
        <f>IF(Notes!CE751="","",Notes!CE751)</f>
        <v/>
      </c>
      <c r="H755" s="7" t="str">
        <f>IF(Notes!CF751="","",Notes!CF751)</f>
        <v/>
      </c>
      <c r="I755" s="7"/>
      <c r="J755" s="7"/>
      <c r="K755" s="7"/>
    </row>
    <row r="756" spans="1:11" x14ac:dyDescent="0.35">
      <c r="A756" s="7" t="str">
        <f>IF(Notes!BY752="","",Notes!BY752)</f>
        <v/>
      </c>
      <c r="B756" s="7" t="str">
        <f>IF(Notes!BZ752="","",Notes!BZ752)</f>
        <v/>
      </c>
      <c r="C756" s="7" t="str">
        <f>IF(Notes!CA752="","",Notes!CA752)</f>
        <v/>
      </c>
      <c r="D756" s="7" t="str">
        <f>IF(Notes!CB752="","",Notes!CB752)</f>
        <v/>
      </c>
      <c r="E756" s="7" t="str">
        <f>IF(Notes!CC752="","",Notes!CC752)</f>
        <v/>
      </c>
      <c r="F756" s="7" t="str">
        <f>IF(Notes!CD752="","",Notes!CD752)</f>
        <v/>
      </c>
      <c r="G756" s="7" t="str">
        <f>IF(Notes!CE752="","",Notes!CE752)</f>
        <v/>
      </c>
      <c r="H756" s="7" t="str">
        <f>IF(Notes!CF752="","",Notes!CF752)</f>
        <v/>
      </c>
      <c r="I756" s="7"/>
      <c r="J756" s="7"/>
      <c r="K756" s="7"/>
    </row>
    <row r="757" spans="1:11" x14ac:dyDescent="0.35">
      <c r="A757" s="7" t="str">
        <f>IF(Notes!BY753="","",Notes!BY753)</f>
        <v/>
      </c>
      <c r="B757" s="7" t="str">
        <f>IF(Notes!BZ753="","",Notes!BZ753)</f>
        <v/>
      </c>
      <c r="C757" s="7" t="str">
        <f>IF(Notes!CA753="","",Notes!CA753)</f>
        <v/>
      </c>
      <c r="D757" s="7" t="str">
        <f>IF(Notes!CB753="","",Notes!CB753)</f>
        <v/>
      </c>
      <c r="E757" s="7" t="str">
        <f>IF(Notes!CC753="","",Notes!CC753)</f>
        <v/>
      </c>
      <c r="F757" s="7" t="str">
        <f>IF(Notes!CD753="","",Notes!CD753)</f>
        <v/>
      </c>
      <c r="G757" s="7" t="str">
        <f>IF(Notes!CE753="","",Notes!CE753)</f>
        <v/>
      </c>
      <c r="H757" s="7" t="str">
        <f>IF(Notes!CF753="","",Notes!CF753)</f>
        <v/>
      </c>
      <c r="I757" s="7"/>
      <c r="J757" s="7"/>
      <c r="K757" s="7"/>
    </row>
    <row r="758" spans="1:11" x14ac:dyDescent="0.35">
      <c r="A758" s="7" t="str">
        <f>IF(Notes!BY754="","",Notes!BY754)</f>
        <v/>
      </c>
      <c r="B758" s="7" t="str">
        <f>IF(Notes!BZ754="","",Notes!BZ754)</f>
        <v/>
      </c>
      <c r="C758" s="7" t="str">
        <f>IF(Notes!CA754="","",Notes!CA754)</f>
        <v/>
      </c>
      <c r="D758" s="7" t="str">
        <f>IF(Notes!CB754="","",Notes!CB754)</f>
        <v/>
      </c>
      <c r="E758" s="7" t="str">
        <f>IF(Notes!CC754="","",Notes!CC754)</f>
        <v/>
      </c>
      <c r="F758" s="7" t="str">
        <f>IF(Notes!CD754="","",Notes!CD754)</f>
        <v/>
      </c>
      <c r="G758" s="7" t="str">
        <f>IF(Notes!CE754="","",Notes!CE754)</f>
        <v/>
      </c>
      <c r="H758" s="7" t="str">
        <f>IF(Notes!CF754="","",Notes!CF754)</f>
        <v/>
      </c>
      <c r="I758" s="7"/>
      <c r="J758" s="7"/>
      <c r="K758" s="7"/>
    </row>
    <row r="759" spans="1:11" x14ac:dyDescent="0.35">
      <c r="A759" s="7" t="str">
        <f>IF(Notes!BY755="","",Notes!BY755)</f>
        <v/>
      </c>
      <c r="B759" s="7" t="str">
        <f>IF(Notes!BZ755="","",Notes!BZ755)</f>
        <v/>
      </c>
      <c r="C759" s="7" t="str">
        <f>IF(Notes!CA755="","",Notes!CA755)</f>
        <v/>
      </c>
      <c r="D759" s="7" t="str">
        <f>IF(Notes!CB755="","",Notes!CB755)</f>
        <v/>
      </c>
      <c r="E759" s="7" t="str">
        <f>IF(Notes!CC755="","",Notes!CC755)</f>
        <v/>
      </c>
      <c r="F759" s="7" t="str">
        <f>IF(Notes!CD755="","",Notes!CD755)</f>
        <v/>
      </c>
      <c r="G759" s="7" t="str">
        <f>IF(Notes!CE755="","",Notes!CE755)</f>
        <v/>
      </c>
      <c r="H759" s="7" t="str">
        <f>IF(Notes!CF755="","",Notes!CF755)</f>
        <v/>
      </c>
      <c r="I759" s="7"/>
      <c r="J759" s="7"/>
      <c r="K759" s="7"/>
    </row>
    <row r="760" spans="1:11" x14ac:dyDescent="0.35">
      <c r="A760" s="7" t="str">
        <f>IF(Notes!BY756="","",Notes!BY756)</f>
        <v/>
      </c>
      <c r="B760" s="7" t="str">
        <f>IF(Notes!BZ756="","",Notes!BZ756)</f>
        <v/>
      </c>
      <c r="C760" s="7" t="str">
        <f>IF(Notes!CA756="","",Notes!CA756)</f>
        <v/>
      </c>
      <c r="D760" s="7" t="str">
        <f>IF(Notes!CB756="","",Notes!CB756)</f>
        <v/>
      </c>
      <c r="E760" s="7" t="str">
        <f>IF(Notes!CC756="","",Notes!CC756)</f>
        <v/>
      </c>
      <c r="F760" s="7" t="str">
        <f>IF(Notes!CD756="","",Notes!CD756)</f>
        <v/>
      </c>
      <c r="G760" s="7" t="str">
        <f>IF(Notes!CE756="","",Notes!CE756)</f>
        <v/>
      </c>
      <c r="H760" s="7" t="str">
        <f>IF(Notes!CF756="","",Notes!CF756)</f>
        <v/>
      </c>
      <c r="I760" s="7"/>
      <c r="J760" s="7"/>
      <c r="K760" s="7"/>
    </row>
    <row r="761" spans="1:11" x14ac:dyDescent="0.35">
      <c r="A761" s="7" t="str">
        <f>IF(Notes!BY757="","",Notes!BY757)</f>
        <v/>
      </c>
      <c r="B761" s="7" t="str">
        <f>IF(Notes!BZ757="","",Notes!BZ757)</f>
        <v/>
      </c>
      <c r="C761" s="7" t="str">
        <f>IF(Notes!CA757="","",Notes!CA757)</f>
        <v/>
      </c>
      <c r="D761" s="7" t="str">
        <f>IF(Notes!CB757="","",Notes!CB757)</f>
        <v/>
      </c>
      <c r="E761" s="7" t="str">
        <f>IF(Notes!CC757="","",Notes!CC757)</f>
        <v/>
      </c>
      <c r="F761" s="7" t="str">
        <f>IF(Notes!CD757="","",Notes!CD757)</f>
        <v/>
      </c>
      <c r="G761" s="7" t="str">
        <f>IF(Notes!CE757="","",Notes!CE757)</f>
        <v/>
      </c>
      <c r="H761" s="7" t="str">
        <f>IF(Notes!CF757="","",Notes!CF757)</f>
        <v/>
      </c>
      <c r="I761" s="7"/>
      <c r="J761" s="7"/>
      <c r="K761" s="7"/>
    </row>
    <row r="762" spans="1:11" x14ac:dyDescent="0.35">
      <c r="A762" s="7" t="str">
        <f>IF(Notes!BY758="","",Notes!BY758)</f>
        <v/>
      </c>
      <c r="B762" s="7" t="str">
        <f>IF(Notes!BZ758="","",Notes!BZ758)</f>
        <v/>
      </c>
      <c r="C762" s="7" t="str">
        <f>IF(Notes!CA758="","",Notes!CA758)</f>
        <v/>
      </c>
      <c r="D762" s="7" t="str">
        <f>IF(Notes!CB758="","",Notes!CB758)</f>
        <v/>
      </c>
      <c r="E762" s="7" t="str">
        <f>IF(Notes!CC758="","",Notes!CC758)</f>
        <v/>
      </c>
      <c r="F762" s="7" t="str">
        <f>IF(Notes!CD758="","",Notes!CD758)</f>
        <v/>
      </c>
      <c r="G762" s="7" t="str">
        <f>IF(Notes!CE758="","",Notes!CE758)</f>
        <v/>
      </c>
      <c r="H762" s="7" t="str">
        <f>IF(Notes!CF758="","",Notes!CF758)</f>
        <v/>
      </c>
      <c r="I762" s="7"/>
      <c r="J762" s="7"/>
      <c r="K762" s="7"/>
    </row>
    <row r="763" spans="1:11" x14ac:dyDescent="0.35">
      <c r="A763" s="7" t="str">
        <f>IF(Notes!BY759="","",Notes!BY759)</f>
        <v/>
      </c>
      <c r="B763" s="7" t="str">
        <f>IF(Notes!BZ759="","",Notes!BZ759)</f>
        <v/>
      </c>
      <c r="C763" s="7" t="str">
        <f>IF(Notes!CA759="","",Notes!CA759)</f>
        <v/>
      </c>
      <c r="D763" s="7" t="str">
        <f>IF(Notes!CB759="","",Notes!CB759)</f>
        <v/>
      </c>
      <c r="E763" s="7" t="str">
        <f>IF(Notes!CC759="","",Notes!CC759)</f>
        <v/>
      </c>
      <c r="F763" s="7" t="str">
        <f>IF(Notes!CD759="","",Notes!CD759)</f>
        <v/>
      </c>
      <c r="G763" s="7" t="str">
        <f>IF(Notes!CE759="","",Notes!CE759)</f>
        <v/>
      </c>
      <c r="H763" s="7" t="str">
        <f>IF(Notes!CF759="","",Notes!CF759)</f>
        <v/>
      </c>
      <c r="I763" s="7"/>
      <c r="J763" s="7"/>
      <c r="K763" s="7"/>
    </row>
    <row r="764" spans="1:11" x14ac:dyDescent="0.35">
      <c r="A764" s="7" t="str">
        <f>IF(Notes!BY760="","",Notes!BY760)</f>
        <v/>
      </c>
      <c r="B764" s="7" t="str">
        <f>IF(Notes!BZ760="","",Notes!BZ760)</f>
        <v/>
      </c>
      <c r="C764" s="7" t="str">
        <f>IF(Notes!CA760="","",Notes!CA760)</f>
        <v/>
      </c>
      <c r="D764" s="7" t="str">
        <f>IF(Notes!CB760="","",Notes!CB760)</f>
        <v/>
      </c>
      <c r="E764" s="7" t="str">
        <f>IF(Notes!CC760="","",Notes!CC760)</f>
        <v/>
      </c>
      <c r="F764" s="7" t="str">
        <f>IF(Notes!CD760="","",Notes!CD760)</f>
        <v/>
      </c>
      <c r="G764" s="7" t="str">
        <f>IF(Notes!CE760="","",Notes!CE760)</f>
        <v/>
      </c>
      <c r="H764" s="7" t="str">
        <f>IF(Notes!CF760="","",Notes!CF760)</f>
        <v/>
      </c>
      <c r="I764" s="7"/>
      <c r="J764" s="7"/>
      <c r="K764" s="7"/>
    </row>
    <row r="765" spans="1:11" x14ac:dyDescent="0.35">
      <c r="A765" s="7" t="str">
        <f>IF(Notes!BY761="","",Notes!BY761)</f>
        <v/>
      </c>
      <c r="B765" s="7" t="str">
        <f>IF(Notes!BZ761="","",Notes!BZ761)</f>
        <v/>
      </c>
      <c r="C765" s="7" t="str">
        <f>IF(Notes!CA761="","",Notes!CA761)</f>
        <v/>
      </c>
      <c r="D765" s="7" t="str">
        <f>IF(Notes!CB761="","",Notes!CB761)</f>
        <v/>
      </c>
      <c r="E765" s="7" t="str">
        <f>IF(Notes!CC761="","",Notes!CC761)</f>
        <v/>
      </c>
      <c r="F765" s="7" t="str">
        <f>IF(Notes!CD761="","",Notes!CD761)</f>
        <v/>
      </c>
      <c r="G765" s="7" t="str">
        <f>IF(Notes!CE761="","",Notes!CE761)</f>
        <v/>
      </c>
      <c r="H765" s="7" t="str">
        <f>IF(Notes!CF761="","",Notes!CF761)</f>
        <v/>
      </c>
      <c r="I765" s="7"/>
      <c r="J765" s="7"/>
      <c r="K765" s="7"/>
    </row>
    <row r="766" spans="1:11" x14ac:dyDescent="0.35">
      <c r="A766" s="7" t="str">
        <f>IF(Notes!BY762="","",Notes!BY762)</f>
        <v/>
      </c>
      <c r="B766" s="7" t="str">
        <f>IF(Notes!BZ762="","",Notes!BZ762)</f>
        <v/>
      </c>
      <c r="C766" s="7" t="str">
        <f>IF(Notes!CA762="","",Notes!CA762)</f>
        <v/>
      </c>
      <c r="D766" s="7" t="str">
        <f>IF(Notes!CB762="","",Notes!CB762)</f>
        <v/>
      </c>
      <c r="E766" s="7" t="str">
        <f>IF(Notes!CC762="","",Notes!CC762)</f>
        <v/>
      </c>
      <c r="F766" s="7" t="str">
        <f>IF(Notes!CD762="","",Notes!CD762)</f>
        <v/>
      </c>
      <c r="G766" s="7" t="str">
        <f>IF(Notes!CE762="","",Notes!CE762)</f>
        <v/>
      </c>
      <c r="H766" s="7" t="str">
        <f>IF(Notes!CF762="","",Notes!CF762)</f>
        <v/>
      </c>
      <c r="I766" s="7"/>
      <c r="J766" s="7"/>
      <c r="K766" s="7"/>
    </row>
    <row r="767" spans="1:11" x14ac:dyDescent="0.35">
      <c r="A767" s="7" t="str">
        <f>IF(Notes!BY763="","",Notes!BY763)</f>
        <v/>
      </c>
      <c r="B767" s="7" t="str">
        <f>IF(Notes!BZ763="","",Notes!BZ763)</f>
        <v/>
      </c>
      <c r="C767" s="7" t="str">
        <f>IF(Notes!CA763="","",Notes!CA763)</f>
        <v/>
      </c>
      <c r="D767" s="7" t="str">
        <f>IF(Notes!CB763="","",Notes!CB763)</f>
        <v/>
      </c>
      <c r="E767" s="7" t="str">
        <f>IF(Notes!CC763="","",Notes!CC763)</f>
        <v/>
      </c>
      <c r="F767" s="7" t="str">
        <f>IF(Notes!CD763="","",Notes!CD763)</f>
        <v/>
      </c>
      <c r="G767" s="7" t="str">
        <f>IF(Notes!CE763="","",Notes!CE763)</f>
        <v/>
      </c>
      <c r="H767" s="7" t="str">
        <f>IF(Notes!CF763="","",Notes!CF763)</f>
        <v/>
      </c>
      <c r="I767" s="7"/>
      <c r="J767" s="7"/>
      <c r="K767" s="7"/>
    </row>
    <row r="768" spans="1:11" x14ac:dyDescent="0.35">
      <c r="A768" s="7" t="str">
        <f>IF(Notes!BY764="","",Notes!BY764)</f>
        <v/>
      </c>
      <c r="B768" s="7" t="str">
        <f>IF(Notes!BZ764="","",Notes!BZ764)</f>
        <v/>
      </c>
      <c r="C768" s="7" t="str">
        <f>IF(Notes!CA764="","",Notes!CA764)</f>
        <v/>
      </c>
      <c r="D768" s="7" t="str">
        <f>IF(Notes!CB764="","",Notes!CB764)</f>
        <v/>
      </c>
      <c r="E768" s="7" t="str">
        <f>IF(Notes!CC764="","",Notes!CC764)</f>
        <v/>
      </c>
      <c r="F768" s="7" t="str">
        <f>IF(Notes!CD764="","",Notes!CD764)</f>
        <v/>
      </c>
      <c r="G768" s="7" t="str">
        <f>IF(Notes!CE764="","",Notes!CE764)</f>
        <v/>
      </c>
      <c r="H768" s="7" t="str">
        <f>IF(Notes!CF764="","",Notes!CF764)</f>
        <v/>
      </c>
      <c r="I768" s="7"/>
      <c r="J768" s="7"/>
      <c r="K768" s="7"/>
    </row>
    <row r="769" spans="1:11" x14ac:dyDescent="0.35">
      <c r="A769" s="7" t="str">
        <f>IF(Notes!BY765="","",Notes!BY765)</f>
        <v/>
      </c>
      <c r="B769" s="7" t="str">
        <f>IF(Notes!BZ765="","",Notes!BZ765)</f>
        <v/>
      </c>
      <c r="C769" s="7" t="str">
        <f>IF(Notes!CA765="","",Notes!CA765)</f>
        <v/>
      </c>
      <c r="D769" s="7" t="str">
        <f>IF(Notes!CB765="","",Notes!CB765)</f>
        <v/>
      </c>
      <c r="E769" s="7" t="str">
        <f>IF(Notes!CC765="","",Notes!CC765)</f>
        <v/>
      </c>
      <c r="F769" s="7" t="str">
        <f>IF(Notes!CD765="","",Notes!CD765)</f>
        <v/>
      </c>
      <c r="G769" s="7" t="str">
        <f>IF(Notes!CE765="","",Notes!CE765)</f>
        <v/>
      </c>
      <c r="H769" s="7" t="str">
        <f>IF(Notes!CF765="","",Notes!CF765)</f>
        <v/>
      </c>
      <c r="I769" s="7"/>
      <c r="J769" s="7"/>
      <c r="K769" s="7"/>
    </row>
    <row r="770" spans="1:11" x14ac:dyDescent="0.35">
      <c r="A770" s="7" t="str">
        <f>IF(Notes!BY766="","",Notes!BY766)</f>
        <v/>
      </c>
      <c r="B770" s="7" t="str">
        <f>IF(Notes!BZ766="","",Notes!BZ766)</f>
        <v/>
      </c>
      <c r="C770" s="7" t="str">
        <f>IF(Notes!CA766="","",Notes!CA766)</f>
        <v/>
      </c>
      <c r="D770" s="7" t="str">
        <f>IF(Notes!CB766="","",Notes!CB766)</f>
        <v/>
      </c>
      <c r="E770" s="7" t="str">
        <f>IF(Notes!CC766="","",Notes!CC766)</f>
        <v/>
      </c>
      <c r="F770" s="7" t="str">
        <f>IF(Notes!CD766="","",Notes!CD766)</f>
        <v/>
      </c>
      <c r="G770" s="7" t="str">
        <f>IF(Notes!CE766="","",Notes!CE766)</f>
        <v/>
      </c>
      <c r="H770" s="7" t="str">
        <f>IF(Notes!CF766="","",Notes!CF766)</f>
        <v/>
      </c>
      <c r="I770" s="7"/>
      <c r="J770" s="7"/>
      <c r="K770" s="7"/>
    </row>
    <row r="771" spans="1:11" x14ac:dyDescent="0.35">
      <c r="A771" s="7" t="str">
        <f>IF(Notes!BY767="","",Notes!BY767)</f>
        <v/>
      </c>
      <c r="B771" s="7" t="str">
        <f>IF(Notes!BZ767="","",Notes!BZ767)</f>
        <v/>
      </c>
      <c r="C771" s="7" t="str">
        <f>IF(Notes!CA767="","",Notes!CA767)</f>
        <v/>
      </c>
      <c r="D771" s="7" t="str">
        <f>IF(Notes!CB767="","",Notes!CB767)</f>
        <v/>
      </c>
      <c r="E771" s="7" t="str">
        <f>IF(Notes!CC767="","",Notes!CC767)</f>
        <v/>
      </c>
      <c r="F771" s="7" t="str">
        <f>IF(Notes!CD767="","",Notes!CD767)</f>
        <v/>
      </c>
      <c r="G771" s="7" t="str">
        <f>IF(Notes!CE767="","",Notes!CE767)</f>
        <v/>
      </c>
      <c r="H771" s="7" t="str">
        <f>IF(Notes!CF767="","",Notes!CF767)</f>
        <v/>
      </c>
      <c r="I771" s="7"/>
      <c r="J771" s="7"/>
      <c r="K771" s="7"/>
    </row>
    <row r="772" spans="1:11" x14ac:dyDescent="0.35">
      <c r="A772" s="7" t="str">
        <f>IF(Notes!BY768="","",Notes!BY768)</f>
        <v/>
      </c>
      <c r="B772" s="7" t="str">
        <f>IF(Notes!BZ768="","",Notes!BZ768)</f>
        <v/>
      </c>
      <c r="C772" s="7" t="str">
        <f>IF(Notes!CA768="","",Notes!CA768)</f>
        <v/>
      </c>
      <c r="D772" s="7" t="str">
        <f>IF(Notes!CB768="","",Notes!CB768)</f>
        <v/>
      </c>
      <c r="E772" s="7" t="str">
        <f>IF(Notes!CC768="","",Notes!CC768)</f>
        <v/>
      </c>
      <c r="F772" s="7" t="str">
        <f>IF(Notes!CD768="","",Notes!CD768)</f>
        <v/>
      </c>
      <c r="G772" s="7" t="str">
        <f>IF(Notes!CE768="","",Notes!CE768)</f>
        <v/>
      </c>
      <c r="H772" s="7" t="str">
        <f>IF(Notes!CF768="","",Notes!CF768)</f>
        <v/>
      </c>
      <c r="I772" s="7"/>
      <c r="J772" s="7"/>
      <c r="K772" s="7"/>
    </row>
    <row r="773" spans="1:11" x14ac:dyDescent="0.35">
      <c r="A773" s="7" t="str">
        <f>IF(Notes!BY769="","",Notes!BY769)</f>
        <v/>
      </c>
      <c r="B773" s="7" t="str">
        <f>IF(Notes!BZ769="","",Notes!BZ769)</f>
        <v/>
      </c>
      <c r="C773" s="7" t="str">
        <f>IF(Notes!CA769="","",Notes!CA769)</f>
        <v/>
      </c>
      <c r="D773" s="7" t="str">
        <f>IF(Notes!CB769="","",Notes!CB769)</f>
        <v/>
      </c>
      <c r="E773" s="7" t="str">
        <f>IF(Notes!CC769="","",Notes!CC769)</f>
        <v/>
      </c>
      <c r="F773" s="7" t="str">
        <f>IF(Notes!CD769="","",Notes!CD769)</f>
        <v/>
      </c>
      <c r="G773" s="7" t="str">
        <f>IF(Notes!CE769="","",Notes!CE769)</f>
        <v/>
      </c>
      <c r="H773" s="7" t="str">
        <f>IF(Notes!CF769="","",Notes!CF769)</f>
        <v/>
      </c>
      <c r="I773" s="7"/>
      <c r="J773" s="7"/>
      <c r="K773" s="7"/>
    </row>
    <row r="774" spans="1:11" x14ac:dyDescent="0.35">
      <c r="A774" s="7" t="str">
        <f>IF(Notes!BY770="","",Notes!BY770)</f>
        <v/>
      </c>
      <c r="B774" s="7" t="str">
        <f>IF(Notes!BZ770="","",Notes!BZ770)</f>
        <v/>
      </c>
      <c r="C774" s="7" t="str">
        <f>IF(Notes!CA770="","",Notes!CA770)</f>
        <v/>
      </c>
      <c r="D774" s="7" t="str">
        <f>IF(Notes!CB770="","",Notes!CB770)</f>
        <v/>
      </c>
      <c r="E774" s="7" t="str">
        <f>IF(Notes!CC770="","",Notes!CC770)</f>
        <v/>
      </c>
      <c r="F774" s="7" t="str">
        <f>IF(Notes!CD770="","",Notes!CD770)</f>
        <v/>
      </c>
      <c r="G774" s="7" t="str">
        <f>IF(Notes!CE770="","",Notes!CE770)</f>
        <v/>
      </c>
      <c r="H774" s="7" t="str">
        <f>IF(Notes!CF770="","",Notes!CF770)</f>
        <v/>
      </c>
      <c r="I774" s="7"/>
      <c r="J774" s="7"/>
      <c r="K774" s="7"/>
    </row>
    <row r="775" spans="1:11" x14ac:dyDescent="0.35">
      <c r="A775" s="7" t="str">
        <f>IF(Notes!BY771="","",Notes!BY771)</f>
        <v/>
      </c>
      <c r="B775" s="7" t="str">
        <f>IF(Notes!BZ771="","",Notes!BZ771)</f>
        <v/>
      </c>
      <c r="C775" s="7" t="str">
        <f>IF(Notes!CA771="","",Notes!CA771)</f>
        <v/>
      </c>
      <c r="D775" s="7" t="str">
        <f>IF(Notes!CB771="","",Notes!CB771)</f>
        <v/>
      </c>
      <c r="E775" s="7" t="str">
        <f>IF(Notes!CC771="","",Notes!CC771)</f>
        <v/>
      </c>
      <c r="F775" s="7" t="str">
        <f>IF(Notes!CD771="","",Notes!CD771)</f>
        <v/>
      </c>
      <c r="G775" s="7" t="str">
        <f>IF(Notes!CE771="","",Notes!CE771)</f>
        <v/>
      </c>
      <c r="H775" s="7" t="str">
        <f>IF(Notes!CF771="","",Notes!CF771)</f>
        <v/>
      </c>
      <c r="I775" s="7"/>
      <c r="J775" s="7"/>
      <c r="K775" s="7"/>
    </row>
    <row r="776" spans="1:11" x14ac:dyDescent="0.35">
      <c r="A776" s="7" t="str">
        <f>IF(Notes!BY772="","",Notes!BY772)</f>
        <v/>
      </c>
      <c r="B776" s="7" t="str">
        <f>IF(Notes!BZ772="","",Notes!BZ772)</f>
        <v/>
      </c>
      <c r="C776" s="7" t="str">
        <f>IF(Notes!CA772="","",Notes!CA772)</f>
        <v/>
      </c>
      <c r="D776" s="7" t="str">
        <f>IF(Notes!CB772="","",Notes!CB772)</f>
        <v/>
      </c>
      <c r="E776" s="7" t="str">
        <f>IF(Notes!CC772="","",Notes!CC772)</f>
        <v/>
      </c>
      <c r="F776" s="7" t="str">
        <f>IF(Notes!CD772="","",Notes!CD772)</f>
        <v/>
      </c>
      <c r="G776" s="7" t="str">
        <f>IF(Notes!CE772="","",Notes!CE772)</f>
        <v/>
      </c>
      <c r="H776" s="7" t="str">
        <f>IF(Notes!CF772="","",Notes!CF772)</f>
        <v/>
      </c>
      <c r="I776" s="7"/>
      <c r="J776" s="7"/>
      <c r="K776" s="7"/>
    </row>
    <row r="777" spans="1:11" x14ac:dyDescent="0.35">
      <c r="A777" s="7" t="str">
        <f>IF(Notes!BY773="","",Notes!BY773)</f>
        <v/>
      </c>
      <c r="B777" s="7" t="str">
        <f>IF(Notes!BZ773="","",Notes!BZ773)</f>
        <v/>
      </c>
      <c r="C777" s="7" t="str">
        <f>IF(Notes!CA773="","",Notes!CA773)</f>
        <v/>
      </c>
      <c r="D777" s="7" t="str">
        <f>IF(Notes!CB773="","",Notes!CB773)</f>
        <v/>
      </c>
      <c r="E777" s="7" t="str">
        <f>IF(Notes!CC773="","",Notes!CC773)</f>
        <v/>
      </c>
      <c r="F777" s="7" t="str">
        <f>IF(Notes!CD773="","",Notes!CD773)</f>
        <v/>
      </c>
      <c r="G777" s="7" t="str">
        <f>IF(Notes!CE773="","",Notes!CE773)</f>
        <v/>
      </c>
      <c r="H777" s="7" t="str">
        <f>IF(Notes!CF773="","",Notes!CF773)</f>
        <v/>
      </c>
      <c r="I777" s="7"/>
      <c r="J777" s="7"/>
      <c r="K777" s="7"/>
    </row>
    <row r="778" spans="1:11" x14ac:dyDescent="0.35">
      <c r="A778" s="7" t="str">
        <f>IF(Notes!BY774="","",Notes!BY774)</f>
        <v/>
      </c>
      <c r="B778" s="7" t="str">
        <f>IF(Notes!BZ774="","",Notes!BZ774)</f>
        <v/>
      </c>
      <c r="C778" s="7" t="str">
        <f>IF(Notes!CA774="","",Notes!CA774)</f>
        <v/>
      </c>
      <c r="D778" s="7" t="str">
        <f>IF(Notes!CB774="","",Notes!CB774)</f>
        <v/>
      </c>
      <c r="E778" s="7" t="str">
        <f>IF(Notes!CC774="","",Notes!CC774)</f>
        <v/>
      </c>
      <c r="F778" s="7" t="str">
        <f>IF(Notes!CD774="","",Notes!CD774)</f>
        <v/>
      </c>
      <c r="G778" s="7" t="str">
        <f>IF(Notes!CE774="","",Notes!CE774)</f>
        <v/>
      </c>
      <c r="H778" s="7" t="str">
        <f>IF(Notes!CF774="","",Notes!CF774)</f>
        <v/>
      </c>
      <c r="I778" s="7"/>
      <c r="J778" s="7"/>
      <c r="K778" s="7"/>
    </row>
    <row r="779" spans="1:11" x14ac:dyDescent="0.35">
      <c r="A779" s="7" t="str">
        <f>IF(Notes!BY775="","",Notes!BY775)</f>
        <v/>
      </c>
      <c r="B779" s="7" t="str">
        <f>IF(Notes!BZ775="","",Notes!BZ775)</f>
        <v/>
      </c>
      <c r="C779" s="7" t="str">
        <f>IF(Notes!CA775="","",Notes!CA775)</f>
        <v/>
      </c>
      <c r="D779" s="7" t="str">
        <f>IF(Notes!CB775="","",Notes!CB775)</f>
        <v/>
      </c>
      <c r="E779" s="7" t="str">
        <f>IF(Notes!CC775="","",Notes!CC775)</f>
        <v/>
      </c>
      <c r="F779" s="7" t="str">
        <f>IF(Notes!CD775="","",Notes!CD775)</f>
        <v/>
      </c>
      <c r="G779" s="7" t="str">
        <f>IF(Notes!CE775="","",Notes!CE775)</f>
        <v/>
      </c>
      <c r="H779" s="7" t="str">
        <f>IF(Notes!CF775="","",Notes!CF775)</f>
        <v/>
      </c>
      <c r="I779" s="7"/>
      <c r="J779" s="7"/>
      <c r="K779" s="7"/>
    </row>
    <row r="780" spans="1:11" x14ac:dyDescent="0.35">
      <c r="A780" s="7" t="str">
        <f>IF(Notes!BY776="","",Notes!BY776)</f>
        <v/>
      </c>
      <c r="B780" s="7" t="str">
        <f>IF(Notes!BZ776="","",Notes!BZ776)</f>
        <v/>
      </c>
      <c r="C780" s="7" t="str">
        <f>IF(Notes!CA776="","",Notes!CA776)</f>
        <v/>
      </c>
      <c r="D780" s="7" t="str">
        <f>IF(Notes!CB776="","",Notes!CB776)</f>
        <v/>
      </c>
      <c r="E780" s="7" t="str">
        <f>IF(Notes!CC776="","",Notes!CC776)</f>
        <v/>
      </c>
      <c r="F780" s="7" t="str">
        <f>IF(Notes!CD776="","",Notes!CD776)</f>
        <v/>
      </c>
      <c r="G780" s="7" t="str">
        <f>IF(Notes!CE776="","",Notes!CE776)</f>
        <v/>
      </c>
      <c r="H780" s="7" t="str">
        <f>IF(Notes!CF776="","",Notes!CF776)</f>
        <v/>
      </c>
      <c r="I780" s="7"/>
      <c r="J780" s="7"/>
      <c r="K780" s="7"/>
    </row>
    <row r="781" spans="1:11" x14ac:dyDescent="0.35">
      <c r="A781" s="7" t="str">
        <f>IF(Notes!BY777="","",Notes!BY777)</f>
        <v/>
      </c>
      <c r="B781" s="7" t="str">
        <f>IF(Notes!BZ777="","",Notes!BZ777)</f>
        <v/>
      </c>
      <c r="C781" s="7" t="str">
        <f>IF(Notes!CA777="","",Notes!CA777)</f>
        <v/>
      </c>
      <c r="D781" s="7" t="str">
        <f>IF(Notes!CB777="","",Notes!CB777)</f>
        <v/>
      </c>
      <c r="E781" s="7" t="str">
        <f>IF(Notes!CC777="","",Notes!CC777)</f>
        <v/>
      </c>
      <c r="F781" s="7" t="str">
        <f>IF(Notes!CD777="","",Notes!CD777)</f>
        <v/>
      </c>
      <c r="G781" s="7" t="str">
        <f>IF(Notes!CE777="","",Notes!CE777)</f>
        <v/>
      </c>
      <c r="H781" s="7" t="str">
        <f>IF(Notes!CF777="","",Notes!CF777)</f>
        <v/>
      </c>
      <c r="I781" s="7"/>
      <c r="J781" s="7"/>
      <c r="K781" s="7"/>
    </row>
    <row r="782" spans="1:11" x14ac:dyDescent="0.35">
      <c r="A782" s="7" t="str">
        <f>IF(Notes!BY778="","",Notes!BY778)</f>
        <v/>
      </c>
      <c r="B782" s="7" t="str">
        <f>IF(Notes!BZ778="","",Notes!BZ778)</f>
        <v/>
      </c>
      <c r="C782" s="7" t="str">
        <f>IF(Notes!CA778="","",Notes!CA778)</f>
        <v/>
      </c>
      <c r="D782" s="7" t="str">
        <f>IF(Notes!CB778="","",Notes!CB778)</f>
        <v/>
      </c>
      <c r="E782" s="7" t="str">
        <f>IF(Notes!CC778="","",Notes!CC778)</f>
        <v/>
      </c>
      <c r="F782" s="7" t="str">
        <f>IF(Notes!CD778="","",Notes!CD778)</f>
        <v/>
      </c>
      <c r="G782" s="7" t="str">
        <f>IF(Notes!CE778="","",Notes!CE778)</f>
        <v/>
      </c>
      <c r="H782" s="7" t="str">
        <f>IF(Notes!CF778="","",Notes!CF778)</f>
        <v/>
      </c>
      <c r="I782" s="7"/>
      <c r="J782" s="7"/>
      <c r="K782" s="7"/>
    </row>
    <row r="783" spans="1:11" x14ac:dyDescent="0.35">
      <c r="A783" s="7" t="str">
        <f>IF(Notes!BY779="","",Notes!BY779)</f>
        <v/>
      </c>
      <c r="B783" s="7" t="str">
        <f>IF(Notes!BZ779="","",Notes!BZ779)</f>
        <v/>
      </c>
      <c r="C783" s="7" t="str">
        <f>IF(Notes!CA779="","",Notes!CA779)</f>
        <v/>
      </c>
      <c r="D783" s="7" t="str">
        <f>IF(Notes!CB779="","",Notes!CB779)</f>
        <v/>
      </c>
      <c r="E783" s="7" t="str">
        <f>IF(Notes!CC779="","",Notes!CC779)</f>
        <v/>
      </c>
      <c r="F783" s="7" t="str">
        <f>IF(Notes!CD779="","",Notes!CD779)</f>
        <v/>
      </c>
      <c r="G783" s="7" t="str">
        <f>IF(Notes!CE779="","",Notes!CE779)</f>
        <v/>
      </c>
      <c r="H783" s="7" t="str">
        <f>IF(Notes!CF779="","",Notes!CF779)</f>
        <v/>
      </c>
      <c r="I783" s="7"/>
      <c r="J783" s="7"/>
      <c r="K783" s="7"/>
    </row>
    <row r="784" spans="1:11" x14ac:dyDescent="0.35">
      <c r="A784" s="7" t="str">
        <f>IF(Notes!BY780="","",Notes!BY780)</f>
        <v/>
      </c>
      <c r="B784" s="7" t="str">
        <f>IF(Notes!BZ780="","",Notes!BZ780)</f>
        <v/>
      </c>
      <c r="C784" s="7" t="str">
        <f>IF(Notes!CA780="","",Notes!CA780)</f>
        <v/>
      </c>
      <c r="D784" s="7" t="str">
        <f>IF(Notes!CB780="","",Notes!CB780)</f>
        <v/>
      </c>
      <c r="E784" s="7" t="str">
        <f>IF(Notes!CC780="","",Notes!CC780)</f>
        <v/>
      </c>
      <c r="F784" s="7" t="str">
        <f>IF(Notes!CD780="","",Notes!CD780)</f>
        <v/>
      </c>
      <c r="G784" s="7" t="str">
        <f>IF(Notes!CE780="","",Notes!CE780)</f>
        <v/>
      </c>
      <c r="H784" s="7" t="str">
        <f>IF(Notes!CF780="","",Notes!CF780)</f>
        <v/>
      </c>
      <c r="I784" s="7"/>
      <c r="J784" s="7"/>
      <c r="K784" s="7"/>
    </row>
    <row r="785" spans="1:11" x14ac:dyDescent="0.35">
      <c r="A785" s="7" t="str">
        <f>IF(Notes!BY781="","",Notes!BY781)</f>
        <v/>
      </c>
      <c r="B785" s="7" t="str">
        <f>IF(Notes!BZ781="","",Notes!BZ781)</f>
        <v/>
      </c>
      <c r="C785" s="7" t="str">
        <f>IF(Notes!CA781="","",Notes!CA781)</f>
        <v/>
      </c>
      <c r="D785" s="7" t="str">
        <f>IF(Notes!CB781="","",Notes!CB781)</f>
        <v/>
      </c>
      <c r="E785" s="7" t="str">
        <f>IF(Notes!CC781="","",Notes!CC781)</f>
        <v/>
      </c>
      <c r="F785" s="7" t="str">
        <f>IF(Notes!CD781="","",Notes!CD781)</f>
        <v/>
      </c>
      <c r="G785" s="7" t="str">
        <f>IF(Notes!CE781="","",Notes!CE781)</f>
        <v/>
      </c>
      <c r="H785" s="7" t="str">
        <f>IF(Notes!CF781="","",Notes!CF781)</f>
        <v/>
      </c>
      <c r="I785" s="7"/>
      <c r="J785" s="7"/>
      <c r="K785" s="7"/>
    </row>
    <row r="786" spans="1:11" x14ac:dyDescent="0.35">
      <c r="A786" s="7" t="str">
        <f>IF(Notes!BY782="","",Notes!BY782)</f>
        <v/>
      </c>
      <c r="B786" s="7" t="str">
        <f>IF(Notes!BZ782="","",Notes!BZ782)</f>
        <v/>
      </c>
      <c r="C786" s="7" t="str">
        <f>IF(Notes!CA782="","",Notes!CA782)</f>
        <v/>
      </c>
      <c r="D786" s="7" t="str">
        <f>IF(Notes!CB782="","",Notes!CB782)</f>
        <v/>
      </c>
      <c r="E786" s="7" t="str">
        <f>IF(Notes!CC782="","",Notes!CC782)</f>
        <v/>
      </c>
      <c r="F786" s="7" t="str">
        <f>IF(Notes!CD782="","",Notes!CD782)</f>
        <v/>
      </c>
      <c r="G786" s="7" t="str">
        <f>IF(Notes!CE782="","",Notes!CE782)</f>
        <v/>
      </c>
      <c r="H786" s="7" t="str">
        <f>IF(Notes!CF782="","",Notes!CF782)</f>
        <v/>
      </c>
      <c r="I786" s="7"/>
      <c r="J786" s="7"/>
      <c r="K786" s="7"/>
    </row>
    <row r="787" spans="1:11" x14ac:dyDescent="0.35">
      <c r="A787" s="7" t="str">
        <f>IF(Notes!BY783="","",Notes!BY783)</f>
        <v/>
      </c>
      <c r="B787" s="7" t="str">
        <f>IF(Notes!BZ783="","",Notes!BZ783)</f>
        <v/>
      </c>
      <c r="C787" s="7" t="str">
        <f>IF(Notes!CA783="","",Notes!CA783)</f>
        <v/>
      </c>
      <c r="D787" s="7" t="str">
        <f>IF(Notes!CB783="","",Notes!CB783)</f>
        <v/>
      </c>
      <c r="E787" s="7" t="str">
        <f>IF(Notes!CC783="","",Notes!CC783)</f>
        <v/>
      </c>
      <c r="F787" s="7" t="str">
        <f>IF(Notes!CD783="","",Notes!CD783)</f>
        <v/>
      </c>
      <c r="G787" s="7" t="str">
        <f>IF(Notes!CE783="","",Notes!CE783)</f>
        <v/>
      </c>
      <c r="H787" s="7" t="str">
        <f>IF(Notes!CF783="","",Notes!CF783)</f>
        <v/>
      </c>
      <c r="I787" s="7"/>
      <c r="J787" s="7"/>
      <c r="K787" s="7"/>
    </row>
    <row r="788" spans="1:11" x14ac:dyDescent="0.35">
      <c r="A788" s="7" t="str">
        <f>IF(Notes!BY784="","",Notes!BY784)</f>
        <v/>
      </c>
      <c r="B788" s="7" t="str">
        <f>IF(Notes!BZ784="","",Notes!BZ784)</f>
        <v/>
      </c>
      <c r="C788" s="7" t="str">
        <f>IF(Notes!CA784="","",Notes!CA784)</f>
        <v/>
      </c>
      <c r="D788" s="7" t="str">
        <f>IF(Notes!CB784="","",Notes!CB784)</f>
        <v/>
      </c>
      <c r="E788" s="7" t="str">
        <f>IF(Notes!CC784="","",Notes!CC784)</f>
        <v/>
      </c>
      <c r="F788" s="7" t="str">
        <f>IF(Notes!CD784="","",Notes!CD784)</f>
        <v/>
      </c>
      <c r="G788" s="7" t="str">
        <f>IF(Notes!CE784="","",Notes!CE784)</f>
        <v/>
      </c>
      <c r="H788" s="7" t="str">
        <f>IF(Notes!CF784="","",Notes!CF784)</f>
        <v/>
      </c>
      <c r="I788" s="7"/>
      <c r="J788" s="7"/>
      <c r="K788" s="7"/>
    </row>
    <row r="789" spans="1:11" x14ac:dyDescent="0.35">
      <c r="A789" s="7" t="str">
        <f>IF(Notes!BY785="","",Notes!BY785)</f>
        <v/>
      </c>
      <c r="B789" s="7" t="str">
        <f>IF(Notes!BZ785="","",Notes!BZ785)</f>
        <v/>
      </c>
      <c r="C789" s="7" t="str">
        <f>IF(Notes!CA785="","",Notes!CA785)</f>
        <v/>
      </c>
      <c r="D789" s="7" t="str">
        <f>IF(Notes!CB785="","",Notes!CB785)</f>
        <v/>
      </c>
      <c r="E789" s="7" t="str">
        <f>IF(Notes!CC785="","",Notes!CC785)</f>
        <v/>
      </c>
      <c r="F789" s="7" t="str">
        <f>IF(Notes!CD785="","",Notes!CD785)</f>
        <v/>
      </c>
      <c r="G789" s="7" t="str">
        <f>IF(Notes!CE785="","",Notes!CE785)</f>
        <v/>
      </c>
      <c r="H789" s="7" t="str">
        <f>IF(Notes!CF785="","",Notes!CF785)</f>
        <v/>
      </c>
      <c r="I789" s="7"/>
      <c r="J789" s="7"/>
      <c r="K789" s="7"/>
    </row>
    <row r="790" spans="1:11" x14ac:dyDescent="0.35">
      <c r="A790" s="7" t="str">
        <f>IF(Notes!BY786="","",Notes!BY786)</f>
        <v/>
      </c>
      <c r="B790" s="7" t="str">
        <f>IF(Notes!BZ786="","",Notes!BZ786)</f>
        <v/>
      </c>
      <c r="C790" s="7" t="str">
        <f>IF(Notes!CA786="","",Notes!CA786)</f>
        <v/>
      </c>
      <c r="D790" s="7" t="str">
        <f>IF(Notes!CB786="","",Notes!CB786)</f>
        <v/>
      </c>
      <c r="E790" s="7" t="str">
        <f>IF(Notes!CC786="","",Notes!CC786)</f>
        <v/>
      </c>
      <c r="F790" s="7" t="str">
        <f>IF(Notes!CD786="","",Notes!CD786)</f>
        <v/>
      </c>
      <c r="G790" s="7" t="str">
        <f>IF(Notes!CE786="","",Notes!CE786)</f>
        <v/>
      </c>
      <c r="H790" s="7" t="str">
        <f>IF(Notes!CF786="","",Notes!CF786)</f>
        <v/>
      </c>
      <c r="I790" s="7"/>
      <c r="J790" s="7"/>
      <c r="K790" s="7"/>
    </row>
    <row r="791" spans="1:11" x14ac:dyDescent="0.35">
      <c r="A791" s="7" t="str">
        <f>IF(Notes!BY787="","",Notes!BY787)</f>
        <v/>
      </c>
      <c r="B791" s="7" t="str">
        <f>IF(Notes!BZ787="","",Notes!BZ787)</f>
        <v/>
      </c>
      <c r="C791" s="7" t="str">
        <f>IF(Notes!CA787="","",Notes!CA787)</f>
        <v/>
      </c>
      <c r="D791" s="7" t="str">
        <f>IF(Notes!CB787="","",Notes!CB787)</f>
        <v/>
      </c>
      <c r="E791" s="7" t="str">
        <f>IF(Notes!CC787="","",Notes!CC787)</f>
        <v/>
      </c>
      <c r="F791" s="7" t="str">
        <f>IF(Notes!CD787="","",Notes!CD787)</f>
        <v/>
      </c>
      <c r="G791" s="7" t="str">
        <f>IF(Notes!CE787="","",Notes!CE787)</f>
        <v/>
      </c>
      <c r="H791" s="7" t="str">
        <f>IF(Notes!CF787="","",Notes!CF787)</f>
        <v/>
      </c>
      <c r="I791" s="7"/>
      <c r="J791" s="7"/>
      <c r="K791" s="7"/>
    </row>
    <row r="792" spans="1:11" x14ac:dyDescent="0.35">
      <c r="A792" s="7" t="str">
        <f>IF(Notes!BY788="","",Notes!BY788)</f>
        <v/>
      </c>
      <c r="B792" s="7" t="str">
        <f>IF(Notes!BZ788="","",Notes!BZ788)</f>
        <v/>
      </c>
      <c r="C792" s="7" t="str">
        <f>IF(Notes!CA788="","",Notes!CA788)</f>
        <v/>
      </c>
      <c r="D792" s="7" t="str">
        <f>IF(Notes!CB788="","",Notes!CB788)</f>
        <v/>
      </c>
      <c r="E792" s="7" t="str">
        <f>IF(Notes!CC788="","",Notes!CC788)</f>
        <v/>
      </c>
      <c r="F792" s="7" t="str">
        <f>IF(Notes!CD788="","",Notes!CD788)</f>
        <v/>
      </c>
      <c r="G792" s="7" t="str">
        <f>IF(Notes!CE788="","",Notes!CE788)</f>
        <v/>
      </c>
      <c r="H792" s="7" t="str">
        <f>IF(Notes!CF788="","",Notes!CF788)</f>
        <v/>
      </c>
      <c r="I792" s="7"/>
      <c r="J792" s="7"/>
      <c r="K792" s="7"/>
    </row>
    <row r="793" spans="1:11" x14ac:dyDescent="0.35">
      <c r="A793" s="7" t="str">
        <f>IF(Notes!BY789="","",Notes!BY789)</f>
        <v/>
      </c>
      <c r="B793" s="7" t="str">
        <f>IF(Notes!BZ789="","",Notes!BZ789)</f>
        <v/>
      </c>
      <c r="C793" s="7" t="str">
        <f>IF(Notes!CA789="","",Notes!CA789)</f>
        <v/>
      </c>
      <c r="D793" s="7" t="str">
        <f>IF(Notes!CB789="","",Notes!CB789)</f>
        <v/>
      </c>
      <c r="E793" s="7" t="str">
        <f>IF(Notes!CC789="","",Notes!CC789)</f>
        <v/>
      </c>
      <c r="F793" s="7" t="str">
        <f>IF(Notes!CD789="","",Notes!CD789)</f>
        <v/>
      </c>
      <c r="G793" s="7" t="str">
        <f>IF(Notes!CE789="","",Notes!CE789)</f>
        <v/>
      </c>
      <c r="H793" s="7" t="str">
        <f>IF(Notes!CF789="","",Notes!CF789)</f>
        <v/>
      </c>
      <c r="I793" s="7"/>
      <c r="J793" s="7"/>
      <c r="K793" s="7"/>
    </row>
    <row r="794" spans="1:11" x14ac:dyDescent="0.35">
      <c r="A794" s="7" t="str">
        <f>IF(Notes!BY790="","",Notes!BY790)</f>
        <v/>
      </c>
      <c r="B794" s="7" t="str">
        <f>IF(Notes!BZ790="","",Notes!BZ790)</f>
        <v/>
      </c>
      <c r="C794" s="7" t="str">
        <f>IF(Notes!CA790="","",Notes!CA790)</f>
        <v/>
      </c>
      <c r="D794" s="7" t="str">
        <f>IF(Notes!CB790="","",Notes!CB790)</f>
        <v/>
      </c>
      <c r="E794" s="7" t="str">
        <f>IF(Notes!CC790="","",Notes!CC790)</f>
        <v/>
      </c>
      <c r="F794" s="7" t="str">
        <f>IF(Notes!CD790="","",Notes!CD790)</f>
        <v/>
      </c>
      <c r="G794" s="7" t="str">
        <f>IF(Notes!CE790="","",Notes!CE790)</f>
        <v/>
      </c>
      <c r="H794" s="7" t="str">
        <f>IF(Notes!CF790="","",Notes!CF790)</f>
        <v/>
      </c>
      <c r="I794" s="7"/>
      <c r="J794" s="7"/>
      <c r="K794" s="7"/>
    </row>
    <row r="795" spans="1:11" x14ac:dyDescent="0.35">
      <c r="A795" s="7" t="str">
        <f>IF(Notes!BY791="","",Notes!BY791)</f>
        <v/>
      </c>
      <c r="B795" s="7" t="str">
        <f>IF(Notes!BZ791="","",Notes!BZ791)</f>
        <v/>
      </c>
      <c r="C795" s="7" t="str">
        <f>IF(Notes!CA791="","",Notes!CA791)</f>
        <v/>
      </c>
      <c r="D795" s="7" t="str">
        <f>IF(Notes!CB791="","",Notes!CB791)</f>
        <v/>
      </c>
      <c r="E795" s="7" t="str">
        <f>IF(Notes!CC791="","",Notes!CC791)</f>
        <v/>
      </c>
      <c r="F795" s="7" t="str">
        <f>IF(Notes!CD791="","",Notes!CD791)</f>
        <v/>
      </c>
      <c r="G795" s="7" t="str">
        <f>IF(Notes!CE791="","",Notes!CE791)</f>
        <v/>
      </c>
      <c r="H795" s="7" t="str">
        <f>IF(Notes!CF791="","",Notes!CF791)</f>
        <v/>
      </c>
      <c r="I795" s="7"/>
      <c r="J795" s="7"/>
      <c r="K795" s="7"/>
    </row>
    <row r="796" spans="1:11" x14ac:dyDescent="0.35">
      <c r="A796" s="7" t="str">
        <f>IF(Notes!BY792="","",Notes!BY792)</f>
        <v/>
      </c>
      <c r="B796" s="7" t="str">
        <f>IF(Notes!BZ792="","",Notes!BZ792)</f>
        <v/>
      </c>
      <c r="C796" s="7" t="str">
        <f>IF(Notes!CA792="","",Notes!CA792)</f>
        <v/>
      </c>
      <c r="D796" s="7" t="str">
        <f>IF(Notes!CB792="","",Notes!CB792)</f>
        <v/>
      </c>
      <c r="E796" s="7" t="str">
        <f>IF(Notes!CC792="","",Notes!CC792)</f>
        <v/>
      </c>
      <c r="F796" s="7" t="str">
        <f>IF(Notes!CD792="","",Notes!CD792)</f>
        <v/>
      </c>
      <c r="G796" s="7" t="str">
        <f>IF(Notes!CE792="","",Notes!CE792)</f>
        <v/>
      </c>
      <c r="H796" s="7" t="str">
        <f>IF(Notes!CF792="","",Notes!CF792)</f>
        <v/>
      </c>
      <c r="I796" s="7"/>
      <c r="J796" s="7"/>
      <c r="K796" s="7"/>
    </row>
    <row r="797" spans="1:11" x14ac:dyDescent="0.35">
      <c r="A797" s="7" t="str">
        <f>IF(Notes!BY793="","",Notes!BY793)</f>
        <v/>
      </c>
      <c r="B797" s="7" t="str">
        <f>IF(Notes!BZ793="","",Notes!BZ793)</f>
        <v/>
      </c>
      <c r="C797" s="7" t="str">
        <f>IF(Notes!CA793="","",Notes!CA793)</f>
        <v/>
      </c>
      <c r="D797" s="7" t="str">
        <f>IF(Notes!CB793="","",Notes!CB793)</f>
        <v/>
      </c>
      <c r="E797" s="7" t="str">
        <f>IF(Notes!CC793="","",Notes!CC793)</f>
        <v/>
      </c>
      <c r="F797" s="7" t="str">
        <f>IF(Notes!CD793="","",Notes!CD793)</f>
        <v/>
      </c>
      <c r="G797" s="7" t="str">
        <f>IF(Notes!CE793="","",Notes!CE793)</f>
        <v/>
      </c>
      <c r="H797" s="7" t="str">
        <f>IF(Notes!CF793="","",Notes!CF793)</f>
        <v/>
      </c>
      <c r="I797" s="7"/>
      <c r="J797" s="7"/>
      <c r="K797" s="7"/>
    </row>
    <row r="798" spans="1:11" x14ac:dyDescent="0.35">
      <c r="A798" s="7" t="str">
        <f>IF(Notes!BY794="","",Notes!BY794)</f>
        <v/>
      </c>
      <c r="B798" s="7" t="str">
        <f>IF(Notes!BZ794="","",Notes!BZ794)</f>
        <v/>
      </c>
      <c r="C798" s="7" t="str">
        <f>IF(Notes!CA794="","",Notes!CA794)</f>
        <v/>
      </c>
      <c r="D798" s="7" t="str">
        <f>IF(Notes!CB794="","",Notes!CB794)</f>
        <v/>
      </c>
      <c r="E798" s="7" t="str">
        <f>IF(Notes!CC794="","",Notes!CC794)</f>
        <v/>
      </c>
      <c r="F798" s="7" t="str">
        <f>IF(Notes!CD794="","",Notes!CD794)</f>
        <v/>
      </c>
      <c r="G798" s="7" t="str">
        <f>IF(Notes!CE794="","",Notes!CE794)</f>
        <v/>
      </c>
      <c r="H798" s="7" t="str">
        <f>IF(Notes!CF794="","",Notes!CF794)</f>
        <v/>
      </c>
      <c r="I798" s="7"/>
      <c r="J798" s="7"/>
      <c r="K798" s="7"/>
    </row>
    <row r="799" spans="1:11" x14ac:dyDescent="0.35">
      <c r="A799" s="7" t="str">
        <f>IF(Notes!BY795="","",Notes!BY795)</f>
        <v/>
      </c>
      <c r="B799" s="7" t="str">
        <f>IF(Notes!BZ795="","",Notes!BZ795)</f>
        <v/>
      </c>
      <c r="C799" s="7" t="str">
        <f>IF(Notes!CA795="","",Notes!CA795)</f>
        <v/>
      </c>
      <c r="D799" s="7" t="str">
        <f>IF(Notes!CB795="","",Notes!CB795)</f>
        <v/>
      </c>
      <c r="E799" s="7" t="str">
        <f>IF(Notes!CC795="","",Notes!CC795)</f>
        <v/>
      </c>
      <c r="F799" s="7" t="str">
        <f>IF(Notes!CD795="","",Notes!CD795)</f>
        <v/>
      </c>
      <c r="G799" s="7" t="str">
        <f>IF(Notes!CE795="","",Notes!CE795)</f>
        <v/>
      </c>
      <c r="H799" s="7" t="str">
        <f>IF(Notes!CF795="","",Notes!CF795)</f>
        <v/>
      </c>
      <c r="I799" s="7"/>
      <c r="J799" s="7"/>
      <c r="K799" s="7"/>
    </row>
    <row r="800" spans="1:11" x14ac:dyDescent="0.35">
      <c r="A800" s="7" t="str">
        <f>IF(Notes!BY796="","",Notes!BY796)</f>
        <v/>
      </c>
      <c r="B800" s="7" t="str">
        <f>IF(Notes!BZ796="","",Notes!BZ796)</f>
        <v/>
      </c>
      <c r="C800" s="7" t="str">
        <f>IF(Notes!CA796="","",Notes!CA796)</f>
        <v/>
      </c>
      <c r="D800" s="7" t="str">
        <f>IF(Notes!CB796="","",Notes!CB796)</f>
        <v/>
      </c>
      <c r="E800" s="7" t="str">
        <f>IF(Notes!CC796="","",Notes!CC796)</f>
        <v/>
      </c>
      <c r="F800" s="7" t="str">
        <f>IF(Notes!CD796="","",Notes!CD796)</f>
        <v/>
      </c>
      <c r="G800" s="7" t="str">
        <f>IF(Notes!CE796="","",Notes!CE796)</f>
        <v/>
      </c>
      <c r="H800" s="7" t="str">
        <f>IF(Notes!CF796="","",Notes!CF796)</f>
        <v/>
      </c>
      <c r="I800" s="7"/>
      <c r="J800" s="7"/>
      <c r="K800" s="7"/>
    </row>
    <row r="801" spans="1:11" x14ac:dyDescent="0.35">
      <c r="A801" s="7" t="str">
        <f>IF(Notes!BY797="","",Notes!BY797)</f>
        <v/>
      </c>
      <c r="B801" s="7" t="str">
        <f>IF(Notes!BZ797="","",Notes!BZ797)</f>
        <v/>
      </c>
      <c r="C801" s="7" t="str">
        <f>IF(Notes!CA797="","",Notes!CA797)</f>
        <v/>
      </c>
      <c r="D801" s="7" t="str">
        <f>IF(Notes!CB797="","",Notes!CB797)</f>
        <v/>
      </c>
      <c r="E801" s="7" t="str">
        <f>IF(Notes!CC797="","",Notes!CC797)</f>
        <v/>
      </c>
      <c r="F801" s="7" t="str">
        <f>IF(Notes!CD797="","",Notes!CD797)</f>
        <v/>
      </c>
      <c r="G801" s="7" t="str">
        <f>IF(Notes!CE797="","",Notes!CE797)</f>
        <v/>
      </c>
      <c r="H801" s="7" t="str">
        <f>IF(Notes!CF797="","",Notes!CF797)</f>
        <v/>
      </c>
      <c r="I801" s="7"/>
      <c r="J801" s="7"/>
      <c r="K801" s="7"/>
    </row>
    <row r="802" spans="1:11" x14ac:dyDescent="0.35">
      <c r="A802" s="7" t="str">
        <f>IF(Notes!BY798="","",Notes!BY798)</f>
        <v/>
      </c>
      <c r="B802" s="7" t="str">
        <f>IF(Notes!BZ798="","",Notes!BZ798)</f>
        <v/>
      </c>
      <c r="C802" s="7" t="str">
        <f>IF(Notes!CA798="","",Notes!CA798)</f>
        <v/>
      </c>
      <c r="D802" s="7" t="str">
        <f>IF(Notes!CB798="","",Notes!CB798)</f>
        <v/>
      </c>
      <c r="E802" s="7" t="str">
        <f>IF(Notes!CC798="","",Notes!CC798)</f>
        <v/>
      </c>
      <c r="F802" s="7" t="str">
        <f>IF(Notes!CD798="","",Notes!CD798)</f>
        <v/>
      </c>
      <c r="G802" s="7" t="str">
        <f>IF(Notes!CE798="","",Notes!CE798)</f>
        <v/>
      </c>
      <c r="H802" s="7" t="str">
        <f>IF(Notes!CF798="","",Notes!CF798)</f>
        <v/>
      </c>
      <c r="I802" s="7"/>
      <c r="J802" s="7"/>
      <c r="K802" s="7"/>
    </row>
    <row r="803" spans="1:11" x14ac:dyDescent="0.35">
      <c r="A803" s="7" t="str">
        <f>IF(Notes!BY799="","",Notes!BY799)</f>
        <v/>
      </c>
      <c r="B803" s="7" t="str">
        <f>IF(Notes!BZ799="","",Notes!BZ799)</f>
        <v/>
      </c>
      <c r="C803" s="7" t="str">
        <f>IF(Notes!CA799="","",Notes!CA799)</f>
        <v/>
      </c>
      <c r="D803" s="7" t="str">
        <f>IF(Notes!CB799="","",Notes!CB799)</f>
        <v/>
      </c>
      <c r="E803" s="7" t="str">
        <f>IF(Notes!CC799="","",Notes!CC799)</f>
        <v/>
      </c>
      <c r="F803" s="7" t="str">
        <f>IF(Notes!CD799="","",Notes!CD799)</f>
        <v/>
      </c>
      <c r="G803" s="7" t="str">
        <f>IF(Notes!CE799="","",Notes!CE799)</f>
        <v/>
      </c>
      <c r="H803" s="7" t="str">
        <f>IF(Notes!CF799="","",Notes!CF799)</f>
        <v/>
      </c>
      <c r="I803" s="7"/>
      <c r="J803" s="7"/>
      <c r="K803" s="7"/>
    </row>
    <row r="804" spans="1:11" x14ac:dyDescent="0.35">
      <c r="A804" s="7" t="str">
        <f>IF(Notes!BY800="","",Notes!BY800)</f>
        <v/>
      </c>
      <c r="B804" s="7" t="str">
        <f>IF(Notes!BZ800="","",Notes!BZ800)</f>
        <v/>
      </c>
      <c r="C804" s="7" t="str">
        <f>IF(Notes!CA800="","",Notes!CA800)</f>
        <v/>
      </c>
      <c r="D804" s="7" t="str">
        <f>IF(Notes!CB800="","",Notes!CB800)</f>
        <v/>
      </c>
      <c r="E804" s="7" t="str">
        <f>IF(Notes!CC800="","",Notes!CC800)</f>
        <v/>
      </c>
      <c r="F804" s="7" t="str">
        <f>IF(Notes!CD800="","",Notes!CD800)</f>
        <v/>
      </c>
      <c r="G804" s="7" t="str">
        <f>IF(Notes!CE800="","",Notes!CE800)</f>
        <v/>
      </c>
      <c r="H804" s="7" t="str">
        <f>IF(Notes!CF800="","",Notes!CF800)</f>
        <v/>
      </c>
      <c r="I804" s="7"/>
      <c r="J804" s="7"/>
      <c r="K804" s="7"/>
    </row>
    <row r="805" spans="1:11" x14ac:dyDescent="0.35">
      <c r="A805" s="7" t="str">
        <f>IF(Notes!BY801="","",Notes!BY801)</f>
        <v/>
      </c>
      <c r="B805" s="7" t="str">
        <f>IF(Notes!BZ801="","",Notes!BZ801)</f>
        <v/>
      </c>
      <c r="C805" s="7" t="str">
        <f>IF(Notes!CA801="","",Notes!CA801)</f>
        <v/>
      </c>
      <c r="D805" s="7" t="str">
        <f>IF(Notes!CB801="","",Notes!CB801)</f>
        <v/>
      </c>
      <c r="E805" s="7" t="str">
        <f>IF(Notes!CC801="","",Notes!CC801)</f>
        <v/>
      </c>
      <c r="F805" s="7" t="str">
        <f>IF(Notes!CD801="","",Notes!CD801)</f>
        <v/>
      </c>
      <c r="G805" s="7" t="str">
        <f>IF(Notes!CE801="","",Notes!CE801)</f>
        <v/>
      </c>
      <c r="H805" s="7" t="str">
        <f>IF(Notes!CF801="","",Notes!CF801)</f>
        <v/>
      </c>
      <c r="I805" s="7"/>
      <c r="J805" s="7"/>
      <c r="K805" s="7"/>
    </row>
    <row r="806" spans="1:11" x14ac:dyDescent="0.35">
      <c r="A806" s="7" t="str">
        <f>IF(Notes!BY802="","",Notes!BY802)</f>
        <v/>
      </c>
      <c r="B806" s="7" t="str">
        <f>IF(Notes!BZ802="","",Notes!BZ802)</f>
        <v/>
      </c>
      <c r="C806" s="7" t="str">
        <f>IF(Notes!CA802="","",Notes!CA802)</f>
        <v/>
      </c>
      <c r="D806" s="7" t="str">
        <f>IF(Notes!CB802="","",Notes!CB802)</f>
        <v/>
      </c>
      <c r="E806" s="7" t="str">
        <f>IF(Notes!CC802="","",Notes!CC802)</f>
        <v/>
      </c>
      <c r="F806" s="7" t="str">
        <f>IF(Notes!CD802="","",Notes!CD802)</f>
        <v/>
      </c>
      <c r="G806" s="7" t="str">
        <f>IF(Notes!CE802="","",Notes!CE802)</f>
        <v/>
      </c>
      <c r="H806" s="7" t="str">
        <f>IF(Notes!CF802="","",Notes!CF802)</f>
        <v/>
      </c>
      <c r="I806" s="7"/>
      <c r="J806" s="7"/>
      <c r="K806" s="7"/>
    </row>
    <row r="807" spans="1:11" x14ac:dyDescent="0.35">
      <c r="A807" s="7" t="str">
        <f>IF(Notes!BY803="","",Notes!BY803)</f>
        <v/>
      </c>
      <c r="B807" s="7" t="str">
        <f>IF(Notes!BZ803="","",Notes!BZ803)</f>
        <v/>
      </c>
      <c r="C807" s="7" t="str">
        <f>IF(Notes!CA803="","",Notes!CA803)</f>
        <v/>
      </c>
      <c r="D807" s="7" t="str">
        <f>IF(Notes!CB803="","",Notes!CB803)</f>
        <v/>
      </c>
      <c r="E807" s="7" t="str">
        <f>IF(Notes!CC803="","",Notes!CC803)</f>
        <v/>
      </c>
      <c r="F807" s="7" t="str">
        <f>IF(Notes!CD803="","",Notes!CD803)</f>
        <v/>
      </c>
      <c r="G807" s="7" t="str">
        <f>IF(Notes!CE803="","",Notes!CE803)</f>
        <v/>
      </c>
      <c r="H807" s="7" t="str">
        <f>IF(Notes!CF803="","",Notes!CF803)</f>
        <v/>
      </c>
      <c r="I807" s="7"/>
      <c r="J807" s="7"/>
      <c r="K807" s="7"/>
    </row>
    <row r="808" spans="1:11" x14ac:dyDescent="0.35">
      <c r="A808" s="7" t="str">
        <f>IF(Notes!BY804="","",Notes!BY804)</f>
        <v/>
      </c>
      <c r="B808" s="7" t="str">
        <f>IF(Notes!BZ804="","",Notes!BZ804)</f>
        <v/>
      </c>
      <c r="C808" s="7" t="str">
        <f>IF(Notes!CA804="","",Notes!CA804)</f>
        <v/>
      </c>
      <c r="D808" s="7" t="str">
        <f>IF(Notes!CB804="","",Notes!CB804)</f>
        <v/>
      </c>
      <c r="E808" s="7" t="str">
        <f>IF(Notes!CC804="","",Notes!CC804)</f>
        <v/>
      </c>
      <c r="F808" s="7" t="str">
        <f>IF(Notes!CD804="","",Notes!CD804)</f>
        <v/>
      </c>
      <c r="G808" s="7" t="str">
        <f>IF(Notes!CE804="","",Notes!CE804)</f>
        <v/>
      </c>
      <c r="H808" s="7" t="str">
        <f>IF(Notes!CF804="","",Notes!CF804)</f>
        <v/>
      </c>
      <c r="I808" s="7"/>
      <c r="J808" s="7"/>
      <c r="K808" s="7"/>
    </row>
    <row r="809" spans="1:11" x14ac:dyDescent="0.35">
      <c r="A809" s="7" t="str">
        <f>IF(Notes!BY805="","",Notes!BY805)</f>
        <v/>
      </c>
      <c r="B809" s="7" t="str">
        <f>IF(Notes!BZ805="","",Notes!BZ805)</f>
        <v/>
      </c>
      <c r="C809" s="7" t="str">
        <f>IF(Notes!CA805="","",Notes!CA805)</f>
        <v/>
      </c>
      <c r="D809" s="7" t="str">
        <f>IF(Notes!CB805="","",Notes!CB805)</f>
        <v/>
      </c>
      <c r="E809" s="7" t="str">
        <f>IF(Notes!CC805="","",Notes!CC805)</f>
        <v/>
      </c>
      <c r="F809" s="7" t="str">
        <f>IF(Notes!CD805="","",Notes!CD805)</f>
        <v/>
      </c>
      <c r="G809" s="7" t="str">
        <f>IF(Notes!CE805="","",Notes!CE805)</f>
        <v/>
      </c>
      <c r="H809" s="7" t="str">
        <f>IF(Notes!CF805="","",Notes!CF805)</f>
        <v/>
      </c>
      <c r="I809" s="7"/>
      <c r="J809" s="7"/>
      <c r="K809" s="7"/>
    </row>
    <row r="810" spans="1:11" x14ac:dyDescent="0.35">
      <c r="A810" s="7" t="str">
        <f>IF(Notes!BY806="","",Notes!BY806)</f>
        <v/>
      </c>
      <c r="B810" s="7" t="str">
        <f>IF(Notes!BZ806="","",Notes!BZ806)</f>
        <v/>
      </c>
      <c r="C810" s="7" t="str">
        <f>IF(Notes!CA806="","",Notes!CA806)</f>
        <v/>
      </c>
      <c r="D810" s="7" t="str">
        <f>IF(Notes!CB806="","",Notes!CB806)</f>
        <v/>
      </c>
      <c r="E810" s="7" t="str">
        <f>IF(Notes!CC806="","",Notes!CC806)</f>
        <v/>
      </c>
      <c r="F810" s="7" t="str">
        <f>IF(Notes!CD806="","",Notes!CD806)</f>
        <v/>
      </c>
      <c r="G810" s="7" t="str">
        <f>IF(Notes!CE806="","",Notes!CE806)</f>
        <v/>
      </c>
      <c r="H810" s="7" t="str">
        <f>IF(Notes!CF806="","",Notes!CF806)</f>
        <v/>
      </c>
      <c r="I810" s="7"/>
      <c r="J810" s="7"/>
      <c r="K810" s="7"/>
    </row>
    <row r="811" spans="1:11" x14ac:dyDescent="0.35">
      <c r="A811" s="7" t="str">
        <f>IF(Notes!BY807="","",Notes!BY807)</f>
        <v/>
      </c>
      <c r="B811" s="7" t="str">
        <f>IF(Notes!BZ807="","",Notes!BZ807)</f>
        <v/>
      </c>
      <c r="C811" s="7" t="str">
        <f>IF(Notes!CA807="","",Notes!CA807)</f>
        <v/>
      </c>
      <c r="D811" s="7" t="str">
        <f>IF(Notes!CB807="","",Notes!CB807)</f>
        <v/>
      </c>
      <c r="E811" s="7" t="str">
        <f>IF(Notes!CC807="","",Notes!CC807)</f>
        <v/>
      </c>
      <c r="F811" s="7" t="str">
        <f>IF(Notes!CD807="","",Notes!CD807)</f>
        <v/>
      </c>
      <c r="G811" s="7" t="str">
        <f>IF(Notes!CE807="","",Notes!CE807)</f>
        <v/>
      </c>
      <c r="H811" s="7" t="str">
        <f>IF(Notes!CF807="","",Notes!CF807)</f>
        <v/>
      </c>
      <c r="I811" s="7"/>
      <c r="J811" s="7"/>
      <c r="K811" s="7"/>
    </row>
    <row r="812" spans="1:11" x14ac:dyDescent="0.35">
      <c r="A812" s="7" t="str">
        <f>IF(Notes!BY808="","",Notes!BY808)</f>
        <v/>
      </c>
      <c r="B812" s="7" t="str">
        <f>IF(Notes!BZ808="","",Notes!BZ808)</f>
        <v/>
      </c>
      <c r="C812" s="7" t="str">
        <f>IF(Notes!CA808="","",Notes!CA808)</f>
        <v/>
      </c>
      <c r="D812" s="7" t="str">
        <f>IF(Notes!CB808="","",Notes!CB808)</f>
        <v/>
      </c>
      <c r="E812" s="7" t="str">
        <f>IF(Notes!CC808="","",Notes!CC808)</f>
        <v/>
      </c>
      <c r="F812" s="7" t="str">
        <f>IF(Notes!CD808="","",Notes!CD808)</f>
        <v/>
      </c>
      <c r="G812" s="7" t="str">
        <f>IF(Notes!CE808="","",Notes!CE808)</f>
        <v/>
      </c>
      <c r="H812" s="7" t="str">
        <f>IF(Notes!CF808="","",Notes!CF808)</f>
        <v/>
      </c>
      <c r="I812" s="7"/>
      <c r="J812" s="7"/>
      <c r="K812" s="7"/>
    </row>
    <row r="813" spans="1:11" x14ac:dyDescent="0.35">
      <c r="A813" s="7" t="str">
        <f>IF(Notes!BY809="","",Notes!BY809)</f>
        <v/>
      </c>
      <c r="B813" s="7" t="str">
        <f>IF(Notes!BZ809="","",Notes!BZ809)</f>
        <v/>
      </c>
      <c r="C813" s="7" t="str">
        <f>IF(Notes!CA809="","",Notes!CA809)</f>
        <v/>
      </c>
      <c r="D813" s="7" t="str">
        <f>IF(Notes!CB809="","",Notes!CB809)</f>
        <v/>
      </c>
      <c r="E813" s="7" t="str">
        <f>IF(Notes!CC809="","",Notes!CC809)</f>
        <v/>
      </c>
      <c r="F813" s="7" t="str">
        <f>IF(Notes!CD809="","",Notes!CD809)</f>
        <v/>
      </c>
      <c r="G813" s="7" t="str">
        <f>IF(Notes!CE809="","",Notes!CE809)</f>
        <v/>
      </c>
      <c r="H813" s="7" t="str">
        <f>IF(Notes!CF809="","",Notes!CF809)</f>
        <v/>
      </c>
      <c r="I813" s="7"/>
      <c r="J813" s="7"/>
      <c r="K813" s="7"/>
    </row>
    <row r="814" spans="1:11" x14ac:dyDescent="0.35">
      <c r="A814" s="7" t="str">
        <f>IF(Notes!BY810="","",Notes!BY810)</f>
        <v/>
      </c>
      <c r="B814" s="7" t="str">
        <f>IF(Notes!BZ810="","",Notes!BZ810)</f>
        <v/>
      </c>
      <c r="C814" s="7" t="str">
        <f>IF(Notes!CA810="","",Notes!CA810)</f>
        <v/>
      </c>
      <c r="D814" s="7" t="str">
        <f>IF(Notes!CB810="","",Notes!CB810)</f>
        <v/>
      </c>
      <c r="E814" s="7" t="str">
        <f>IF(Notes!CC810="","",Notes!CC810)</f>
        <v/>
      </c>
      <c r="F814" s="7" t="str">
        <f>IF(Notes!CD810="","",Notes!CD810)</f>
        <v/>
      </c>
      <c r="G814" s="7" t="str">
        <f>IF(Notes!CE810="","",Notes!CE810)</f>
        <v/>
      </c>
      <c r="H814" s="7" t="str">
        <f>IF(Notes!CF810="","",Notes!CF810)</f>
        <v/>
      </c>
      <c r="I814" s="7"/>
      <c r="J814" s="7"/>
      <c r="K814" s="7"/>
    </row>
    <row r="815" spans="1:11" x14ac:dyDescent="0.35">
      <c r="A815" s="7" t="str">
        <f>IF(Notes!BY811="","",Notes!BY811)</f>
        <v/>
      </c>
      <c r="B815" s="7" t="str">
        <f>IF(Notes!BZ811="","",Notes!BZ811)</f>
        <v/>
      </c>
      <c r="C815" s="7" t="str">
        <f>IF(Notes!CA811="","",Notes!CA811)</f>
        <v/>
      </c>
      <c r="D815" s="7" t="str">
        <f>IF(Notes!CB811="","",Notes!CB811)</f>
        <v/>
      </c>
      <c r="E815" s="7" t="str">
        <f>IF(Notes!CC811="","",Notes!CC811)</f>
        <v/>
      </c>
      <c r="F815" s="7" t="str">
        <f>IF(Notes!CD811="","",Notes!CD811)</f>
        <v/>
      </c>
      <c r="G815" s="7" t="str">
        <f>IF(Notes!CE811="","",Notes!CE811)</f>
        <v/>
      </c>
      <c r="H815" s="7" t="str">
        <f>IF(Notes!CF811="","",Notes!CF811)</f>
        <v/>
      </c>
      <c r="I815" s="7"/>
      <c r="J815" s="7"/>
      <c r="K815" s="7"/>
    </row>
    <row r="816" spans="1:11" x14ac:dyDescent="0.35">
      <c r="A816" s="7" t="str">
        <f>IF(Notes!BY812="","",Notes!BY812)</f>
        <v/>
      </c>
      <c r="B816" s="7" t="str">
        <f>IF(Notes!BZ812="","",Notes!BZ812)</f>
        <v/>
      </c>
      <c r="C816" s="7" t="str">
        <f>IF(Notes!CA812="","",Notes!CA812)</f>
        <v/>
      </c>
      <c r="D816" s="7" t="str">
        <f>IF(Notes!CB812="","",Notes!CB812)</f>
        <v/>
      </c>
      <c r="E816" s="7" t="str">
        <f>IF(Notes!CC812="","",Notes!CC812)</f>
        <v/>
      </c>
      <c r="F816" s="7" t="str">
        <f>IF(Notes!CD812="","",Notes!CD812)</f>
        <v/>
      </c>
      <c r="G816" s="7" t="str">
        <f>IF(Notes!CE812="","",Notes!CE812)</f>
        <v/>
      </c>
      <c r="H816" s="7" t="str">
        <f>IF(Notes!CF812="","",Notes!CF812)</f>
        <v/>
      </c>
      <c r="I816" s="7"/>
      <c r="J816" s="7"/>
      <c r="K816" s="7"/>
    </row>
    <row r="817" spans="1:11" x14ac:dyDescent="0.35">
      <c r="A817" s="7" t="str">
        <f>IF(Notes!BY813="","",Notes!BY813)</f>
        <v/>
      </c>
      <c r="B817" s="7" t="str">
        <f>IF(Notes!BZ813="","",Notes!BZ813)</f>
        <v/>
      </c>
      <c r="C817" s="7" t="str">
        <f>IF(Notes!CA813="","",Notes!CA813)</f>
        <v/>
      </c>
      <c r="D817" s="7" t="str">
        <f>IF(Notes!CB813="","",Notes!CB813)</f>
        <v/>
      </c>
      <c r="E817" s="7" t="str">
        <f>IF(Notes!CC813="","",Notes!CC813)</f>
        <v/>
      </c>
      <c r="F817" s="7" t="str">
        <f>IF(Notes!CD813="","",Notes!CD813)</f>
        <v/>
      </c>
      <c r="G817" s="7" t="str">
        <f>IF(Notes!CE813="","",Notes!CE813)</f>
        <v/>
      </c>
      <c r="H817" s="7" t="str">
        <f>IF(Notes!CF813="","",Notes!CF813)</f>
        <v/>
      </c>
      <c r="I817" s="7"/>
      <c r="J817" s="7"/>
      <c r="K817" s="7"/>
    </row>
    <row r="818" spans="1:11" x14ac:dyDescent="0.35">
      <c r="A818" s="7" t="str">
        <f>IF(Notes!BY814="","",Notes!BY814)</f>
        <v/>
      </c>
      <c r="B818" s="7" t="str">
        <f>IF(Notes!BZ814="","",Notes!BZ814)</f>
        <v/>
      </c>
      <c r="C818" s="7" t="str">
        <f>IF(Notes!CA814="","",Notes!CA814)</f>
        <v/>
      </c>
      <c r="D818" s="7" t="str">
        <f>IF(Notes!CB814="","",Notes!CB814)</f>
        <v/>
      </c>
      <c r="E818" s="7" t="str">
        <f>IF(Notes!CC814="","",Notes!CC814)</f>
        <v/>
      </c>
      <c r="F818" s="7" t="str">
        <f>IF(Notes!CD814="","",Notes!CD814)</f>
        <v/>
      </c>
      <c r="G818" s="7" t="str">
        <f>IF(Notes!CE814="","",Notes!CE814)</f>
        <v/>
      </c>
      <c r="H818" s="7" t="str">
        <f>IF(Notes!CF814="","",Notes!CF814)</f>
        <v/>
      </c>
      <c r="I818" s="7"/>
      <c r="J818" s="7"/>
      <c r="K818" s="7"/>
    </row>
    <row r="819" spans="1:11" x14ac:dyDescent="0.35">
      <c r="A819" s="7" t="str">
        <f>IF(Notes!BY815="","",Notes!BY815)</f>
        <v/>
      </c>
      <c r="B819" s="7" t="str">
        <f>IF(Notes!BZ815="","",Notes!BZ815)</f>
        <v/>
      </c>
      <c r="C819" s="7" t="str">
        <f>IF(Notes!CA815="","",Notes!CA815)</f>
        <v/>
      </c>
      <c r="D819" s="7" t="str">
        <f>IF(Notes!CB815="","",Notes!CB815)</f>
        <v/>
      </c>
      <c r="E819" s="7" t="str">
        <f>IF(Notes!CC815="","",Notes!CC815)</f>
        <v/>
      </c>
      <c r="F819" s="7" t="str">
        <f>IF(Notes!CD815="","",Notes!CD815)</f>
        <v/>
      </c>
      <c r="G819" s="7" t="str">
        <f>IF(Notes!CE815="","",Notes!CE815)</f>
        <v/>
      </c>
      <c r="H819" s="7" t="str">
        <f>IF(Notes!CF815="","",Notes!CF815)</f>
        <v/>
      </c>
      <c r="I819" s="7"/>
      <c r="J819" s="7"/>
      <c r="K819" s="7"/>
    </row>
    <row r="820" spans="1:11" x14ac:dyDescent="0.35">
      <c r="A820" s="7" t="str">
        <f>IF(Notes!BY816="","",Notes!BY816)</f>
        <v/>
      </c>
      <c r="B820" s="7" t="str">
        <f>IF(Notes!BZ816="","",Notes!BZ816)</f>
        <v/>
      </c>
      <c r="C820" s="7" t="str">
        <f>IF(Notes!CA816="","",Notes!CA816)</f>
        <v/>
      </c>
      <c r="D820" s="7" t="str">
        <f>IF(Notes!CB816="","",Notes!CB816)</f>
        <v/>
      </c>
      <c r="E820" s="7" t="str">
        <f>IF(Notes!CC816="","",Notes!CC816)</f>
        <v/>
      </c>
      <c r="F820" s="7" t="str">
        <f>IF(Notes!CD816="","",Notes!CD816)</f>
        <v/>
      </c>
      <c r="G820" s="7" t="str">
        <f>IF(Notes!CE816="","",Notes!CE816)</f>
        <v/>
      </c>
      <c r="H820" s="7" t="str">
        <f>IF(Notes!CF816="","",Notes!CF816)</f>
        <v/>
      </c>
      <c r="I820" s="7"/>
      <c r="J820" s="7"/>
      <c r="K820" s="7"/>
    </row>
    <row r="821" spans="1:11" x14ac:dyDescent="0.35">
      <c r="A821" s="7" t="str">
        <f>IF(Notes!BY817="","",Notes!BY817)</f>
        <v/>
      </c>
      <c r="B821" s="7" t="str">
        <f>IF(Notes!BZ817="","",Notes!BZ817)</f>
        <v/>
      </c>
      <c r="C821" s="7" t="str">
        <f>IF(Notes!CA817="","",Notes!CA817)</f>
        <v/>
      </c>
      <c r="D821" s="7" t="str">
        <f>IF(Notes!CB817="","",Notes!CB817)</f>
        <v/>
      </c>
      <c r="E821" s="7" t="str">
        <f>IF(Notes!CC817="","",Notes!CC817)</f>
        <v/>
      </c>
      <c r="F821" s="7" t="str">
        <f>IF(Notes!CD817="","",Notes!CD817)</f>
        <v/>
      </c>
      <c r="G821" s="7" t="str">
        <f>IF(Notes!CE817="","",Notes!CE817)</f>
        <v/>
      </c>
      <c r="H821" s="7" t="str">
        <f>IF(Notes!CF817="","",Notes!CF817)</f>
        <v/>
      </c>
      <c r="I821" s="7"/>
      <c r="J821" s="7"/>
      <c r="K821" s="7"/>
    </row>
    <row r="822" spans="1:11" x14ac:dyDescent="0.35">
      <c r="A822" s="7" t="str">
        <f>IF(Notes!BY818="","",Notes!BY818)</f>
        <v/>
      </c>
      <c r="B822" s="7" t="str">
        <f>IF(Notes!BZ818="","",Notes!BZ818)</f>
        <v/>
      </c>
      <c r="C822" s="7" t="str">
        <f>IF(Notes!CA818="","",Notes!CA818)</f>
        <v/>
      </c>
      <c r="D822" s="7" t="str">
        <f>IF(Notes!CB818="","",Notes!CB818)</f>
        <v/>
      </c>
      <c r="E822" s="7" t="str">
        <f>IF(Notes!CC818="","",Notes!CC818)</f>
        <v/>
      </c>
      <c r="F822" s="7" t="str">
        <f>IF(Notes!CD818="","",Notes!CD818)</f>
        <v/>
      </c>
      <c r="G822" s="7" t="str">
        <f>IF(Notes!CE818="","",Notes!CE818)</f>
        <v/>
      </c>
      <c r="H822" s="7" t="str">
        <f>IF(Notes!CF818="","",Notes!CF818)</f>
        <v/>
      </c>
      <c r="I822" s="7"/>
      <c r="J822" s="7"/>
      <c r="K822" s="7"/>
    </row>
    <row r="823" spans="1:11" x14ac:dyDescent="0.35">
      <c r="A823" s="7" t="str">
        <f>IF(Notes!BY819="","",Notes!BY819)</f>
        <v/>
      </c>
      <c r="B823" s="7" t="str">
        <f>IF(Notes!BZ819="","",Notes!BZ819)</f>
        <v/>
      </c>
      <c r="C823" s="7" t="str">
        <f>IF(Notes!CA819="","",Notes!CA819)</f>
        <v/>
      </c>
      <c r="D823" s="7" t="str">
        <f>IF(Notes!CB819="","",Notes!CB819)</f>
        <v/>
      </c>
      <c r="E823" s="7" t="str">
        <f>IF(Notes!CC819="","",Notes!CC819)</f>
        <v/>
      </c>
      <c r="F823" s="7" t="str">
        <f>IF(Notes!CD819="","",Notes!CD819)</f>
        <v/>
      </c>
      <c r="G823" s="7" t="str">
        <f>IF(Notes!CE819="","",Notes!CE819)</f>
        <v/>
      </c>
      <c r="H823" s="7" t="str">
        <f>IF(Notes!CF819="","",Notes!CF819)</f>
        <v/>
      </c>
      <c r="I823" s="7"/>
      <c r="J823" s="7"/>
      <c r="K823" s="7"/>
    </row>
    <row r="824" spans="1:11" x14ac:dyDescent="0.35">
      <c r="A824" s="7" t="str">
        <f>IF(Notes!BY820="","",Notes!BY820)</f>
        <v/>
      </c>
      <c r="B824" s="7" t="str">
        <f>IF(Notes!BZ820="","",Notes!BZ820)</f>
        <v/>
      </c>
      <c r="C824" s="7" t="str">
        <f>IF(Notes!CA820="","",Notes!CA820)</f>
        <v/>
      </c>
      <c r="D824" s="7" t="str">
        <f>IF(Notes!CB820="","",Notes!CB820)</f>
        <v/>
      </c>
      <c r="E824" s="7" t="str">
        <f>IF(Notes!CC820="","",Notes!CC820)</f>
        <v/>
      </c>
      <c r="F824" s="7" t="str">
        <f>IF(Notes!CD820="","",Notes!CD820)</f>
        <v/>
      </c>
      <c r="G824" s="7" t="str">
        <f>IF(Notes!CE820="","",Notes!CE820)</f>
        <v/>
      </c>
      <c r="H824" s="7" t="str">
        <f>IF(Notes!CF820="","",Notes!CF820)</f>
        <v/>
      </c>
      <c r="I824" s="7"/>
      <c r="J824" s="7"/>
      <c r="K824" s="7"/>
    </row>
    <row r="825" spans="1:11" x14ac:dyDescent="0.35">
      <c r="A825" s="7" t="str">
        <f>IF(Notes!BY821="","",Notes!BY821)</f>
        <v/>
      </c>
      <c r="B825" s="7" t="str">
        <f>IF(Notes!BZ821="","",Notes!BZ821)</f>
        <v/>
      </c>
      <c r="C825" s="7" t="str">
        <f>IF(Notes!CA821="","",Notes!CA821)</f>
        <v/>
      </c>
      <c r="D825" s="7" t="str">
        <f>IF(Notes!CB821="","",Notes!CB821)</f>
        <v/>
      </c>
      <c r="E825" s="7" t="str">
        <f>IF(Notes!CC821="","",Notes!CC821)</f>
        <v/>
      </c>
      <c r="F825" s="7" t="str">
        <f>IF(Notes!CD821="","",Notes!CD821)</f>
        <v/>
      </c>
      <c r="G825" s="7" t="str">
        <f>IF(Notes!CE821="","",Notes!CE821)</f>
        <v/>
      </c>
      <c r="H825" s="7" t="str">
        <f>IF(Notes!CF821="","",Notes!CF821)</f>
        <v/>
      </c>
      <c r="I825" s="7"/>
      <c r="J825" s="7"/>
      <c r="K825" s="7"/>
    </row>
    <row r="826" spans="1:11" x14ac:dyDescent="0.35">
      <c r="A826" s="7" t="str">
        <f>IF(Notes!BY822="","",Notes!BY822)</f>
        <v/>
      </c>
      <c r="B826" s="7" t="str">
        <f>IF(Notes!BZ822="","",Notes!BZ822)</f>
        <v/>
      </c>
      <c r="C826" s="7" t="str">
        <f>IF(Notes!CA822="","",Notes!CA822)</f>
        <v/>
      </c>
      <c r="D826" s="7" t="str">
        <f>IF(Notes!CB822="","",Notes!CB822)</f>
        <v/>
      </c>
      <c r="E826" s="7" t="str">
        <f>IF(Notes!CC822="","",Notes!CC822)</f>
        <v/>
      </c>
      <c r="F826" s="7" t="str">
        <f>IF(Notes!CD822="","",Notes!CD822)</f>
        <v/>
      </c>
      <c r="G826" s="7" t="str">
        <f>IF(Notes!CE822="","",Notes!CE822)</f>
        <v/>
      </c>
      <c r="H826" s="7" t="str">
        <f>IF(Notes!CF822="","",Notes!CF822)</f>
        <v/>
      </c>
      <c r="I826" s="7"/>
      <c r="J826" s="7"/>
      <c r="K826" s="7"/>
    </row>
    <row r="827" spans="1:11" x14ac:dyDescent="0.35">
      <c r="A827" s="7" t="str">
        <f>IF(Notes!BY823="","",Notes!BY823)</f>
        <v/>
      </c>
      <c r="B827" s="7" t="str">
        <f>IF(Notes!BZ823="","",Notes!BZ823)</f>
        <v/>
      </c>
      <c r="C827" s="7" t="str">
        <f>IF(Notes!CA823="","",Notes!CA823)</f>
        <v/>
      </c>
      <c r="D827" s="7" t="str">
        <f>IF(Notes!CB823="","",Notes!CB823)</f>
        <v/>
      </c>
      <c r="E827" s="7" t="str">
        <f>IF(Notes!CC823="","",Notes!CC823)</f>
        <v/>
      </c>
      <c r="F827" s="7" t="str">
        <f>IF(Notes!CD823="","",Notes!CD823)</f>
        <v/>
      </c>
      <c r="G827" s="7" t="str">
        <f>IF(Notes!CE823="","",Notes!CE823)</f>
        <v/>
      </c>
      <c r="H827" s="7" t="str">
        <f>IF(Notes!CF823="","",Notes!CF823)</f>
        <v/>
      </c>
      <c r="I827" s="7"/>
      <c r="J827" s="7"/>
      <c r="K827" s="7"/>
    </row>
    <row r="828" spans="1:11" x14ac:dyDescent="0.35">
      <c r="A828" s="7" t="str">
        <f>IF(Notes!BY824="","",Notes!BY824)</f>
        <v/>
      </c>
      <c r="B828" s="7" t="str">
        <f>IF(Notes!BZ824="","",Notes!BZ824)</f>
        <v/>
      </c>
      <c r="C828" s="7" t="str">
        <f>IF(Notes!CA824="","",Notes!CA824)</f>
        <v/>
      </c>
      <c r="D828" s="7" t="str">
        <f>IF(Notes!CB824="","",Notes!CB824)</f>
        <v/>
      </c>
      <c r="E828" s="7" t="str">
        <f>IF(Notes!CC824="","",Notes!CC824)</f>
        <v/>
      </c>
      <c r="F828" s="7" t="str">
        <f>IF(Notes!CD824="","",Notes!CD824)</f>
        <v/>
      </c>
      <c r="G828" s="7" t="str">
        <f>IF(Notes!CE824="","",Notes!CE824)</f>
        <v/>
      </c>
      <c r="H828" s="7" t="str">
        <f>IF(Notes!CF824="","",Notes!CF824)</f>
        <v/>
      </c>
      <c r="I828" s="7"/>
      <c r="J828" s="7"/>
      <c r="K828" s="7"/>
    </row>
    <row r="829" spans="1:11" x14ac:dyDescent="0.35">
      <c r="A829" s="7" t="str">
        <f>IF(Notes!BY825="","",Notes!BY825)</f>
        <v/>
      </c>
      <c r="B829" s="7" t="str">
        <f>IF(Notes!BZ825="","",Notes!BZ825)</f>
        <v/>
      </c>
      <c r="C829" s="7" t="str">
        <f>IF(Notes!CA825="","",Notes!CA825)</f>
        <v/>
      </c>
      <c r="D829" s="7" t="str">
        <f>IF(Notes!CB825="","",Notes!CB825)</f>
        <v/>
      </c>
      <c r="E829" s="7" t="str">
        <f>IF(Notes!CC825="","",Notes!CC825)</f>
        <v/>
      </c>
      <c r="F829" s="7" t="str">
        <f>IF(Notes!CD825="","",Notes!CD825)</f>
        <v/>
      </c>
      <c r="G829" s="7" t="str">
        <f>IF(Notes!CE825="","",Notes!CE825)</f>
        <v/>
      </c>
      <c r="H829" s="7" t="str">
        <f>IF(Notes!CF825="","",Notes!CF825)</f>
        <v/>
      </c>
      <c r="I829" s="7"/>
      <c r="J829" s="7"/>
      <c r="K829" s="7"/>
    </row>
    <row r="830" spans="1:11" x14ac:dyDescent="0.35">
      <c r="A830" s="7" t="str">
        <f>IF(Notes!BY826="","",Notes!BY826)</f>
        <v/>
      </c>
      <c r="B830" s="7" t="str">
        <f>IF(Notes!BZ826="","",Notes!BZ826)</f>
        <v/>
      </c>
      <c r="C830" s="7" t="str">
        <f>IF(Notes!CA826="","",Notes!CA826)</f>
        <v/>
      </c>
      <c r="D830" s="7" t="str">
        <f>IF(Notes!CB826="","",Notes!CB826)</f>
        <v/>
      </c>
      <c r="E830" s="7" t="str">
        <f>IF(Notes!CC826="","",Notes!CC826)</f>
        <v/>
      </c>
      <c r="F830" s="7" t="str">
        <f>IF(Notes!CD826="","",Notes!CD826)</f>
        <v/>
      </c>
      <c r="G830" s="7" t="str">
        <f>IF(Notes!CE826="","",Notes!CE826)</f>
        <v/>
      </c>
      <c r="H830" s="7" t="str">
        <f>IF(Notes!CF826="","",Notes!CF826)</f>
        <v/>
      </c>
      <c r="I830" s="7"/>
      <c r="J830" s="7"/>
      <c r="K830" s="7"/>
    </row>
    <row r="831" spans="1:11" x14ac:dyDescent="0.35">
      <c r="A831" s="7" t="str">
        <f>IF(Notes!BY827="","",Notes!BY827)</f>
        <v/>
      </c>
      <c r="B831" s="7" t="str">
        <f>IF(Notes!BZ827="","",Notes!BZ827)</f>
        <v/>
      </c>
      <c r="C831" s="7" t="str">
        <f>IF(Notes!CA827="","",Notes!CA827)</f>
        <v/>
      </c>
      <c r="D831" s="7" t="str">
        <f>IF(Notes!CB827="","",Notes!CB827)</f>
        <v/>
      </c>
      <c r="E831" s="7" t="str">
        <f>IF(Notes!CC827="","",Notes!CC827)</f>
        <v/>
      </c>
      <c r="F831" s="7" t="str">
        <f>IF(Notes!CD827="","",Notes!CD827)</f>
        <v/>
      </c>
      <c r="G831" s="7" t="str">
        <f>IF(Notes!CE827="","",Notes!CE827)</f>
        <v/>
      </c>
      <c r="H831" s="7" t="str">
        <f>IF(Notes!CF827="","",Notes!CF827)</f>
        <v/>
      </c>
      <c r="I831" s="7"/>
      <c r="J831" s="7"/>
      <c r="K831" s="7"/>
    </row>
    <row r="832" spans="1:11" x14ac:dyDescent="0.35">
      <c r="A832" s="7" t="str">
        <f>IF(Notes!BY828="","",Notes!BY828)</f>
        <v/>
      </c>
      <c r="B832" s="7" t="str">
        <f>IF(Notes!BZ828="","",Notes!BZ828)</f>
        <v/>
      </c>
      <c r="C832" s="7" t="str">
        <f>IF(Notes!CA828="","",Notes!CA828)</f>
        <v/>
      </c>
      <c r="D832" s="7" t="str">
        <f>IF(Notes!CB828="","",Notes!CB828)</f>
        <v/>
      </c>
      <c r="E832" s="7" t="str">
        <f>IF(Notes!CC828="","",Notes!CC828)</f>
        <v/>
      </c>
      <c r="F832" s="7" t="str">
        <f>IF(Notes!CD828="","",Notes!CD828)</f>
        <v/>
      </c>
      <c r="G832" s="7" t="str">
        <f>IF(Notes!CE828="","",Notes!CE828)</f>
        <v/>
      </c>
      <c r="H832" s="7" t="str">
        <f>IF(Notes!CF828="","",Notes!CF828)</f>
        <v/>
      </c>
      <c r="I832" s="7"/>
      <c r="J832" s="7"/>
      <c r="K832" s="7"/>
    </row>
    <row r="833" spans="1:11" x14ac:dyDescent="0.35">
      <c r="A833" s="7" t="str">
        <f>IF(Notes!BY829="","",Notes!BY829)</f>
        <v/>
      </c>
      <c r="B833" s="7" t="str">
        <f>IF(Notes!BZ829="","",Notes!BZ829)</f>
        <v/>
      </c>
      <c r="C833" s="7" t="str">
        <f>IF(Notes!CA829="","",Notes!CA829)</f>
        <v/>
      </c>
      <c r="D833" s="7" t="str">
        <f>IF(Notes!CB829="","",Notes!CB829)</f>
        <v/>
      </c>
      <c r="E833" s="7" t="str">
        <f>IF(Notes!CC829="","",Notes!CC829)</f>
        <v/>
      </c>
      <c r="F833" s="7" t="str">
        <f>IF(Notes!CD829="","",Notes!CD829)</f>
        <v/>
      </c>
      <c r="G833" s="7" t="str">
        <f>IF(Notes!CE829="","",Notes!CE829)</f>
        <v/>
      </c>
      <c r="H833" s="7" t="str">
        <f>IF(Notes!CF829="","",Notes!CF829)</f>
        <v/>
      </c>
      <c r="I833" s="7"/>
      <c r="J833" s="7"/>
      <c r="K833" s="7"/>
    </row>
    <row r="834" spans="1:11" x14ac:dyDescent="0.35">
      <c r="A834" s="7" t="str">
        <f>IF(Notes!BY830="","",Notes!BY830)</f>
        <v/>
      </c>
      <c r="B834" s="7" t="str">
        <f>IF(Notes!BZ830="","",Notes!BZ830)</f>
        <v/>
      </c>
      <c r="C834" s="7" t="str">
        <f>IF(Notes!CA830="","",Notes!CA830)</f>
        <v/>
      </c>
      <c r="D834" s="7" t="str">
        <f>IF(Notes!CB830="","",Notes!CB830)</f>
        <v/>
      </c>
      <c r="E834" s="7" t="str">
        <f>IF(Notes!CC830="","",Notes!CC830)</f>
        <v/>
      </c>
      <c r="F834" s="7" t="str">
        <f>IF(Notes!CD830="","",Notes!CD830)</f>
        <v/>
      </c>
      <c r="G834" s="7" t="str">
        <f>IF(Notes!CE830="","",Notes!CE830)</f>
        <v/>
      </c>
      <c r="H834" s="7" t="str">
        <f>IF(Notes!CF830="","",Notes!CF830)</f>
        <v/>
      </c>
      <c r="I834" s="7"/>
      <c r="J834" s="7"/>
      <c r="K834" s="7"/>
    </row>
    <row r="835" spans="1:11" x14ac:dyDescent="0.35">
      <c r="A835" s="7" t="str">
        <f>IF(Notes!BY831="","",Notes!BY831)</f>
        <v/>
      </c>
      <c r="B835" s="7" t="str">
        <f>IF(Notes!BZ831="","",Notes!BZ831)</f>
        <v/>
      </c>
      <c r="C835" s="7" t="str">
        <f>IF(Notes!CA831="","",Notes!CA831)</f>
        <v/>
      </c>
      <c r="D835" s="7" t="str">
        <f>IF(Notes!CB831="","",Notes!CB831)</f>
        <v/>
      </c>
      <c r="E835" s="7" t="str">
        <f>IF(Notes!CC831="","",Notes!CC831)</f>
        <v/>
      </c>
      <c r="F835" s="7" t="str">
        <f>IF(Notes!CD831="","",Notes!CD831)</f>
        <v/>
      </c>
      <c r="G835" s="7" t="str">
        <f>IF(Notes!CE831="","",Notes!CE831)</f>
        <v/>
      </c>
      <c r="H835" s="7" t="str">
        <f>IF(Notes!CF831="","",Notes!CF831)</f>
        <v/>
      </c>
      <c r="I835" s="7"/>
      <c r="J835" s="7"/>
      <c r="K835" s="7"/>
    </row>
    <row r="836" spans="1:11" x14ac:dyDescent="0.35">
      <c r="A836" s="7" t="str">
        <f>IF(Notes!BY832="","",Notes!BY832)</f>
        <v/>
      </c>
      <c r="B836" s="7" t="str">
        <f>IF(Notes!BZ832="","",Notes!BZ832)</f>
        <v/>
      </c>
      <c r="C836" s="7" t="str">
        <f>IF(Notes!CA832="","",Notes!CA832)</f>
        <v/>
      </c>
      <c r="D836" s="7" t="str">
        <f>IF(Notes!CB832="","",Notes!CB832)</f>
        <v/>
      </c>
      <c r="E836" s="7" t="str">
        <f>IF(Notes!CC832="","",Notes!CC832)</f>
        <v/>
      </c>
      <c r="F836" s="7" t="str">
        <f>IF(Notes!CD832="","",Notes!CD832)</f>
        <v/>
      </c>
      <c r="G836" s="7" t="str">
        <f>IF(Notes!CE832="","",Notes!CE832)</f>
        <v/>
      </c>
      <c r="H836" s="7" t="str">
        <f>IF(Notes!CF832="","",Notes!CF832)</f>
        <v/>
      </c>
      <c r="I836" s="7"/>
      <c r="J836" s="7"/>
      <c r="K836" s="7"/>
    </row>
    <row r="837" spans="1:11" x14ac:dyDescent="0.35">
      <c r="A837" s="7" t="str">
        <f>IF(Notes!BY833="","",Notes!BY833)</f>
        <v/>
      </c>
      <c r="B837" s="7" t="str">
        <f>IF(Notes!BZ833="","",Notes!BZ833)</f>
        <v/>
      </c>
      <c r="C837" s="7" t="str">
        <f>IF(Notes!CA833="","",Notes!CA833)</f>
        <v/>
      </c>
      <c r="D837" s="7" t="str">
        <f>IF(Notes!CB833="","",Notes!CB833)</f>
        <v/>
      </c>
      <c r="E837" s="7" t="str">
        <f>IF(Notes!CC833="","",Notes!CC833)</f>
        <v/>
      </c>
      <c r="F837" s="7" t="str">
        <f>IF(Notes!CD833="","",Notes!CD833)</f>
        <v/>
      </c>
      <c r="G837" s="7" t="str">
        <f>IF(Notes!CE833="","",Notes!CE833)</f>
        <v/>
      </c>
      <c r="H837" s="7" t="str">
        <f>IF(Notes!CF833="","",Notes!CF833)</f>
        <v/>
      </c>
      <c r="I837" s="7"/>
      <c r="J837" s="7"/>
      <c r="K837" s="7"/>
    </row>
    <row r="838" spans="1:11" x14ac:dyDescent="0.35">
      <c r="A838" s="7" t="str">
        <f>IF(Notes!BY834="","",Notes!BY834)</f>
        <v/>
      </c>
      <c r="B838" s="7" t="str">
        <f>IF(Notes!BZ834="","",Notes!BZ834)</f>
        <v/>
      </c>
      <c r="C838" s="7" t="str">
        <f>IF(Notes!CA834="","",Notes!CA834)</f>
        <v/>
      </c>
      <c r="D838" s="7" t="str">
        <f>IF(Notes!CB834="","",Notes!CB834)</f>
        <v/>
      </c>
      <c r="E838" s="7" t="str">
        <f>IF(Notes!CC834="","",Notes!CC834)</f>
        <v/>
      </c>
      <c r="F838" s="7" t="str">
        <f>IF(Notes!CD834="","",Notes!CD834)</f>
        <v/>
      </c>
      <c r="G838" s="7" t="str">
        <f>IF(Notes!CE834="","",Notes!CE834)</f>
        <v/>
      </c>
      <c r="H838" s="7" t="str">
        <f>IF(Notes!CF834="","",Notes!CF834)</f>
        <v/>
      </c>
      <c r="I838" s="7"/>
      <c r="J838" s="7"/>
      <c r="K838" s="7"/>
    </row>
    <row r="839" spans="1:11" x14ac:dyDescent="0.35">
      <c r="A839" s="7" t="str">
        <f>IF(Notes!BY835="","",Notes!BY835)</f>
        <v/>
      </c>
      <c r="B839" s="7" t="str">
        <f>IF(Notes!BZ835="","",Notes!BZ835)</f>
        <v/>
      </c>
      <c r="C839" s="7" t="str">
        <f>IF(Notes!CA835="","",Notes!CA835)</f>
        <v/>
      </c>
      <c r="D839" s="7" t="str">
        <f>IF(Notes!CB835="","",Notes!CB835)</f>
        <v/>
      </c>
      <c r="E839" s="7" t="str">
        <f>IF(Notes!CC835="","",Notes!CC835)</f>
        <v/>
      </c>
      <c r="F839" s="7" t="str">
        <f>IF(Notes!CD835="","",Notes!CD835)</f>
        <v/>
      </c>
      <c r="G839" s="7" t="str">
        <f>IF(Notes!CE835="","",Notes!CE835)</f>
        <v/>
      </c>
      <c r="H839" s="7" t="str">
        <f>IF(Notes!CF835="","",Notes!CF835)</f>
        <v/>
      </c>
      <c r="I839" s="7"/>
      <c r="J839" s="7"/>
      <c r="K839" s="7"/>
    </row>
    <row r="840" spans="1:11" x14ac:dyDescent="0.35">
      <c r="A840" s="7" t="str">
        <f>IF(Notes!BY836="","",Notes!BY836)</f>
        <v/>
      </c>
      <c r="B840" s="7" t="str">
        <f>IF(Notes!BZ836="","",Notes!BZ836)</f>
        <v/>
      </c>
      <c r="C840" s="7" t="str">
        <f>IF(Notes!CA836="","",Notes!CA836)</f>
        <v/>
      </c>
      <c r="D840" s="7" t="str">
        <f>IF(Notes!CB836="","",Notes!CB836)</f>
        <v/>
      </c>
      <c r="E840" s="7" t="str">
        <f>IF(Notes!CC836="","",Notes!CC836)</f>
        <v/>
      </c>
      <c r="F840" s="7" t="str">
        <f>IF(Notes!CD836="","",Notes!CD836)</f>
        <v/>
      </c>
      <c r="G840" s="7" t="str">
        <f>IF(Notes!CE836="","",Notes!CE836)</f>
        <v/>
      </c>
      <c r="H840" s="7" t="str">
        <f>IF(Notes!CF836="","",Notes!CF836)</f>
        <v/>
      </c>
      <c r="I840" s="7"/>
      <c r="J840" s="7"/>
      <c r="K840" s="7"/>
    </row>
    <row r="841" spans="1:11" x14ac:dyDescent="0.35">
      <c r="A841" s="7" t="str">
        <f>IF(Notes!BY837="","",Notes!BY837)</f>
        <v/>
      </c>
      <c r="B841" s="7" t="str">
        <f>IF(Notes!BZ837="","",Notes!BZ837)</f>
        <v/>
      </c>
      <c r="C841" s="7" t="str">
        <f>IF(Notes!CA837="","",Notes!CA837)</f>
        <v/>
      </c>
      <c r="D841" s="7" t="str">
        <f>IF(Notes!CB837="","",Notes!CB837)</f>
        <v/>
      </c>
      <c r="E841" s="7" t="str">
        <f>IF(Notes!CC837="","",Notes!CC837)</f>
        <v/>
      </c>
      <c r="F841" s="7" t="str">
        <f>IF(Notes!CD837="","",Notes!CD837)</f>
        <v/>
      </c>
      <c r="G841" s="7" t="str">
        <f>IF(Notes!CE837="","",Notes!CE837)</f>
        <v/>
      </c>
      <c r="H841" s="7" t="str">
        <f>IF(Notes!CF837="","",Notes!CF837)</f>
        <v/>
      </c>
      <c r="I841" s="7"/>
      <c r="J841" s="7"/>
      <c r="K841" s="7"/>
    </row>
    <row r="842" spans="1:11" x14ac:dyDescent="0.35">
      <c r="A842" s="7" t="str">
        <f>IF(Notes!BY838="","",Notes!BY838)</f>
        <v/>
      </c>
      <c r="B842" s="7" t="str">
        <f>IF(Notes!BZ838="","",Notes!BZ838)</f>
        <v/>
      </c>
      <c r="C842" s="7" t="str">
        <f>IF(Notes!CA838="","",Notes!CA838)</f>
        <v/>
      </c>
      <c r="D842" s="7" t="str">
        <f>IF(Notes!CB838="","",Notes!CB838)</f>
        <v/>
      </c>
      <c r="E842" s="7" t="str">
        <f>IF(Notes!CC838="","",Notes!CC838)</f>
        <v/>
      </c>
      <c r="F842" s="7" t="str">
        <f>IF(Notes!CD838="","",Notes!CD838)</f>
        <v/>
      </c>
      <c r="G842" s="7" t="str">
        <f>IF(Notes!CE838="","",Notes!CE838)</f>
        <v/>
      </c>
      <c r="H842" s="7" t="str">
        <f>IF(Notes!CF838="","",Notes!CF838)</f>
        <v/>
      </c>
      <c r="I842" s="7"/>
      <c r="J842" s="7"/>
      <c r="K842" s="7"/>
    </row>
    <row r="843" spans="1:11" x14ac:dyDescent="0.35">
      <c r="A843" s="7" t="str">
        <f>IF(Notes!BY839="","",Notes!BY839)</f>
        <v/>
      </c>
      <c r="B843" s="7" t="str">
        <f>IF(Notes!BZ839="","",Notes!BZ839)</f>
        <v/>
      </c>
      <c r="C843" s="7" t="str">
        <f>IF(Notes!CA839="","",Notes!CA839)</f>
        <v/>
      </c>
      <c r="D843" s="7" t="str">
        <f>IF(Notes!CB839="","",Notes!CB839)</f>
        <v/>
      </c>
      <c r="E843" s="7" t="str">
        <f>IF(Notes!CC839="","",Notes!CC839)</f>
        <v/>
      </c>
      <c r="F843" s="7" t="str">
        <f>IF(Notes!CD839="","",Notes!CD839)</f>
        <v/>
      </c>
      <c r="G843" s="7" t="str">
        <f>IF(Notes!CE839="","",Notes!CE839)</f>
        <v/>
      </c>
      <c r="H843" s="7" t="str">
        <f>IF(Notes!CF839="","",Notes!CF839)</f>
        <v/>
      </c>
      <c r="I843" s="7"/>
      <c r="J843" s="7"/>
      <c r="K843" s="7"/>
    </row>
    <row r="844" spans="1:11" x14ac:dyDescent="0.35">
      <c r="A844" s="7" t="str">
        <f>IF(Notes!BY840="","",Notes!BY840)</f>
        <v/>
      </c>
      <c r="B844" s="7" t="str">
        <f>IF(Notes!BZ840="","",Notes!BZ840)</f>
        <v/>
      </c>
      <c r="C844" s="7" t="str">
        <f>IF(Notes!CA840="","",Notes!CA840)</f>
        <v/>
      </c>
      <c r="D844" s="7" t="str">
        <f>IF(Notes!CB840="","",Notes!CB840)</f>
        <v/>
      </c>
      <c r="E844" s="7" t="str">
        <f>IF(Notes!CC840="","",Notes!CC840)</f>
        <v/>
      </c>
      <c r="F844" s="7" t="str">
        <f>IF(Notes!CD840="","",Notes!CD840)</f>
        <v/>
      </c>
      <c r="G844" s="7" t="str">
        <f>IF(Notes!CE840="","",Notes!CE840)</f>
        <v/>
      </c>
      <c r="H844" s="7" t="str">
        <f>IF(Notes!CF840="","",Notes!CF840)</f>
        <v/>
      </c>
      <c r="I844" s="7"/>
      <c r="J844" s="7"/>
      <c r="K844" s="7"/>
    </row>
    <row r="845" spans="1:11" x14ac:dyDescent="0.35">
      <c r="A845" s="7" t="str">
        <f>IF(Notes!BY841="","",Notes!BY841)</f>
        <v/>
      </c>
      <c r="B845" s="7" t="str">
        <f>IF(Notes!BZ841="","",Notes!BZ841)</f>
        <v/>
      </c>
      <c r="C845" s="7" t="str">
        <f>IF(Notes!CA841="","",Notes!CA841)</f>
        <v/>
      </c>
      <c r="D845" s="7" t="str">
        <f>IF(Notes!CB841="","",Notes!CB841)</f>
        <v/>
      </c>
      <c r="E845" s="7" t="str">
        <f>IF(Notes!CC841="","",Notes!CC841)</f>
        <v/>
      </c>
      <c r="F845" s="7" t="str">
        <f>IF(Notes!CD841="","",Notes!CD841)</f>
        <v/>
      </c>
      <c r="G845" s="7" t="str">
        <f>IF(Notes!CE841="","",Notes!CE841)</f>
        <v/>
      </c>
      <c r="H845" s="7" t="str">
        <f>IF(Notes!CF841="","",Notes!CF841)</f>
        <v/>
      </c>
      <c r="I845" s="7"/>
      <c r="J845" s="7"/>
      <c r="K845" s="7"/>
    </row>
    <row r="846" spans="1:11" x14ac:dyDescent="0.35">
      <c r="A846" s="7" t="str">
        <f>IF(Notes!BY842="","",Notes!BY842)</f>
        <v/>
      </c>
      <c r="B846" s="7" t="str">
        <f>IF(Notes!BZ842="","",Notes!BZ842)</f>
        <v/>
      </c>
      <c r="C846" s="7" t="str">
        <f>IF(Notes!CA842="","",Notes!CA842)</f>
        <v/>
      </c>
      <c r="D846" s="7" t="str">
        <f>IF(Notes!CB842="","",Notes!CB842)</f>
        <v/>
      </c>
      <c r="E846" s="7" t="str">
        <f>IF(Notes!CC842="","",Notes!CC842)</f>
        <v/>
      </c>
      <c r="F846" s="7" t="str">
        <f>IF(Notes!CD842="","",Notes!CD842)</f>
        <v/>
      </c>
      <c r="G846" s="7" t="str">
        <f>IF(Notes!CE842="","",Notes!CE842)</f>
        <v/>
      </c>
      <c r="H846" s="7" t="str">
        <f>IF(Notes!CF842="","",Notes!CF842)</f>
        <v/>
      </c>
      <c r="I846" s="7"/>
      <c r="J846" s="7"/>
      <c r="K846" s="7"/>
    </row>
    <row r="847" spans="1:11" x14ac:dyDescent="0.35">
      <c r="A847" s="7" t="str">
        <f>IF(Notes!BY843="","",Notes!BY843)</f>
        <v/>
      </c>
      <c r="B847" s="7" t="str">
        <f>IF(Notes!BZ843="","",Notes!BZ843)</f>
        <v/>
      </c>
      <c r="C847" s="7" t="str">
        <f>IF(Notes!CA843="","",Notes!CA843)</f>
        <v/>
      </c>
      <c r="D847" s="7" t="str">
        <f>IF(Notes!CB843="","",Notes!CB843)</f>
        <v/>
      </c>
      <c r="E847" s="7" t="str">
        <f>IF(Notes!CC843="","",Notes!CC843)</f>
        <v/>
      </c>
      <c r="F847" s="7" t="str">
        <f>IF(Notes!CD843="","",Notes!CD843)</f>
        <v/>
      </c>
      <c r="G847" s="7" t="str">
        <f>IF(Notes!CE843="","",Notes!CE843)</f>
        <v/>
      </c>
      <c r="H847" s="7" t="str">
        <f>IF(Notes!CF843="","",Notes!CF843)</f>
        <v/>
      </c>
      <c r="I847" s="7"/>
      <c r="J847" s="7"/>
      <c r="K847" s="7"/>
    </row>
    <row r="848" spans="1:11" x14ac:dyDescent="0.35">
      <c r="A848" s="7" t="str">
        <f>IF(Notes!BY844="","",Notes!BY844)</f>
        <v/>
      </c>
      <c r="B848" s="7" t="str">
        <f>IF(Notes!BZ844="","",Notes!BZ844)</f>
        <v/>
      </c>
      <c r="C848" s="7" t="str">
        <f>IF(Notes!CA844="","",Notes!CA844)</f>
        <v/>
      </c>
      <c r="D848" s="7" t="str">
        <f>IF(Notes!CB844="","",Notes!CB844)</f>
        <v/>
      </c>
      <c r="E848" s="7" t="str">
        <f>IF(Notes!CC844="","",Notes!CC844)</f>
        <v/>
      </c>
      <c r="F848" s="7" t="str">
        <f>IF(Notes!CD844="","",Notes!CD844)</f>
        <v/>
      </c>
      <c r="G848" s="7" t="str">
        <f>IF(Notes!CE844="","",Notes!CE844)</f>
        <v/>
      </c>
      <c r="H848" s="7" t="str">
        <f>IF(Notes!CF844="","",Notes!CF844)</f>
        <v/>
      </c>
      <c r="I848" s="7"/>
      <c r="J848" s="7"/>
      <c r="K848" s="7"/>
    </row>
    <row r="849" spans="1:11" x14ac:dyDescent="0.35">
      <c r="A849" s="7" t="str">
        <f>IF(Notes!BY845="","",Notes!BY845)</f>
        <v/>
      </c>
      <c r="B849" s="7" t="str">
        <f>IF(Notes!BZ845="","",Notes!BZ845)</f>
        <v/>
      </c>
      <c r="C849" s="7" t="str">
        <f>IF(Notes!CA845="","",Notes!CA845)</f>
        <v/>
      </c>
      <c r="D849" s="7" t="str">
        <f>IF(Notes!CB845="","",Notes!CB845)</f>
        <v/>
      </c>
      <c r="E849" s="7" t="str">
        <f>IF(Notes!CC845="","",Notes!CC845)</f>
        <v/>
      </c>
      <c r="F849" s="7" t="str">
        <f>IF(Notes!CD845="","",Notes!CD845)</f>
        <v/>
      </c>
      <c r="G849" s="7" t="str">
        <f>IF(Notes!CE845="","",Notes!CE845)</f>
        <v/>
      </c>
      <c r="H849" s="7" t="str">
        <f>IF(Notes!CF845="","",Notes!CF845)</f>
        <v/>
      </c>
      <c r="I849" s="7"/>
      <c r="J849" s="7"/>
      <c r="K849" s="7"/>
    </row>
    <row r="850" spans="1:11" x14ac:dyDescent="0.35">
      <c r="A850" s="7" t="str">
        <f>IF(Notes!BY846="","",Notes!BY846)</f>
        <v/>
      </c>
      <c r="B850" s="7" t="str">
        <f>IF(Notes!BZ846="","",Notes!BZ846)</f>
        <v/>
      </c>
      <c r="C850" s="7" t="str">
        <f>IF(Notes!CA846="","",Notes!CA846)</f>
        <v/>
      </c>
      <c r="D850" s="7" t="str">
        <f>IF(Notes!CB846="","",Notes!CB846)</f>
        <v/>
      </c>
      <c r="E850" s="7" t="str">
        <f>IF(Notes!CC846="","",Notes!CC846)</f>
        <v/>
      </c>
      <c r="F850" s="7" t="str">
        <f>IF(Notes!CD846="","",Notes!CD846)</f>
        <v/>
      </c>
      <c r="G850" s="7" t="str">
        <f>IF(Notes!CE846="","",Notes!CE846)</f>
        <v/>
      </c>
      <c r="H850" s="7" t="str">
        <f>IF(Notes!CF846="","",Notes!CF846)</f>
        <v/>
      </c>
      <c r="I850" s="7"/>
      <c r="J850" s="7"/>
      <c r="K850" s="7"/>
    </row>
    <row r="851" spans="1:11" x14ac:dyDescent="0.35">
      <c r="A851" s="7" t="str">
        <f>IF(Notes!BY847="","",Notes!BY847)</f>
        <v/>
      </c>
      <c r="B851" s="7" t="str">
        <f>IF(Notes!BZ847="","",Notes!BZ847)</f>
        <v/>
      </c>
      <c r="C851" s="7" t="str">
        <f>IF(Notes!CA847="","",Notes!CA847)</f>
        <v/>
      </c>
      <c r="D851" s="7" t="str">
        <f>IF(Notes!CB847="","",Notes!CB847)</f>
        <v/>
      </c>
      <c r="E851" s="7" t="str">
        <f>IF(Notes!CC847="","",Notes!CC847)</f>
        <v/>
      </c>
      <c r="F851" s="7" t="str">
        <f>IF(Notes!CD847="","",Notes!CD847)</f>
        <v/>
      </c>
      <c r="G851" s="7" t="str">
        <f>IF(Notes!CE847="","",Notes!CE847)</f>
        <v/>
      </c>
      <c r="H851" s="7" t="str">
        <f>IF(Notes!CF847="","",Notes!CF847)</f>
        <v/>
      </c>
      <c r="I851" s="7"/>
      <c r="J851" s="7"/>
      <c r="K851" s="7"/>
    </row>
    <row r="852" spans="1:11" x14ac:dyDescent="0.35">
      <c r="A852" s="7" t="str">
        <f>IF(Notes!BY848="","",Notes!BY848)</f>
        <v/>
      </c>
      <c r="B852" s="7" t="str">
        <f>IF(Notes!BZ848="","",Notes!BZ848)</f>
        <v/>
      </c>
      <c r="C852" s="7" t="str">
        <f>IF(Notes!CA848="","",Notes!CA848)</f>
        <v/>
      </c>
      <c r="D852" s="7" t="str">
        <f>IF(Notes!CB848="","",Notes!CB848)</f>
        <v/>
      </c>
      <c r="E852" s="7" t="str">
        <f>IF(Notes!CC848="","",Notes!CC848)</f>
        <v/>
      </c>
      <c r="F852" s="7" t="str">
        <f>IF(Notes!CD848="","",Notes!CD848)</f>
        <v/>
      </c>
      <c r="G852" s="7" t="str">
        <f>IF(Notes!CE848="","",Notes!CE848)</f>
        <v/>
      </c>
      <c r="H852" s="7" t="str">
        <f>IF(Notes!CF848="","",Notes!CF848)</f>
        <v/>
      </c>
      <c r="I852" s="7"/>
      <c r="J852" s="7"/>
      <c r="K852" s="7"/>
    </row>
    <row r="853" spans="1:11" x14ac:dyDescent="0.35">
      <c r="A853" s="7" t="str">
        <f>IF(Notes!BY849="","",Notes!BY849)</f>
        <v/>
      </c>
      <c r="B853" s="7" t="str">
        <f>IF(Notes!BZ849="","",Notes!BZ849)</f>
        <v/>
      </c>
      <c r="C853" s="7" t="str">
        <f>IF(Notes!CA849="","",Notes!CA849)</f>
        <v/>
      </c>
      <c r="D853" s="7" t="str">
        <f>IF(Notes!CB849="","",Notes!CB849)</f>
        <v/>
      </c>
      <c r="E853" s="7" t="str">
        <f>IF(Notes!CC849="","",Notes!CC849)</f>
        <v/>
      </c>
      <c r="F853" s="7" t="str">
        <f>IF(Notes!CD849="","",Notes!CD849)</f>
        <v/>
      </c>
      <c r="G853" s="7" t="str">
        <f>IF(Notes!CE849="","",Notes!CE849)</f>
        <v/>
      </c>
      <c r="H853" s="7" t="str">
        <f>IF(Notes!CF849="","",Notes!CF849)</f>
        <v/>
      </c>
      <c r="I853" s="7"/>
      <c r="J853" s="7"/>
      <c r="K853" s="7"/>
    </row>
    <row r="854" spans="1:11" x14ac:dyDescent="0.35">
      <c r="A854" s="7" t="str">
        <f>IF(Notes!BY850="","",Notes!BY850)</f>
        <v/>
      </c>
      <c r="B854" s="7" t="str">
        <f>IF(Notes!BZ850="","",Notes!BZ850)</f>
        <v/>
      </c>
      <c r="C854" s="7" t="str">
        <f>IF(Notes!CA850="","",Notes!CA850)</f>
        <v/>
      </c>
      <c r="D854" s="7" t="str">
        <f>IF(Notes!CB850="","",Notes!CB850)</f>
        <v/>
      </c>
      <c r="E854" s="7" t="str">
        <f>IF(Notes!CC850="","",Notes!CC850)</f>
        <v/>
      </c>
      <c r="F854" s="7" t="str">
        <f>IF(Notes!CD850="","",Notes!CD850)</f>
        <v/>
      </c>
      <c r="G854" s="7" t="str">
        <f>IF(Notes!CE850="","",Notes!CE850)</f>
        <v/>
      </c>
      <c r="H854" s="7" t="str">
        <f>IF(Notes!CF850="","",Notes!CF850)</f>
        <v/>
      </c>
      <c r="I854" s="7"/>
      <c r="J854" s="7"/>
      <c r="K854" s="7"/>
    </row>
    <row r="855" spans="1:11" x14ac:dyDescent="0.35">
      <c r="A855" s="7" t="str">
        <f>IF(Notes!BY851="","",Notes!BY851)</f>
        <v/>
      </c>
      <c r="B855" s="7" t="str">
        <f>IF(Notes!BZ851="","",Notes!BZ851)</f>
        <v/>
      </c>
      <c r="C855" s="7" t="str">
        <f>IF(Notes!CA851="","",Notes!CA851)</f>
        <v/>
      </c>
      <c r="D855" s="7" t="str">
        <f>IF(Notes!CB851="","",Notes!CB851)</f>
        <v/>
      </c>
      <c r="E855" s="7" t="str">
        <f>IF(Notes!CC851="","",Notes!CC851)</f>
        <v/>
      </c>
      <c r="F855" s="7" t="str">
        <f>IF(Notes!CD851="","",Notes!CD851)</f>
        <v/>
      </c>
      <c r="G855" s="7" t="str">
        <f>IF(Notes!CE851="","",Notes!CE851)</f>
        <v/>
      </c>
      <c r="H855" s="7" t="str">
        <f>IF(Notes!CF851="","",Notes!CF851)</f>
        <v/>
      </c>
      <c r="I855" s="7"/>
      <c r="J855" s="7"/>
      <c r="K855" s="7"/>
    </row>
    <row r="856" spans="1:11" x14ac:dyDescent="0.35">
      <c r="A856" s="7" t="str">
        <f>IF(Notes!BY852="","",Notes!BY852)</f>
        <v/>
      </c>
      <c r="B856" s="7" t="str">
        <f>IF(Notes!BZ852="","",Notes!BZ852)</f>
        <v/>
      </c>
      <c r="C856" s="7" t="str">
        <f>IF(Notes!CA852="","",Notes!CA852)</f>
        <v/>
      </c>
      <c r="D856" s="7" t="str">
        <f>IF(Notes!CB852="","",Notes!CB852)</f>
        <v/>
      </c>
      <c r="E856" s="7" t="str">
        <f>IF(Notes!CC852="","",Notes!CC852)</f>
        <v/>
      </c>
      <c r="F856" s="7" t="str">
        <f>IF(Notes!CD852="","",Notes!CD852)</f>
        <v/>
      </c>
      <c r="G856" s="7" t="str">
        <f>IF(Notes!CE852="","",Notes!CE852)</f>
        <v/>
      </c>
      <c r="H856" s="7" t="str">
        <f>IF(Notes!CF852="","",Notes!CF852)</f>
        <v/>
      </c>
      <c r="I856" s="7"/>
      <c r="J856" s="7"/>
      <c r="K856" s="7"/>
    </row>
    <row r="857" spans="1:11" x14ac:dyDescent="0.35">
      <c r="A857" s="7" t="str">
        <f>IF(Notes!BY853="","",Notes!BY853)</f>
        <v/>
      </c>
      <c r="B857" s="7" t="str">
        <f>IF(Notes!BZ853="","",Notes!BZ853)</f>
        <v/>
      </c>
      <c r="C857" s="7" t="str">
        <f>IF(Notes!CA853="","",Notes!CA853)</f>
        <v/>
      </c>
      <c r="D857" s="7" t="str">
        <f>IF(Notes!CB853="","",Notes!CB853)</f>
        <v/>
      </c>
      <c r="E857" s="7" t="str">
        <f>IF(Notes!CC853="","",Notes!CC853)</f>
        <v/>
      </c>
      <c r="F857" s="7" t="str">
        <f>IF(Notes!CD853="","",Notes!CD853)</f>
        <v/>
      </c>
      <c r="G857" s="7" t="str">
        <f>IF(Notes!CE853="","",Notes!CE853)</f>
        <v/>
      </c>
      <c r="H857" s="7" t="str">
        <f>IF(Notes!CF853="","",Notes!CF853)</f>
        <v/>
      </c>
      <c r="I857" s="7"/>
      <c r="J857" s="7"/>
      <c r="K857" s="7"/>
    </row>
    <row r="858" spans="1:11" x14ac:dyDescent="0.35">
      <c r="A858" s="7" t="str">
        <f>IF(Notes!BY854="","",Notes!BY854)</f>
        <v/>
      </c>
      <c r="B858" s="7" t="str">
        <f>IF(Notes!BZ854="","",Notes!BZ854)</f>
        <v/>
      </c>
      <c r="C858" s="7" t="str">
        <f>IF(Notes!CA854="","",Notes!CA854)</f>
        <v/>
      </c>
      <c r="D858" s="7" t="str">
        <f>IF(Notes!CB854="","",Notes!CB854)</f>
        <v/>
      </c>
      <c r="E858" s="7" t="str">
        <f>IF(Notes!CC854="","",Notes!CC854)</f>
        <v/>
      </c>
      <c r="F858" s="7" t="str">
        <f>IF(Notes!CD854="","",Notes!CD854)</f>
        <v/>
      </c>
      <c r="G858" s="7" t="str">
        <f>IF(Notes!CE854="","",Notes!CE854)</f>
        <v/>
      </c>
      <c r="H858" s="7" t="str">
        <f>IF(Notes!CF854="","",Notes!CF854)</f>
        <v/>
      </c>
      <c r="I858" s="7"/>
      <c r="J858" s="7"/>
      <c r="K858" s="7"/>
    </row>
    <row r="859" spans="1:11" x14ac:dyDescent="0.35">
      <c r="A859" s="7" t="str">
        <f>IF(Notes!BY855="","",Notes!BY855)</f>
        <v/>
      </c>
      <c r="B859" s="7" t="str">
        <f>IF(Notes!BZ855="","",Notes!BZ855)</f>
        <v/>
      </c>
      <c r="C859" s="7" t="str">
        <f>IF(Notes!CA855="","",Notes!CA855)</f>
        <v/>
      </c>
      <c r="D859" s="7" t="str">
        <f>IF(Notes!CB855="","",Notes!CB855)</f>
        <v/>
      </c>
      <c r="E859" s="7" t="str">
        <f>IF(Notes!CC855="","",Notes!CC855)</f>
        <v/>
      </c>
      <c r="F859" s="7" t="str">
        <f>IF(Notes!CD855="","",Notes!CD855)</f>
        <v/>
      </c>
      <c r="G859" s="7" t="str">
        <f>IF(Notes!CE855="","",Notes!CE855)</f>
        <v/>
      </c>
      <c r="H859" s="7" t="str">
        <f>IF(Notes!CF855="","",Notes!CF855)</f>
        <v/>
      </c>
      <c r="I859" s="7"/>
      <c r="J859" s="7"/>
      <c r="K859" s="7"/>
    </row>
    <row r="860" spans="1:11" x14ac:dyDescent="0.35">
      <c r="A860" s="7" t="str">
        <f>IF(Notes!BY856="","",Notes!BY856)</f>
        <v/>
      </c>
      <c r="B860" s="7" t="str">
        <f>IF(Notes!BZ856="","",Notes!BZ856)</f>
        <v/>
      </c>
      <c r="C860" s="7" t="str">
        <f>IF(Notes!CA856="","",Notes!CA856)</f>
        <v/>
      </c>
      <c r="D860" s="7" t="str">
        <f>IF(Notes!CB856="","",Notes!CB856)</f>
        <v/>
      </c>
      <c r="E860" s="7" t="str">
        <f>IF(Notes!CC856="","",Notes!CC856)</f>
        <v/>
      </c>
      <c r="F860" s="7" t="str">
        <f>IF(Notes!CD856="","",Notes!CD856)</f>
        <v/>
      </c>
      <c r="G860" s="7" t="str">
        <f>IF(Notes!CE856="","",Notes!CE856)</f>
        <v/>
      </c>
      <c r="H860" s="7" t="str">
        <f>IF(Notes!CF856="","",Notes!CF856)</f>
        <v/>
      </c>
      <c r="I860" s="7"/>
      <c r="J860" s="7"/>
      <c r="K860" s="7"/>
    </row>
    <row r="861" spans="1:11" x14ac:dyDescent="0.35">
      <c r="A861" s="7" t="str">
        <f>IF(Notes!BY857="","",Notes!BY857)</f>
        <v/>
      </c>
      <c r="B861" s="7" t="str">
        <f>IF(Notes!BZ857="","",Notes!BZ857)</f>
        <v/>
      </c>
      <c r="C861" s="7" t="str">
        <f>IF(Notes!CA857="","",Notes!CA857)</f>
        <v/>
      </c>
      <c r="D861" s="7" t="str">
        <f>IF(Notes!CB857="","",Notes!CB857)</f>
        <v/>
      </c>
      <c r="E861" s="7" t="str">
        <f>IF(Notes!CC857="","",Notes!CC857)</f>
        <v/>
      </c>
      <c r="F861" s="7" t="str">
        <f>IF(Notes!CD857="","",Notes!CD857)</f>
        <v/>
      </c>
      <c r="G861" s="7" t="str">
        <f>IF(Notes!CE857="","",Notes!CE857)</f>
        <v/>
      </c>
      <c r="H861" s="7" t="str">
        <f>IF(Notes!CF857="","",Notes!CF857)</f>
        <v/>
      </c>
      <c r="I861" s="7"/>
      <c r="J861" s="7"/>
      <c r="K861" s="7"/>
    </row>
    <row r="862" spans="1:11" x14ac:dyDescent="0.35">
      <c r="A862" s="7" t="str">
        <f>IF(Notes!BY858="","",Notes!BY858)</f>
        <v/>
      </c>
      <c r="B862" s="7" t="str">
        <f>IF(Notes!BZ858="","",Notes!BZ858)</f>
        <v/>
      </c>
      <c r="C862" s="7" t="str">
        <f>IF(Notes!CA858="","",Notes!CA858)</f>
        <v/>
      </c>
      <c r="D862" s="7" t="str">
        <f>IF(Notes!CB858="","",Notes!CB858)</f>
        <v/>
      </c>
      <c r="E862" s="7" t="str">
        <f>IF(Notes!CC858="","",Notes!CC858)</f>
        <v/>
      </c>
      <c r="F862" s="7" t="str">
        <f>IF(Notes!CD858="","",Notes!CD858)</f>
        <v/>
      </c>
      <c r="G862" s="7" t="str">
        <f>IF(Notes!CE858="","",Notes!CE858)</f>
        <v/>
      </c>
      <c r="H862" s="7" t="str">
        <f>IF(Notes!CF858="","",Notes!CF858)</f>
        <v/>
      </c>
      <c r="I862" s="7"/>
      <c r="J862" s="7"/>
      <c r="K862" s="7"/>
    </row>
    <row r="863" spans="1:11" x14ac:dyDescent="0.35">
      <c r="A863" s="7" t="str">
        <f>IF(Notes!BY859="","",Notes!BY859)</f>
        <v/>
      </c>
      <c r="B863" s="7" t="str">
        <f>IF(Notes!BZ859="","",Notes!BZ859)</f>
        <v/>
      </c>
      <c r="C863" s="7" t="str">
        <f>IF(Notes!CA859="","",Notes!CA859)</f>
        <v/>
      </c>
      <c r="D863" s="7" t="str">
        <f>IF(Notes!CB859="","",Notes!CB859)</f>
        <v/>
      </c>
      <c r="E863" s="7" t="str">
        <f>IF(Notes!CC859="","",Notes!CC859)</f>
        <v/>
      </c>
      <c r="F863" s="7" t="str">
        <f>IF(Notes!CD859="","",Notes!CD859)</f>
        <v/>
      </c>
      <c r="G863" s="7" t="str">
        <f>IF(Notes!CE859="","",Notes!CE859)</f>
        <v/>
      </c>
      <c r="H863" s="7" t="str">
        <f>IF(Notes!CF859="","",Notes!CF859)</f>
        <v/>
      </c>
      <c r="I863" s="7"/>
      <c r="J863" s="7"/>
      <c r="K863" s="7"/>
    </row>
    <row r="864" spans="1:11" x14ac:dyDescent="0.35">
      <c r="A864" s="7" t="str">
        <f>IF(Notes!BY860="","",Notes!BY860)</f>
        <v/>
      </c>
      <c r="B864" s="7" t="str">
        <f>IF(Notes!BZ860="","",Notes!BZ860)</f>
        <v/>
      </c>
      <c r="C864" s="7" t="str">
        <f>IF(Notes!CA860="","",Notes!CA860)</f>
        <v/>
      </c>
      <c r="D864" s="7" t="str">
        <f>IF(Notes!CB860="","",Notes!CB860)</f>
        <v/>
      </c>
      <c r="E864" s="7" t="str">
        <f>IF(Notes!CC860="","",Notes!CC860)</f>
        <v/>
      </c>
      <c r="F864" s="7" t="str">
        <f>IF(Notes!CD860="","",Notes!CD860)</f>
        <v/>
      </c>
      <c r="G864" s="7" t="str">
        <f>IF(Notes!CE860="","",Notes!CE860)</f>
        <v/>
      </c>
      <c r="H864" s="7" t="str">
        <f>IF(Notes!CF860="","",Notes!CF860)</f>
        <v/>
      </c>
      <c r="I864" s="7"/>
      <c r="J864" s="7"/>
      <c r="K864" s="7"/>
    </row>
    <row r="865" spans="1:11" x14ac:dyDescent="0.35">
      <c r="A865" s="7" t="str">
        <f>IF(Notes!BY861="","",Notes!BY861)</f>
        <v/>
      </c>
      <c r="B865" s="7" t="str">
        <f>IF(Notes!BZ861="","",Notes!BZ861)</f>
        <v/>
      </c>
      <c r="C865" s="7" t="str">
        <f>IF(Notes!CA861="","",Notes!CA861)</f>
        <v/>
      </c>
      <c r="D865" s="7" t="str">
        <f>IF(Notes!CB861="","",Notes!CB861)</f>
        <v/>
      </c>
      <c r="E865" s="7" t="str">
        <f>IF(Notes!CC861="","",Notes!CC861)</f>
        <v/>
      </c>
      <c r="F865" s="7" t="str">
        <f>IF(Notes!CD861="","",Notes!CD861)</f>
        <v/>
      </c>
      <c r="G865" s="7" t="str">
        <f>IF(Notes!CE861="","",Notes!CE861)</f>
        <v/>
      </c>
      <c r="H865" s="7" t="str">
        <f>IF(Notes!CF861="","",Notes!CF861)</f>
        <v/>
      </c>
      <c r="I865" s="7"/>
      <c r="J865" s="7"/>
      <c r="K865" s="7"/>
    </row>
    <row r="866" spans="1:11" x14ac:dyDescent="0.35">
      <c r="A866" s="7" t="str">
        <f>IF(Notes!BY862="","",Notes!BY862)</f>
        <v/>
      </c>
      <c r="B866" s="7" t="str">
        <f>IF(Notes!BZ862="","",Notes!BZ862)</f>
        <v/>
      </c>
      <c r="C866" s="7" t="str">
        <f>IF(Notes!CA862="","",Notes!CA862)</f>
        <v/>
      </c>
      <c r="D866" s="7" t="str">
        <f>IF(Notes!CB862="","",Notes!CB862)</f>
        <v/>
      </c>
      <c r="E866" s="7" t="str">
        <f>IF(Notes!CC862="","",Notes!CC862)</f>
        <v/>
      </c>
      <c r="F866" s="7" t="str">
        <f>IF(Notes!CD862="","",Notes!CD862)</f>
        <v/>
      </c>
      <c r="G866" s="7" t="str">
        <f>IF(Notes!CE862="","",Notes!CE862)</f>
        <v/>
      </c>
      <c r="H866" s="7" t="str">
        <f>IF(Notes!CF862="","",Notes!CF862)</f>
        <v/>
      </c>
      <c r="I866" s="7"/>
      <c r="J866" s="7"/>
      <c r="K866" s="7"/>
    </row>
    <row r="867" spans="1:11" x14ac:dyDescent="0.35">
      <c r="A867" s="7" t="str">
        <f>IF(Notes!BY863="","",Notes!BY863)</f>
        <v/>
      </c>
      <c r="B867" s="7" t="str">
        <f>IF(Notes!BZ863="","",Notes!BZ863)</f>
        <v/>
      </c>
      <c r="C867" s="7" t="str">
        <f>IF(Notes!CA863="","",Notes!CA863)</f>
        <v/>
      </c>
      <c r="D867" s="7" t="str">
        <f>IF(Notes!CB863="","",Notes!CB863)</f>
        <v/>
      </c>
      <c r="E867" s="7" t="str">
        <f>IF(Notes!CC863="","",Notes!CC863)</f>
        <v/>
      </c>
      <c r="F867" s="7" t="str">
        <f>IF(Notes!CD863="","",Notes!CD863)</f>
        <v/>
      </c>
      <c r="G867" s="7" t="str">
        <f>IF(Notes!CE863="","",Notes!CE863)</f>
        <v/>
      </c>
      <c r="H867" s="7" t="str">
        <f>IF(Notes!CF863="","",Notes!CF863)</f>
        <v/>
      </c>
      <c r="I867" s="7"/>
      <c r="J867" s="7"/>
      <c r="K867" s="7"/>
    </row>
    <row r="868" spans="1:11" x14ac:dyDescent="0.35">
      <c r="A868" s="7" t="str">
        <f>IF(Notes!BY864="","",Notes!BY864)</f>
        <v/>
      </c>
      <c r="B868" s="7" t="str">
        <f>IF(Notes!BZ864="","",Notes!BZ864)</f>
        <v/>
      </c>
      <c r="C868" s="7" t="str">
        <f>IF(Notes!CA864="","",Notes!CA864)</f>
        <v/>
      </c>
      <c r="D868" s="7" t="str">
        <f>IF(Notes!CB864="","",Notes!CB864)</f>
        <v/>
      </c>
      <c r="E868" s="7" t="str">
        <f>IF(Notes!CC864="","",Notes!CC864)</f>
        <v/>
      </c>
      <c r="F868" s="7" t="str">
        <f>IF(Notes!CD864="","",Notes!CD864)</f>
        <v/>
      </c>
      <c r="G868" s="7" t="str">
        <f>IF(Notes!CE864="","",Notes!CE864)</f>
        <v/>
      </c>
      <c r="H868" s="7" t="str">
        <f>IF(Notes!CF864="","",Notes!CF864)</f>
        <v/>
      </c>
      <c r="I868" s="7"/>
      <c r="J868" s="7"/>
      <c r="K868" s="7"/>
    </row>
    <row r="869" spans="1:11" x14ac:dyDescent="0.35">
      <c r="A869" s="7" t="str">
        <f>IF(Notes!BY865="","",Notes!BY865)</f>
        <v/>
      </c>
      <c r="B869" s="7" t="str">
        <f>IF(Notes!BZ865="","",Notes!BZ865)</f>
        <v/>
      </c>
      <c r="C869" s="7" t="str">
        <f>IF(Notes!CA865="","",Notes!CA865)</f>
        <v/>
      </c>
      <c r="D869" s="7" t="str">
        <f>IF(Notes!CB865="","",Notes!CB865)</f>
        <v/>
      </c>
      <c r="E869" s="7" t="str">
        <f>IF(Notes!CC865="","",Notes!CC865)</f>
        <v/>
      </c>
      <c r="F869" s="7" t="str">
        <f>IF(Notes!CD865="","",Notes!CD865)</f>
        <v/>
      </c>
      <c r="G869" s="7" t="str">
        <f>IF(Notes!CE865="","",Notes!CE865)</f>
        <v/>
      </c>
      <c r="H869" s="7" t="str">
        <f>IF(Notes!CF865="","",Notes!CF865)</f>
        <v/>
      </c>
      <c r="I869" s="7"/>
      <c r="J869" s="7"/>
      <c r="K869" s="7"/>
    </row>
    <row r="870" spans="1:11" x14ac:dyDescent="0.35">
      <c r="A870" s="7" t="str">
        <f>IF(Notes!BY866="","",Notes!BY866)</f>
        <v/>
      </c>
      <c r="B870" s="7" t="str">
        <f>IF(Notes!BZ866="","",Notes!BZ866)</f>
        <v/>
      </c>
      <c r="C870" s="7" t="str">
        <f>IF(Notes!CA866="","",Notes!CA866)</f>
        <v/>
      </c>
      <c r="D870" s="7" t="str">
        <f>IF(Notes!CB866="","",Notes!CB866)</f>
        <v/>
      </c>
      <c r="E870" s="7" t="str">
        <f>IF(Notes!CC866="","",Notes!CC866)</f>
        <v/>
      </c>
      <c r="F870" s="7" t="str">
        <f>IF(Notes!CD866="","",Notes!CD866)</f>
        <v/>
      </c>
      <c r="G870" s="7" t="str">
        <f>IF(Notes!CE866="","",Notes!CE866)</f>
        <v/>
      </c>
      <c r="H870" s="7" t="str">
        <f>IF(Notes!CF866="","",Notes!CF866)</f>
        <v/>
      </c>
      <c r="I870" s="7"/>
      <c r="J870" s="7"/>
      <c r="K870" s="7"/>
    </row>
    <row r="871" spans="1:11" x14ac:dyDescent="0.35">
      <c r="A871" s="7" t="str">
        <f>IF(Notes!BY867="","",Notes!BY867)</f>
        <v/>
      </c>
      <c r="B871" s="7" t="str">
        <f>IF(Notes!BZ867="","",Notes!BZ867)</f>
        <v/>
      </c>
      <c r="C871" s="7" t="str">
        <f>IF(Notes!CA867="","",Notes!CA867)</f>
        <v/>
      </c>
      <c r="D871" s="7" t="str">
        <f>IF(Notes!CB867="","",Notes!CB867)</f>
        <v/>
      </c>
      <c r="E871" s="7" t="str">
        <f>IF(Notes!CC867="","",Notes!CC867)</f>
        <v/>
      </c>
      <c r="F871" s="7" t="str">
        <f>IF(Notes!CD867="","",Notes!CD867)</f>
        <v/>
      </c>
      <c r="G871" s="7" t="str">
        <f>IF(Notes!CE867="","",Notes!CE867)</f>
        <v/>
      </c>
      <c r="H871" s="7" t="str">
        <f>IF(Notes!CF867="","",Notes!CF867)</f>
        <v/>
      </c>
      <c r="I871" s="7"/>
      <c r="J871" s="7"/>
      <c r="K871" s="7"/>
    </row>
    <row r="872" spans="1:11" x14ac:dyDescent="0.35">
      <c r="A872" s="7" t="str">
        <f>IF(Notes!BY868="","",Notes!BY868)</f>
        <v/>
      </c>
      <c r="B872" s="7" t="str">
        <f>IF(Notes!BZ868="","",Notes!BZ868)</f>
        <v/>
      </c>
      <c r="C872" s="7" t="str">
        <f>IF(Notes!CA868="","",Notes!CA868)</f>
        <v/>
      </c>
      <c r="D872" s="7" t="str">
        <f>IF(Notes!CB868="","",Notes!CB868)</f>
        <v/>
      </c>
      <c r="E872" s="7" t="str">
        <f>IF(Notes!CC868="","",Notes!CC868)</f>
        <v/>
      </c>
      <c r="F872" s="7" t="str">
        <f>IF(Notes!CD868="","",Notes!CD868)</f>
        <v/>
      </c>
      <c r="G872" s="7" t="str">
        <f>IF(Notes!CE868="","",Notes!CE868)</f>
        <v/>
      </c>
      <c r="H872" s="7" t="str">
        <f>IF(Notes!CF868="","",Notes!CF868)</f>
        <v/>
      </c>
      <c r="I872" s="7"/>
      <c r="J872" s="7"/>
      <c r="K872" s="7"/>
    </row>
    <row r="873" spans="1:11" x14ac:dyDescent="0.35">
      <c r="A873" s="7" t="str">
        <f>IF(Notes!BY869="","",Notes!BY869)</f>
        <v/>
      </c>
      <c r="B873" s="7" t="str">
        <f>IF(Notes!BZ869="","",Notes!BZ869)</f>
        <v/>
      </c>
      <c r="C873" s="7" t="str">
        <f>IF(Notes!CA869="","",Notes!CA869)</f>
        <v/>
      </c>
      <c r="D873" s="7" t="str">
        <f>IF(Notes!CB869="","",Notes!CB869)</f>
        <v/>
      </c>
      <c r="E873" s="7" t="str">
        <f>IF(Notes!CC869="","",Notes!CC869)</f>
        <v/>
      </c>
      <c r="F873" s="7" t="str">
        <f>IF(Notes!CD869="","",Notes!CD869)</f>
        <v/>
      </c>
      <c r="G873" s="7" t="str">
        <f>IF(Notes!CE869="","",Notes!CE869)</f>
        <v/>
      </c>
      <c r="H873" s="7" t="str">
        <f>IF(Notes!CF869="","",Notes!CF869)</f>
        <v/>
      </c>
      <c r="I873" s="7"/>
      <c r="J873" s="7"/>
      <c r="K873" s="7"/>
    </row>
    <row r="874" spans="1:11" x14ac:dyDescent="0.35">
      <c r="A874" s="7" t="str">
        <f>IF(Notes!BY870="","",Notes!BY870)</f>
        <v/>
      </c>
      <c r="B874" s="7" t="str">
        <f>IF(Notes!BZ870="","",Notes!BZ870)</f>
        <v/>
      </c>
      <c r="C874" s="7" t="str">
        <f>IF(Notes!CA870="","",Notes!CA870)</f>
        <v/>
      </c>
      <c r="D874" s="7" t="str">
        <f>IF(Notes!CB870="","",Notes!CB870)</f>
        <v/>
      </c>
      <c r="E874" s="7" t="str">
        <f>IF(Notes!CC870="","",Notes!CC870)</f>
        <v/>
      </c>
      <c r="F874" s="7" t="str">
        <f>IF(Notes!CD870="","",Notes!CD870)</f>
        <v/>
      </c>
      <c r="G874" s="7" t="str">
        <f>IF(Notes!CE870="","",Notes!CE870)</f>
        <v/>
      </c>
      <c r="H874" s="7" t="str">
        <f>IF(Notes!CF870="","",Notes!CF870)</f>
        <v/>
      </c>
      <c r="I874" s="7"/>
      <c r="J874" s="7"/>
      <c r="K874" s="7"/>
    </row>
    <row r="875" spans="1:11" x14ac:dyDescent="0.35">
      <c r="A875" s="7" t="str">
        <f>IF(Notes!BY871="","",Notes!BY871)</f>
        <v/>
      </c>
      <c r="B875" s="7" t="str">
        <f>IF(Notes!BZ871="","",Notes!BZ871)</f>
        <v/>
      </c>
      <c r="C875" s="7" t="str">
        <f>IF(Notes!CA871="","",Notes!CA871)</f>
        <v/>
      </c>
      <c r="D875" s="7" t="str">
        <f>IF(Notes!CB871="","",Notes!CB871)</f>
        <v/>
      </c>
      <c r="E875" s="7" t="str">
        <f>IF(Notes!CC871="","",Notes!CC871)</f>
        <v/>
      </c>
      <c r="F875" s="7" t="str">
        <f>IF(Notes!CD871="","",Notes!CD871)</f>
        <v/>
      </c>
      <c r="G875" s="7" t="str">
        <f>IF(Notes!CE871="","",Notes!CE871)</f>
        <v/>
      </c>
      <c r="H875" s="7" t="str">
        <f>IF(Notes!CF871="","",Notes!CF871)</f>
        <v/>
      </c>
      <c r="I875" s="7"/>
      <c r="J875" s="7"/>
      <c r="K875" s="7"/>
    </row>
    <row r="876" spans="1:11" x14ac:dyDescent="0.35">
      <c r="A876" s="7" t="str">
        <f>IF(Notes!BY872="","",Notes!BY872)</f>
        <v/>
      </c>
      <c r="B876" s="7" t="str">
        <f>IF(Notes!BZ872="","",Notes!BZ872)</f>
        <v/>
      </c>
      <c r="C876" s="7" t="str">
        <f>IF(Notes!CA872="","",Notes!CA872)</f>
        <v/>
      </c>
      <c r="D876" s="7" t="str">
        <f>IF(Notes!CB872="","",Notes!CB872)</f>
        <v/>
      </c>
      <c r="E876" s="7" t="str">
        <f>IF(Notes!CC872="","",Notes!CC872)</f>
        <v/>
      </c>
      <c r="F876" s="7" t="str">
        <f>IF(Notes!CD872="","",Notes!CD872)</f>
        <v/>
      </c>
      <c r="G876" s="7" t="str">
        <f>IF(Notes!CE872="","",Notes!CE872)</f>
        <v/>
      </c>
      <c r="H876" s="7" t="str">
        <f>IF(Notes!CF872="","",Notes!CF872)</f>
        <v/>
      </c>
      <c r="I876" s="7"/>
      <c r="J876" s="7"/>
      <c r="K876" s="7"/>
    </row>
    <row r="877" spans="1:11" x14ac:dyDescent="0.35">
      <c r="A877" s="7" t="str">
        <f>IF(Notes!BY873="","",Notes!BY873)</f>
        <v/>
      </c>
      <c r="B877" s="7" t="str">
        <f>IF(Notes!BZ873="","",Notes!BZ873)</f>
        <v/>
      </c>
      <c r="C877" s="7" t="str">
        <f>IF(Notes!CA873="","",Notes!CA873)</f>
        <v/>
      </c>
      <c r="D877" s="7" t="str">
        <f>IF(Notes!CB873="","",Notes!CB873)</f>
        <v/>
      </c>
      <c r="E877" s="7" t="str">
        <f>IF(Notes!CC873="","",Notes!CC873)</f>
        <v/>
      </c>
      <c r="F877" s="7" t="str">
        <f>IF(Notes!CD873="","",Notes!CD873)</f>
        <v/>
      </c>
      <c r="G877" s="7" t="str">
        <f>IF(Notes!CE873="","",Notes!CE873)</f>
        <v/>
      </c>
      <c r="H877" s="7" t="str">
        <f>IF(Notes!CF873="","",Notes!CF873)</f>
        <v/>
      </c>
      <c r="I877" s="7"/>
      <c r="J877" s="7"/>
      <c r="K877" s="7"/>
    </row>
    <row r="878" spans="1:11" x14ac:dyDescent="0.35">
      <c r="A878" s="7" t="str">
        <f>IF(Notes!BY874="","",Notes!BY874)</f>
        <v/>
      </c>
      <c r="B878" s="7" t="str">
        <f>IF(Notes!BZ874="","",Notes!BZ874)</f>
        <v/>
      </c>
      <c r="C878" s="7" t="str">
        <f>IF(Notes!CA874="","",Notes!CA874)</f>
        <v/>
      </c>
      <c r="D878" s="7" t="str">
        <f>IF(Notes!CB874="","",Notes!CB874)</f>
        <v/>
      </c>
      <c r="E878" s="7" t="str">
        <f>IF(Notes!CC874="","",Notes!CC874)</f>
        <v/>
      </c>
      <c r="F878" s="7" t="str">
        <f>IF(Notes!CD874="","",Notes!CD874)</f>
        <v/>
      </c>
      <c r="G878" s="7" t="str">
        <f>IF(Notes!CE874="","",Notes!CE874)</f>
        <v/>
      </c>
      <c r="H878" s="7" t="str">
        <f>IF(Notes!CF874="","",Notes!CF874)</f>
        <v/>
      </c>
      <c r="I878" s="7"/>
      <c r="J878" s="7"/>
      <c r="K878" s="7"/>
    </row>
    <row r="879" spans="1:11" x14ac:dyDescent="0.35">
      <c r="A879" s="7" t="str">
        <f>IF(Notes!BY875="","",Notes!BY875)</f>
        <v/>
      </c>
      <c r="B879" s="7" t="str">
        <f>IF(Notes!BZ875="","",Notes!BZ875)</f>
        <v/>
      </c>
      <c r="C879" s="7" t="str">
        <f>IF(Notes!CA875="","",Notes!CA875)</f>
        <v/>
      </c>
      <c r="D879" s="7" t="str">
        <f>IF(Notes!CB875="","",Notes!CB875)</f>
        <v/>
      </c>
      <c r="E879" s="7" t="str">
        <f>IF(Notes!CC875="","",Notes!CC875)</f>
        <v/>
      </c>
      <c r="F879" s="7" t="str">
        <f>IF(Notes!CD875="","",Notes!CD875)</f>
        <v/>
      </c>
      <c r="G879" s="7" t="str">
        <f>IF(Notes!CE875="","",Notes!CE875)</f>
        <v/>
      </c>
      <c r="H879" s="7" t="str">
        <f>IF(Notes!CF875="","",Notes!CF875)</f>
        <v/>
      </c>
      <c r="I879" s="7"/>
      <c r="J879" s="7"/>
      <c r="K879" s="7"/>
    </row>
    <row r="880" spans="1:11" x14ac:dyDescent="0.35">
      <c r="A880" s="7" t="str">
        <f>IF(Notes!BY876="","",Notes!BY876)</f>
        <v/>
      </c>
      <c r="B880" s="7" t="str">
        <f>IF(Notes!BZ876="","",Notes!BZ876)</f>
        <v/>
      </c>
      <c r="C880" s="7" t="str">
        <f>IF(Notes!CA876="","",Notes!CA876)</f>
        <v/>
      </c>
      <c r="D880" s="7" t="str">
        <f>IF(Notes!CB876="","",Notes!CB876)</f>
        <v/>
      </c>
      <c r="E880" s="7" t="str">
        <f>IF(Notes!CC876="","",Notes!CC876)</f>
        <v/>
      </c>
      <c r="F880" s="7" t="str">
        <f>IF(Notes!CD876="","",Notes!CD876)</f>
        <v/>
      </c>
      <c r="G880" s="7" t="str">
        <f>IF(Notes!CE876="","",Notes!CE876)</f>
        <v/>
      </c>
      <c r="H880" s="7" t="str">
        <f>IF(Notes!CF876="","",Notes!CF876)</f>
        <v/>
      </c>
      <c r="I880" s="7"/>
      <c r="J880" s="7"/>
      <c r="K880" s="7"/>
    </row>
    <row r="881" spans="1:11" x14ac:dyDescent="0.35">
      <c r="A881" s="7" t="str">
        <f>IF(Notes!BY877="","",Notes!BY877)</f>
        <v/>
      </c>
      <c r="B881" s="7" t="str">
        <f>IF(Notes!BZ877="","",Notes!BZ877)</f>
        <v/>
      </c>
      <c r="C881" s="7" t="str">
        <f>IF(Notes!CA877="","",Notes!CA877)</f>
        <v/>
      </c>
      <c r="D881" s="7" t="str">
        <f>IF(Notes!CB877="","",Notes!CB877)</f>
        <v/>
      </c>
      <c r="E881" s="7" t="str">
        <f>IF(Notes!CC877="","",Notes!CC877)</f>
        <v/>
      </c>
      <c r="F881" s="7" t="str">
        <f>IF(Notes!CD877="","",Notes!CD877)</f>
        <v/>
      </c>
      <c r="G881" s="7" t="str">
        <f>IF(Notes!CE877="","",Notes!CE877)</f>
        <v/>
      </c>
      <c r="H881" s="7" t="str">
        <f>IF(Notes!CF877="","",Notes!CF877)</f>
        <v/>
      </c>
      <c r="I881" s="7"/>
      <c r="J881" s="7"/>
      <c r="K881" s="7"/>
    </row>
    <row r="882" spans="1:11" x14ac:dyDescent="0.35">
      <c r="A882" s="7" t="str">
        <f>IF(Notes!BY878="","",Notes!BY878)</f>
        <v/>
      </c>
      <c r="B882" s="7" t="str">
        <f>IF(Notes!BZ878="","",Notes!BZ878)</f>
        <v/>
      </c>
      <c r="C882" s="7" t="str">
        <f>IF(Notes!CA878="","",Notes!CA878)</f>
        <v/>
      </c>
      <c r="D882" s="7" t="str">
        <f>IF(Notes!CB878="","",Notes!CB878)</f>
        <v/>
      </c>
      <c r="E882" s="7" t="str">
        <f>IF(Notes!CC878="","",Notes!CC878)</f>
        <v/>
      </c>
      <c r="F882" s="7" t="str">
        <f>IF(Notes!CD878="","",Notes!CD878)</f>
        <v/>
      </c>
      <c r="G882" s="7" t="str">
        <f>IF(Notes!CE878="","",Notes!CE878)</f>
        <v/>
      </c>
      <c r="H882" s="7" t="str">
        <f>IF(Notes!CF878="","",Notes!CF878)</f>
        <v/>
      </c>
      <c r="I882" s="7"/>
      <c r="J882" s="7"/>
      <c r="K882" s="7"/>
    </row>
    <row r="883" spans="1:11" x14ac:dyDescent="0.35">
      <c r="A883" s="7" t="str">
        <f>IF(Notes!BY879="","",Notes!BY879)</f>
        <v/>
      </c>
      <c r="B883" s="7" t="str">
        <f>IF(Notes!BZ879="","",Notes!BZ879)</f>
        <v/>
      </c>
      <c r="C883" s="7" t="str">
        <f>IF(Notes!CA879="","",Notes!CA879)</f>
        <v/>
      </c>
      <c r="D883" s="7" t="str">
        <f>IF(Notes!CB879="","",Notes!CB879)</f>
        <v/>
      </c>
      <c r="E883" s="7" t="str">
        <f>IF(Notes!CC879="","",Notes!CC879)</f>
        <v/>
      </c>
      <c r="F883" s="7" t="str">
        <f>IF(Notes!CD879="","",Notes!CD879)</f>
        <v/>
      </c>
      <c r="G883" s="7" t="str">
        <f>IF(Notes!CE879="","",Notes!CE879)</f>
        <v/>
      </c>
      <c r="H883" s="7" t="str">
        <f>IF(Notes!CF879="","",Notes!CF879)</f>
        <v/>
      </c>
      <c r="I883" s="7"/>
      <c r="J883" s="7"/>
      <c r="K883" s="7"/>
    </row>
    <row r="884" spans="1:11" x14ac:dyDescent="0.35">
      <c r="A884" s="7" t="str">
        <f>IF(Notes!BY880="","",Notes!BY880)</f>
        <v/>
      </c>
      <c r="B884" s="7" t="str">
        <f>IF(Notes!BZ880="","",Notes!BZ880)</f>
        <v/>
      </c>
      <c r="C884" s="7" t="str">
        <f>IF(Notes!CA880="","",Notes!CA880)</f>
        <v/>
      </c>
      <c r="D884" s="7" t="str">
        <f>IF(Notes!CB880="","",Notes!CB880)</f>
        <v/>
      </c>
      <c r="E884" s="7" t="str">
        <f>IF(Notes!CC880="","",Notes!CC880)</f>
        <v/>
      </c>
      <c r="F884" s="7" t="str">
        <f>IF(Notes!CD880="","",Notes!CD880)</f>
        <v/>
      </c>
      <c r="G884" s="7" t="str">
        <f>IF(Notes!CE880="","",Notes!CE880)</f>
        <v/>
      </c>
      <c r="H884" s="7" t="str">
        <f>IF(Notes!CF880="","",Notes!CF880)</f>
        <v/>
      </c>
      <c r="I884" s="7"/>
      <c r="J884" s="7"/>
      <c r="K884" s="7"/>
    </row>
    <row r="885" spans="1:11" x14ac:dyDescent="0.35">
      <c r="A885" s="7" t="str">
        <f>IF(Notes!BY881="","",Notes!BY881)</f>
        <v/>
      </c>
      <c r="B885" s="7" t="str">
        <f>IF(Notes!BZ881="","",Notes!BZ881)</f>
        <v/>
      </c>
      <c r="C885" s="7" t="str">
        <f>IF(Notes!CA881="","",Notes!CA881)</f>
        <v/>
      </c>
      <c r="D885" s="7" t="str">
        <f>IF(Notes!CB881="","",Notes!CB881)</f>
        <v/>
      </c>
      <c r="E885" s="7" t="str">
        <f>IF(Notes!CC881="","",Notes!CC881)</f>
        <v/>
      </c>
      <c r="F885" s="7" t="str">
        <f>IF(Notes!CD881="","",Notes!CD881)</f>
        <v/>
      </c>
      <c r="G885" s="7" t="str">
        <f>IF(Notes!CE881="","",Notes!CE881)</f>
        <v/>
      </c>
      <c r="H885" s="7" t="str">
        <f>IF(Notes!CF881="","",Notes!CF881)</f>
        <v/>
      </c>
      <c r="I885" s="7"/>
      <c r="J885" s="7"/>
      <c r="K885" s="7"/>
    </row>
    <row r="886" spans="1:11" x14ac:dyDescent="0.35">
      <c r="A886" s="7" t="str">
        <f>IF(Notes!BY882="","",Notes!BY882)</f>
        <v/>
      </c>
      <c r="B886" s="7" t="str">
        <f>IF(Notes!BZ882="","",Notes!BZ882)</f>
        <v/>
      </c>
      <c r="C886" s="7" t="str">
        <f>IF(Notes!CA882="","",Notes!CA882)</f>
        <v/>
      </c>
      <c r="D886" s="7" t="str">
        <f>IF(Notes!CB882="","",Notes!CB882)</f>
        <v/>
      </c>
      <c r="E886" s="7" t="str">
        <f>IF(Notes!CC882="","",Notes!CC882)</f>
        <v/>
      </c>
      <c r="F886" s="7" t="str">
        <f>IF(Notes!CD882="","",Notes!CD882)</f>
        <v/>
      </c>
      <c r="G886" s="7" t="str">
        <f>IF(Notes!CE882="","",Notes!CE882)</f>
        <v/>
      </c>
      <c r="H886" s="7" t="str">
        <f>IF(Notes!CF882="","",Notes!CF882)</f>
        <v/>
      </c>
      <c r="I886" s="7"/>
      <c r="J886" s="7"/>
      <c r="K886" s="7"/>
    </row>
    <row r="887" spans="1:11" x14ac:dyDescent="0.35">
      <c r="A887" s="7" t="str">
        <f>IF(Notes!BY883="","",Notes!BY883)</f>
        <v/>
      </c>
      <c r="B887" s="7" t="str">
        <f>IF(Notes!BZ883="","",Notes!BZ883)</f>
        <v/>
      </c>
      <c r="C887" s="7" t="str">
        <f>IF(Notes!CA883="","",Notes!CA883)</f>
        <v/>
      </c>
      <c r="D887" s="7" t="str">
        <f>IF(Notes!CB883="","",Notes!CB883)</f>
        <v/>
      </c>
      <c r="E887" s="7" t="str">
        <f>IF(Notes!CC883="","",Notes!CC883)</f>
        <v/>
      </c>
      <c r="F887" s="7" t="str">
        <f>IF(Notes!CD883="","",Notes!CD883)</f>
        <v/>
      </c>
      <c r="G887" s="7" t="str">
        <f>IF(Notes!CE883="","",Notes!CE883)</f>
        <v/>
      </c>
      <c r="H887" s="7" t="str">
        <f>IF(Notes!CF883="","",Notes!CF883)</f>
        <v/>
      </c>
      <c r="I887" s="7"/>
      <c r="J887" s="7"/>
      <c r="K887" s="7"/>
    </row>
    <row r="888" spans="1:11" x14ac:dyDescent="0.35">
      <c r="A888" s="7" t="str">
        <f>IF(Notes!BY884="","",Notes!BY884)</f>
        <v/>
      </c>
      <c r="B888" s="7" t="str">
        <f>IF(Notes!BZ884="","",Notes!BZ884)</f>
        <v/>
      </c>
      <c r="C888" s="7" t="str">
        <f>IF(Notes!CA884="","",Notes!CA884)</f>
        <v/>
      </c>
      <c r="D888" s="7" t="str">
        <f>IF(Notes!CB884="","",Notes!CB884)</f>
        <v/>
      </c>
      <c r="E888" s="7" t="str">
        <f>IF(Notes!CC884="","",Notes!CC884)</f>
        <v/>
      </c>
      <c r="F888" s="7" t="str">
        <f>IF(Notes!CD884="","",Notes!CD884)</f>
        <v/>
      </c>
      <c r="G888" s="7" t="str">
        <f>IF(Notes!CE884="","",Notes!CE884)</f>
        <v/>
      </c>
      <c r="H888" s="7" t="str">
        <f>IF(Notes!CF884="","",Notes!CF884)</f>
        <v/>
      </c>
      <c r="I888" s="7"/>
      <c r="J888" s="7"/>
      <c r="K888" s="7"/>
    </row>
    <row r="889" spans="1:11" x14ac:dyDescent="0.35">
      <c r="A889" s="7" t="str">
        <f>IF(Notes!BY885="","",Notes!BY885)</f>
        <v/>
      </c>
      <c r="B889" s="7" t="str">
        <f>IF(Notes!BZ885="","",Notes!BZ885)</f>
        <v/>
      </c>
      <c r="C889" s="7" t="str">
        <f>IF(Notes!CA885="","",Notes!CA885)</f>
        <v/>
      </c>
      <c r="D889" s="7" t="str">
        <f>IF(Notes!CB885="","",Notes!CB885)</f>
        <v/>
      </c>
      <c r="E889" s="7" t="str">
        <f>IF(Notes!CC885="","",Notes!CC885)</f>
        <v/>
      </c>
      <c r="F889" s="7" t="str">
        <f>IF(Notes!CD885="","",Notes!CD885)</f>
        <v/>
      </c>
      <c r="G889" s="7" t="str">
        <f>IF(Notes!CE885="","",Notes!CE885)</f>
        <v/>
      </c>
      <c r="H889" s="7" t="str">
        <f>IF(Notes!CF885="","",Notes!CF885)</f>
        <v/>
      </c>
      <c r="I889" s="7"/>
      <c r="J889" s="7"/>
      <c r="K889" s="7"/>
    </row>
    <row r="890" spans="1:11" x14ac:dyDescent="0.35">
      <c r="A890" s="7" t="str">
        <f>IF(Notes!BY886="","",Notes!BY886)</f>
        <v/>
      </c>
      <c r="B890" s="7" t="str">
        <f>IF(Notes!BZ886="","",Notes!BZ886)</f>
        <v/>
      </c>
      <c r="C890" s="7" t="str">
        <f>IF(Notes!CA886="","",Notes!CA886)</f>
        <v/>
      </c>
      <c r="D890" s="7" t="str">
        <f>IF(Notes!CB886="","",Notes!CB886)</f>
        <v/>
      </c>
      <c r="E890" s="7" t="str">
        <f>IF(Notes!CC886="","",Notes!CC886)</f>
        <v/>
      </c>
      <c r="F890" s="7" t="str">
        <f>IF(Notes!CD886="","",Notes!CD886)</f>
        <v/>
      </c>
      <c r="G890" s="7" t="str">
        <f>IF(Notes!CE886="","",Notes!CE886)</f>
        <v/>
      </c>
      <c r="H890" s="7" t="str">
        <f>IF(Notes!CF886="","",Notes!CF886)</f>
        <v/>
      </c>
      <c r="I890" s="7"/>
      <c r="J890" s="7"/>
      <c r="K890" s="7"/>
    </row>
    <row r="891" spans="1:11" x14ac:dyDescent="0.35">
      <c r="A891" s="7" t="str">
        <f>IF(Notes!BY887="","",Notes!BY887)</f>
        <v/>
      </c>
      <c r="B891" s="7" t="str">
        <f>IF(Notes!BZ887="","",Notes!BZ887)</f>
        <v/>
      </c>
      <c r="C891" s="7" t="str">
        <f>IF(Notes!CA887="","",Notes!CA887)</f>
        <v/>
      </c>
      <c r="D891" s="7" t="str">
        <f>IF(Notes!CB887="","",Notes!CB887)</f>
        <v/>
      </c>
      <c r="E891" s="7" t="str">
        <f>IF(Notes!CC887="","",Notes!CC887)</f>
        <v/>
      </c>
      <c r="F891" s="7" t="str">
        <f>IF(Notes!CD887="","",Notes!CD887)</f>
        <v/>
      </c>
      <c r="G891" s="7" t="str">
        <f>IF(Notes!CE887="","",Notes!CE887)</f>
        <v/>
      </c>
      <c r="H891" s="7" t="str">
        <f>IF(Notes!CF887="","",Notes!CF887)</f>
        <v/>
      </c>
      <c r="I891" s="7"/>
      <c r="J891" s="7"/>
      <c r="K891" s="7"/>
    </row>
    <row r="892" spans="1:11" x14ac:dyDescent="0.35">
      <c r="A892" s="7" t="str">
        <f>IF(Notes!BY888="","",Notes!BY888)</f>
        <v/>
      </c>
      <c r="B892" s="7" t="str">
        <f>IF(Notes!BZ888="","",Notes!BZ888)</f>
        <v/>
      </c>
      <c r="C892" s="7" t="str">
        <f>IF(Notes!CA888="","",Notes!CA888)</f>
        <v/>
      </c>
      <c r="D892" s="7" t="str">
        <f>IF(Notes!CB888="","",Notes!CB888)</f>
        <v/>
      </c>
      <c r="E892" s="7" t="str">
        <f>IF(Notes!CC888="","",Notes!CC888)</f>
        <v/>
      </c>
      <c r="F892" s="7" t="str">
        <f>IF(Notes!CD888="","",Notes!CD888)</f>
        <v/>
      </c>
      <c r="G892" s="7" t="str">
        <f>IF(Notes!CE888="","",Notes!CE888)</f>
        <v/>
      </c>
      <c r="H892" s="7" t="str">
        <f>IF(Notes!CF888="","",Notes!CF888)</f>
        <v/>
      </c>
      <c r="I892" s="7"/>
      <c r="J892" s="7"/>
      <c r="K892" s="7"/>
    </row>
    <row r="893" spans="1:11" x14ac:dyDescent="0.35">
      <c r="A893" s="7" t="str">
        <f>IF(Notes!BY889="","",Notes!BY889)</f>
        <v/>
      </c>
      <c r="B893" s="7" t="str">
        <f>IF(Notes!BZ889="","",Notes!BZ889)</f>
        <v/>
      </c>
      <c r="C893" s="7" t="str">
        <f>IF(Notes!CA889="","",Notes!CA889)</f>
        <v/>
      </c>
      <c r="D893" s="7" t="str">
        <f>IF(Notes!CB889="","",Notes!CB889)</f>
        <v/>
      </c>
      <c r="E893" s="7" t="str">
        <f>IF(Notes!CC889="","",Notes!CC889)</f>
        <v/>
      </c>
      <c r="F893" s="7" t="str">
        <f>IF(Notes!CD889="","",Notes!CD889)</f>
        <v/>
      </c>
      <c r="G893" s="7" t="str">
        <f>IF(Notes!CE889="","",Notes!CE889)</f>
        <v/>
      </c>
      <c r="H893" s="7" t="str">
        <f>IF(Notes!CF889="","",Notes!CF889)</f>
        <v/>
      </c>
      <c r="I893" s="7"/>
      <c r="J893" s="7"/>
      <c r="K893" s="7"/>
    </row>
    <row r="894" spans="1:11" x14ac:dyDescent="0.35">
      <c r="A894" s="7" t="str">
        <f>IF(Notes!BY890="","",Notes!BY890)</f>
        <v/>
      </c>
      <c r="B894" s="7" t="str">
        <f>IF(Notes!BZ890="","",Notes!BZ890)</f>
        <v/>
      </c>
      <c r="C894" s="7" t="str">
        <f>IF(Notes!CA890="","",Notes!CA890)</f>
        <v/>
      </c>
      <c r="D894" s="7" t="str">
        <f>IF(Notes!CB890="","",Notes!CB890)</f>
        <v/>
      </c>
      <c r="E894" s="7" t="str">
        <f>IF(Notes!CC890="","",Notes!CC890)</f>
        <v/>
      </c>
      <c r="F894" s="7" t="str">
        <f>IF(Notes!CD890="","",Notes!CD890)</f>
        <v/>
      </c>
      <c r="G894" s="7" t="str">
        <f>IF(Notes!CE890="","",Notes!CE890)</f>
        <v/>
      </c>
      <c r="H894" s="7" t="str">
        <f>IF(Notes!CF890="","",Notes!CF890)</f>
        <v/>
      </c>
      <c r="I894" s="7"/>
      <c r="J894" s="7"/>
      <c r="K894" s="7"/>
    </row>
    <row r="895" spans="1:11" x14ac:dyDescent="0.35">
      <c r="A895" s="7" t="str">
        <f>IF(Notes!BY891="","",Notes!BY891)</f>
        <v/>
      </c>
      <c r="B895" s="7" t="str">
        <f>IF(Notes!BZ891="","",Notes!BZ891)</f>
        <v/>
      </c>
      <c r="C895" s="7" t="str">
        <f>IF(Notes!CA891="","",Notes!CA891)</f>
        <v/>
      </c>
      <c r="D895" s="7" t="str">
        <f>IF(Notes!CB891="","",Notes!CB891)</f>
        <v/>
      </c>
      <c r="E895" s="7" t="str">
        <f>IF(Notes!CC891="","",Notes!CC891)</f>
        <v/>
      </c>
      <c r="F895" s="7" t="str">
        <f>IF(Notes!CD891="","",Notes!CD891)</f>
        <v/>
      </c>
      <c r="G895" s="7" t="str">
        <f>IF(Notes!CE891="","",Notes!CE891)</f>
        <v/>
      </c>
      <c r="H895" s="7" t="str">
        <f>IF(Notes!CF891="","",Notes!CF891)</f>
        <v/>
      </c>
      <c r="I895" s="7"/>
      <c r="J895" s="7"/>
      <c r="K895" s="7"/>
    </row>
    <row r="896" spans="1:11" x14ac:dyDescent="0.35">
      <c r="A896" s="7" t="str">
        <f>IF(Notes!BY892="","",Notes!BY892)</f>
        <v/>
      </c>
      <c r="B896" s="7" t="str">
        <f>IF(Notes!BZ892="","",Notes!BZ892)</f>
        <v/>
      </c>
      <c r="C896" s="7" t="str">
        <f>IF(Notes!CA892="","",Notes!CA892)</f>
        <v/>
      </c>
      <c r="D896" s="7" t="str">
        <f>IF(Notes!CB892="","",Notes!CB892)</f>
        <v/>
      </c>
      <c r="E896" s="7" t="str">
        <f>IF(Notes!CC892="","",Notes!CC892)</f>
        <v/>
      </c>
      <c r="F896" s="7" t="str">
        <f>IF(Notes!CD892="","",Notes!CD892)</f>
        <v/>
      </c>
      <c r="G896" s="7" t="str">
        <f>IF(Notes!CE892="","",Notes!CE892)</f>
        <v/>
      </c>
      <c r="H896" s="7" t="str">
        <f>IF(Notes!CF892="","",Notes!CF892)</f>
        <v/>
      </c>
      <c r="I896" s="7"/>
      <c r="J896" s="7"/>
      <c r="K896" s="7"/>
    </row>
    <row r="897" spans="1:11" x14ac:dyDescent="0.35">
      <c r="A897" s="7" t="str">
        <f>IF(Notes!BY893="","",Notes!BY893)</f>
        <v/>
      </c>
      <c r="B897" s="7" t="str">
        <f>IF(Notes!BZ893="","",Notes!BZ893)</f>
        <v/>
      </c>
      <c r="C897" s="7" t="str">
        <f>IF(Notes!CA893="","",Notes!CA893)</f>
        <v/>
      </c>
      <c r="D897" s="7" t="str">
        <f>IF(Notes!CB893="","",Notes!CB893)</f>
        <v/>
      </c>
      <c r="E897" s="7" t="str">
        <f>IF(Notes!CC893="","",Notes!CC893)</f>
        <v/>
      </c>
      <c r="F897" s="7" t="str">
        <f>IF(Notes!CD893="","",Notes!CD893)</f>
        <v/>
      </c>
      <c r="G897" s="7" t="str">
        <f>IF(Notes!CE893="","",Notes!CE893)</f>
        <v/>
      </c>
      <c r="H897" s="7" t="str">
        <f>IF(Notes!CF893="","",Notes!CF893)</f>
        <v/>
      </c>
      <c r="I897" s="7"/>
      <c r="J897" s="7"/>
      <c r="K897" s="7"/>
    </row>
    <row r="898" spans="1:11" x14ac:dyDescent="0.35">
      <c r="A898" s="7" t="str">
        <f>IF(Notes!BY894="","",Notes!BY894)</f>
        <v/>
      </c>
      <c r="B898" s="7" t="str">
        <f>IF(Notes!BZ894="","",Notes!BZ894)</f>
        <v/>
      </c>
      <c r="C898" s="7" t="str">
        <f>IF(Notes!CA894="","",Notes!CA894)</f>
        <v/>
      </c>
      <c r="D898" s="7" t="str">
        <f>IF(Notes!CB894="","",Notes!CB894)</f>
        <v/>
      </c>
      <c r="E898" s="7" t="str">
        <f>IF(Notes!CC894="","",Notes!CC894)</f>
        <v/>
      </c>
      <c r="F898" s="7" t="str">
        <f>IF(Notes!CD894="","",Notes!CD894)</f>
        <v/>
      </c>
      <c r="G898" s="7" t="str">
        <f>IF(Notes!CE894="","",Notes!CE894)</f>
        <v/>
      </c>
      <c r="H898" s="7" t="str">
        <f>IF(Notes!CF894="","",Notes!CF894)</f>
        <v/>
      </c>
      <c r="I898" s="7"/>
      <c r="J898" s="7"/>
      <c r="K898" s="7"/>
    </row>
    <row r="899" spans="1:11" x14ac:dyDescent="0.35">
      <c r="A899" s="7" t="str">
        <f>IF(Notes!BY895="","",Notes!BY895)</f>
        <v/>
      </c>
      <c r="B899" s="7" t="str">
        <f>IF(Notes!BZ895="","",Notes!BZ895)</f>
        <v/>
      </c>
      <c r="C899" s="7" t="str">
        <f>IF(Notes!CA895="","",Notes!CA895)</f>
        <v/>
      </c>
      <c r="D899" s="7" t="str">
        <f>IF(Notes!CB895="","",Notes!CB895)</f>
        <v/>
      </c>
      <c r="E899" s="7" t="str">
        <f>IF(Notes!CC895="","",Notes!CC895)</f>
        <v/>
      </c>
      <c r="F899" s="7" t="str">
        <f>IF(Notes!CD895="","",Notes!CD895)</f>
        <v/>
      </c>
      <c r="G899" s="7" t="str">
        <f>IF(Notes!CE895="","",Notes!CE895)</f>
        <v/>
      </c>
      <c r="H899" s="7" t="str">
        <f>IF(Notes!CF895="","",Notes!CF895)</f>
        <v/>
      </c>
      <c r="I899" s="7"/>
      <c r="J899" s="7"/>
      <c r="K899" s="7"/>
    </row>
    <row r="900" spans="1:11" x14ac:dyDescent="0.35">
      <c r="A900" s="7" t="str">
        <f>IF(Notes!BY896="","",Notes!BY896)</f>
        <v/>
      </c>
      <c r="B900" s="7" t="str">
        <f>IF(Notes!BZ896="","",Notes!BZ896)</f>
        <v/>
      </c>
      <c r="C900" s="7" t="str">
        <f>IF(Notes!CA896="","",Notes!CA896)</f>
        <v/>
      </c>
      <c r="D900" s="7" t="str">
        <f>IF(Notes!CB896="","",Notes!CB896)</f>
        <v/>
      </c>
      <c r="E900" s="7" t="str">
        <f>IF(Notes!CC896="","",Notes!CC896)</f>
        <v/>
      </c>
      <c r="F900" s="7" t="str">
        <f>IF(Notes!CD896="","",Notes!CD896)</f>
        <v/>
      </c>
      <c r="G900" s="7" t="str">
        <f>IF(Notes!CE896="","",Notes!CE896)</f>
        <v/>
      </c>
      <c r="H900" s="7" t="str">
        <f>IF(Notes!CF896="","",Notes!CF896)</f>
        <v/>
      </c>
      <c r="I900" s="7"/>
      <c r="J900" s="7"/>
      <c r="K900" s="7"/>
    </row>
    <row r="901" spans="1:11" x14ac:dyDescent="0.35">
      <c r="A901" s="7" t="str">
        <f>IF(Notes!BY897="","",Notes!BY897)</f>
        <v/>
      </c>
      <c r="B901" s="7" t="str">
        <f>IF(Notes!BZ897="","",Notes!BZ897)</f>
        <v/>
      </c>
      <c r="C901" s="7" t="str">
        <f>IF(Notes!CA897="","",Notes!CA897)</f>
        <v/>
      </c>
      <c r="D901" s="7" t="str">
        <f>IF(Notes!CB897="","",Notes!CB897)</f>
        <v/>
      </c>
      <c r="E901" s="7" t="str">
        <f>IF(Notes!CC897="","",Notes!CC897)</f>
        <v/>
      </c>
      <c r="F901" s="7" t="str">
        <f>IF(Notes!CD897="","",Notes!CD897)</f>
        <v/>
      </c>
      <c r="G901" s="7" t="str">
        <f>IF(Notes!CE897="","",Notes!CE897)</f>
        <v/>
      </c>
      <c r="H901" s="7" t="str">
        <f>IF(Notes!CF897="","",Notes!CF897)</f>
        <v/>
      </c>
      <c r="I901" s="7"/>
      <c r="J901" s="7"/>
      <c r="K901" s="7"/>
    </row>
    <row r="902" spans="1:11" x14ac:dyDescent="0.35">
      <c r="A902" s="7" t="str">
        <f>IF(Notes!BY898="","",Notes!BY898)</f>
        <v/>
      </c>
      <c r="B902" s="7" t="str">
        <f>IF(Notes!BZ898="","",Notes!BZ898)</f>
        <v/>
      </c>
      <c r="C902" s="7" t="str">
        <f>IF(Notes!CA898="","",Notes!CA898)</f>
        <v/>
      </c>
      <c r="D902" s="7" t="str">
        <f>IF(Notes!CB898="","",Notes!CB898)</f>
        <v/>
      </c>
      <c r="E902" s="7" t="str">
        <f>IF(Notes!CC898="","",Notes!CC898)</f>
        <v/>
      </c>
      <c r="F902" s="7" t="str">
        <f>IF(Notes!CD898="","",Notes!CD898)</f>
        <v/>
      </c>
      <c r="G902" s="7" t="str">
        <f>IF(Notes!CE898="","",Notes!CE898)</f>
        <v/>
      </c>
      <c r="H902" s="7" t="str">
        <f>IF(Notes!CF898="","",Notes!CF898)</f>
        <v/>
      </c>
      <c r="I902" s="7"/>
      <c r="J902" s="7"/>
      <c r="K902" s="7"/>
    </row>
    <row r="903" spans="1:11" x14ac:dyDescent="0.35">
      <c r="A903" s="7" t="str">
        <f>IF(Notes!BY899="","",Notes!BY899)</f>
        <v/>
      </c>
      <c r="B903" s="7" t="str">
        <f>IF(Notes!BZ899="","",Notes!BZ899)</f>
        <v/>
      </c>
      <c r="C903" s="7" t="str">
        <f>IF(Notes!CA899="","",Notes!CA899)</f>
        <v/>
      </c>
      <c r="D903" s="7" t="str">
        <f>IF(Notes!CB899="","",Notes!CB899)</f>
        <v/>
      </c>
      <c r="E903" s="7" t="str">
        <f>IF(Notes!CC899="","",Notes!CC899)</f>
        <v/>
      </c>
      <c r="F903" s="7" t="str">
        <f>IF(Notes!CD899="","",Notes!CD899)</f>
        <v/>
      </c>
      <c r="G903" s="7" t="str">
        <f>IF(Notes!CE899="","",Notes!CE899)</f>
        <v/>
      </c>
      <c r="H903" s="7" t="str">
        <f>IF(Notes!CF899="","",Notes!CF899)</f>
        <v/>
      </c>
      <c r="I903" s="7"/>
      <c r="J903" s="7"/>
      <c r="K903" s="7"/>
    </row>
    <row r="904" spans="1:11" x14ac:dyDescent="0.35">
      <c r="A904" s="7" t="str">
        <f>IF(Notes!BY900="","",Notes!BY900)</f>
        <v/>
      </c>
      <c r="B904" s="7" t="str">
        <f>IF(Notes!BZ900="","",Notes!BZ900)</f>
        <v/>
      </c>
      <c r="C904" s="7" t="str">
        <f>IF(Notes!CA900="","",Notes!CA900)</f>
        <v/>
      </c>
      <c r="D904" s="7" t="str">
        <f>IF(Notes!CB900="","",Notes!CB900)</f>
        <v/>
      </c>
      <c r="E904" s="7" t="str">
        <f>IF(Notes!CC900="","",Notes!CC900)</f>
        <v/>
      </c>
      <c r="F904" s="7" t="str">
        <f>IF(Notes!CD900="","",Notes!CD900)</f>
        <v/>
      </c>
      <c r="G904" s="7" t="str">
        <f>IF(Notes!CE900="","",Notes!CE900)</f>
        <v/>
      </c>
      <c r="H904" s="7" t="str">
        <f>IF(Notes!CF900="","",Notes!CF900)</f>
        <v/>
      </c>
      <c r="I904" s="7"/>
      <c r="J904" s="7"/>
      <c r="K904" s="7"/>
    </row>
    <row r="905" spans="1:11" x14ac:dyDescent="0.35">
      <c r="A905" s="7" t="str">
        <f>IF(Notes!BY901="","",Notes!BY901)</f>
        <v/>
      </c>
      <c r="B905" s="7" t="str">
        <f>IF(Notes!BZ901="","",Notes!BZ901)</f>
        <v/>
      </c>
      <c r="C905" s="7" t="str">
        <f>IF(Notes!CA901="","",Notes!CA901)</f>
        <v/>
      </c>
      <c r="D905" s="7" t="str">
        <f>IF(Notes!CB901="","",Notes!CB901)</f>
        <v/>
      </c>
      <c r="E905" s="7" t="str">
        <f>IF(Notes!CC901="","",Notes!CC901)</f>
        <v/>
      </c>
      <c r="F905" s="7" t="str">
        <f>IF(Notes!CD901="","",Notes!CD901)</f>
        <v/>
      </c>
      <c r="G905" s="7" t="str">
        <f>IF(Notes!CE901="","",Notes!CE901)</f>
        <v/>
      </c>
      <c r="H905" s="7" t="str">
        <f>IF(Notes!CF901="","",Notes!CF901)</f>
        <v/>
      </c>
      <c r="I905" s="7"/>
      <c r="J905" s="7"/>
      <c r="K905" s="7"/>
    </row>
    <row r="906" spans="1:11" x14ac:dyDescent="0.35">
      <c r="A906" s="7" t="str">
        <f>IF(Notes!BY902="","",Notes!BY902)</f>
        <v/>
      </c>
      <c r="B906" s="7" t="str">
        <f>IF(Notes!BZ902="","",Notes!BZ902)</f>
        <v/>
      </c>
      <c r="C906" s="7" t="str">
        <f>IF(Notes!CA902="","",Notes!CA902)</f>
        <v/>
      </c>
      <c r="D906" s="7" t="str">
        <f>IF(Notes!CB902="","",Notes!CB902)</f>
        <v/>
      </c>
      <c r="E906" s="7" t="str">
        <f>IF(Notes!CC902="","",Notes!CC902)</f>
        <v/>
      </c>
      <c r="F906" s="7" t="str">
        <f>IF(Notes!CD902="","",Notes!CD902)</f>
        <v/>
      </c>
      <c r="G906" s="7" t="str">
        <f>IF(Notes!CE902="","",Notes!CE902)</f>
        <v/>
      </c>
      <c r="H906" s="7" t="str">
        <f>IF(Notes!CF902="","",Notes!CF902)</f>
        <v/>
      </c>
      <c r="I906" s="7"/>
      <c r="J906" s="7"/>
      <c r="K906" s="7"/>
    </row>
    <row r="907" spans="1:11" x14ac:dyDescent="0.35">
      <c r="A907" s="7" t="str">
        <f>IF(Notes!BY903="","",Notes!BY903)</f>
        <v/>
      </c>
      <c r="B907" s="7" t="str">
        <f>IF(Notes!BZ903="","",Notes!BZ903)</f>
        <v/>
      </c>
      <c r="C907" s="7" t="str">
        <f>IF(Notes!CA903="","",Notes!CA903)</f>
        <v/>
      </c>
      <c r="D907" s="7" t="str">
        <f>IF(Notes!CB903="","",Notes!CB903)</f>
        <v/>
      </c>
      <c r="E907" s="7" t="str">
        <f>IF(Notes!CC903="","",Notes!CC903)</f>
        <v/>
      </c>
      <c r="F907" s="7" t="str">
        <f>IF(Notes!CD903="","",Notes!CD903)</f>
        <v/>
      </c>
      <c r="G907" s="7" t="str">
        <f>IF(Notes!CE903="","",Notes!CE903)</f>
        <v/>
      </c>
      <c r="H907" s="7" t="str">
        <f>IF(Notes!CF903="","",Notes!CF903)</f>
        <v/>
      </c>
      <c r="I907" s="7"/>
      <c r="J907" s="7"/>
      <c r="K907" s="7"/>
    </row>
    <row r="908" spans="1:11" x14ac:dyDescent="0.35">
      <c r="A908" s="7" t="str">
        <f>IF(Notes!BY904="","",Notes!BY904)</f>
        <v/>
      </c>
      <c r="B908" s="7" t="str">
        <f>IF(Notes!BZ904="","",Notes!BZ904)</f>
        <v/>
      </c>
      <c r="C908" s="7" t="str">
        <f>IF(Notes!CA904="","",Notes!CA904)</f>
        <v/>
      </c>
      <c r="D908" s="7" t="str">
        <f>IF(Notes!CB904="","",Notes!CB904)</f>
        <v/>
      </c>
      <c r="E908" s="7" t="str">
        <f>IF(Notes!CC904="","",Notes!CC904)</f>
        <v/>
      </c>
      <c r="F908" s="7" t="str">
        <f>IF(Notes!CD904="","",Notes!CD904)</f>
        <v/>
      </c>
      <c r="G908" s="7" t="str">
        <f>IF(Notes!CE904="","",Notes!CE904)</f>
        <v/>
      </c>
      <c r="H908" s="7" t="str">
        <f>IF(Notes!CF904="","",Notes!CF904)</f>
        <v/>
      </c>
      <c r="I908" s="7"/>
      <c r="J908" s="7"/>
      <c r="K908" s="7"/>
    </row>
    <row r="909" spans="1:11" x14ac:dyDescent="0.35">
      <c r="A909" s="7" t="str">
        <f>IF(Notes!BY905="","",Notes!BY905)</f>
        <v/>
      </c>
      <c r="B909" s="7" t="str">
        <f>IF(Notes!BZ905="","",Notes!BZ905)</f>
        <v/>
      </c>
      <c r="C909" s="7" t="str">
        <f>IF(Notes!CA905="","",Notes!CA905)</f>
        <v/>
      </c>
      <c r="D909" s="7" t="str">
        <f>IF(Notes!CB905="","",Notes!CB905)</f>
        <v/>
      </c>
      <c r="E909" s="7" t="str">
        <f>IF(Notes!CC905="","",Notes!CC905)</f>
        <v/>
      </c>
      <c r="F909" s="7" t="str">
        <f>IF(Notes!CD905="","",Notes!CD905)</f>
        <v/>
      </c>
      <c r="G909" s="7" t="str">
        <f>IF(Notes!CE905="","",Notes!CE905)</f>
        <v/>
      </c>
      <c r="H909" s="7" t="str">
        <f>IF(Notes!CF905="","",Notes!CF905)</f>
        <v/>
      </c>
      <c r="I909" s="7"/>
      <c r="J909" s="7"/>
      <c r="K909" s="7"/>
    </row>
    <row r="910" spans="1:11" x14ac:dyDescent="0.35">
      <c r="A910" s="7" t="str">
        <f>IF(Notes!BY906="","",Notes!BY906)</f>
        <v/>
      </c>
      <c r="B910" s="7" t="str">
        <f>IF(Notes!BZ906="","",Notes!BZ906)</f>
        <v/>
      </c>
      <c r="C910" s="7" t="str">
        <f>IF(Notes!CA906="","",Notes!CA906)</f>
        <v/>
      </c>
      <c r="D910" s="7" t="str">
        <f>IF(Notes!CB906="","",Notes!CB906)</f>
        <v/>
      </c>
      <c r="E910" s="7" t="str">
        <f>IF(Notes!CC906="","",Notes!CC906)</f>
        <v/>
      </c>
      <c r="F910" s="7" t="str">
        <f>IF(Notes!CD906="","",Notes!CD906)</f>
        <v/>
      </c>
      <c r="G910" s="7" t="str">
        <f>IF(Notes!CE906="","",Notes!CE906)</f>
        <v/>
      </c>
      <c r="H910" s="7" t="str">
        <f>IF(Notes!CF906="","",Notes!CF906)</f>
        <v/>
      </c>
      <c r="I910" s="7"/>
      <c r="J910" s="7"/>
      <c r="K910" s="7"/>
    </row>
    <row r="911" spans="1:11" x14ac:dyDescent="0.35">
      <c r="A911" s="7" t="str">
        <f>IF(Notes!BY907="","",Notes!BY907)</f>
        <v/>
      </c>
      <c r="B911" s="7" t="str">
        <f>IF(Notes!BZ907="","",Notes!BZ907)</f>
        <v/>
      </c>
      <c r="C911" s="7" t="str">
        <f>IF(Notes!CA907="","",Notes!CA907)</f>
        <v/>
      </c>
      <c r="D911" s="7" t="str">
        <f>IF(Notes!CB907="","",Notes!CB907)</f>
        <v/>
      </c>
      <c r="E911" s="7" t="str">
        <f>IF(Notes!CC907="","",Notes!CC907)</f>
        <v/>
      </c>
      <c r="F911" s="7" t="str">
        <f>IF(Notes!CD907="","",Notes!CD907)</f>
        <v/>
      </c>
      <c r="G911" s="7" t="str">
        <f>IF(Notes!CE907="","",Notes!CE907)</f>
        <v/>
      </c>
      <c r="H911" s="7" t="str">
        <f>IF(Notes!CF907="","",Notes!CF907)</f>
        <v/>
      </c>
      <c r="I911" s="7"/>
      <c r="J911" s="7"/>
      <c r="K911" s="7"/>
    </row>
    <row r="912" spans="1:11" x14ac:dyDescent="0.35">
      <c r="A912" s="7" t="str">
        <f>IF(Notes!BY908="","",Notes!BY908)</f>
        <v/>
      </c>
      <c r="B912" s="7" t="str">
        <f>IF(Notes!BZ908="","",Notes!BZ908)</f>
        <v/>
      </c>
      <c r="C912" s="7" t="str">
        <f>IF(Notes!CA908="","",Notes!CA908)</f>
        <v/>
      </c>
      <c r="D912" s="7" t="str">
        <f>IF(Notes!CB908="","",Notes!CB908)</f>
        <v/>
      </c>
      <c r="E912" s="7" t="str">
        <f>IF(Notes!CC908="","",Notes!CC908)</f>
        <v/>
      </c>
      <c r="F912" s="7" t="str">
        <f>IF(Notes!CD908="","",Notes!CD908)</f>
        <v/>
      </c>
      <c r="G912" s="7" t="str">
        <f>IF(Notes!CE908="","",Notes!CE908)</f>
        <v/>
      </c>
      <c r="H912" s="7" t="str">
        <f>IF(Notes!CF908="","",Notes!CF908)</f>
        <v/>
      </c>
      <c r="I912" s="7"/>
      <c r="J912" s="7"/>
      <c r="K912" s="7"/>
    </row>
    <row r="913" spans="1:11" x14ac:dyDescent="0.35">
      <c r="A913" s="7" t="str">
        <f>IF(Notes!BY909="","",Notes!BY909)</f>
        <v/>
      </c>
      <c r="B913" s="7" t="str">
        <f>IF(Notes!BZ909="","",Notes!BZ909)</f>
        <v/>
      </c>
      <c r="C913" s="7" t="str">
        <f>IF(Notes!CA909="","",Notes!CA909)</f>
        <v/>
      </c>
      <c r="D913" s="7" t="str">
        <f>IF(Notes!CB909="","",Notes!CB909)</f>
        <v/>
      </c>
      <c r="E913" s="7" t="str">
        <f>IF(Notes!CC909="","",Notes!CC909)</f>
        <v/>
      </c>
      <c r="F913" s="7" t="str">
        <f>IF(Notes!CD909="","",Notes!CD909)</f>
        <v/>
      </c>
      <c r="G913" s="7" t="str">
        <f>IF(Notes!CE909="","",Notes!CE909)</f>
        <v/>
      </c>
      <c r="H913" s="7" t="str">
        <f>IF(Notes!CF909="","",Notes!CF909)</f>
        <v/>
      </c>
      <c r="I913" s="7"/>
      <c r="J913" s="7"/>
      <c r="K913" s="7"/>
    </row>
    <row r="914" spans="1:11" x14ac:dyDescent="0.35">
      <c r="A914" s="7" t="str">
        <f>IF(Notes!BY910="","",Notes!BY910)</f>
        <v/>
      </c>
      <c r="B914" s="7" t="str">
        <f>IF(Notes!BZ910="","",Notes!BZ910)</f>
        <v/>
      </c>
      <c r="C914" s="7" t="str">
        <f>IF(Notes!CA910="","",Notes!CA910)</f>
        <v/>
      </c>
      <c r="D914" s="7" t="str">
        <f>IF(Notes!CB910="","",Notes!CB910)</f>
        <v/>
      </c>
      <c r="E914" s="7" t="str">
        <f>IF(Notes!CC910="","",Notes!CC910)</f>
        <v/>
      </c>
      <c r="F914" s="7" t="str">
        <f>IF(Notes!CD910="","",Notes!CD910)</f>
        <v/>
      </c>
      <c r="G914" s="7" t="str">
        <f>IF(Notes!CE910="","",Notes!CE910)</f>
        <v/>
      </c>
      <c r="H914" s="7" t="str">
        <f>IF(Notes!CF910="","",Notes!CF910)</f>
        <v/>
      </c>
      <c r="I914" s="7"/>
      <c r="J914" s="7"/>
      <c r="K914" s="7"/>
    </row>
    <row r="915" spans="1:11" x14ac:dyDescent="0.35">
      <c r="A915" s="7" t="str">
        <f>IF(Notes!BY911="","",Notes!BY911)</f>
        <v/>
      </c>
      <c r="B915" s="7" t="str">
        <f>IF(Notes!BZ911="","",Notes!BZ911)</f>
        <v/>
      </c>
      <c r="C915" s="7" t="str">
        <f>IF(Notes!CA911="","",Notes!CA911)</f>
        <v/>
      </c>
      <c r="D915" s="7" t="str">
        <f>IF(Notes!CB911="","",Notes!CB911)</f>
        <v/>
      </c>
      <c r="E915" s="7" t="str">
        <f>IF(Notes!CC911="","",Notes!CC911)</f>
        <v/>
      </c>
      <c r="F915" s="7" t="str">
        <f>IF(Notes!CD911="","",Notes!CD911)</f>
        <v/>
      </c>
      <c r="G915" s="7" t="str">
        <f>IF(Notes!CE911="","",Notes!CE911)</f>
        <v/>
      </c>
      <c r="H915" s="7" t="str">
        <f>IF(Notes!CF911="","",Notes!CF911)</f>
        <v/>
      </c>
      <c r="I915" s="7"/>
      <c r="J915" s="7"/>
      <c r="K915" s="7"/>
    </row>
    <row r="916" spans="1:11" x14ac:dyDescent="0.35">
      <c r="A916" s="7" t="str">
        <f>IF(Notes!BY912="","",Notes!BY912)</f>
        <v/>
      </c>
      <c r="B916" s="7" t="str">
        <f>IF(Notes!BZ912="","",Notes!BZ912)</f>
        <v/>
      </c>
      <c r="C916" s="7" t="str">
        <f>IF(Notes!CA912="","",Notes!CA912)</f>
        <v/>
      </c>
      <c r="D916" s="7" t="str">
        <f>IF(Notes!CB912="","",Notes!CB912)</f>
        <v/>
      </c>
      <c r="E916" s="7" t="str">
        <f>IF(Notes!CC912="","",Notes!CC912)</f>
        <v/>
      </c>
      <c r="F916" s="7" t="str">
        <f>IF(Notes!CD912="","",Notes!CD912)</f>
        <v/>
      </c>
      <c r="G916" s="7" t="str">
        <f>IF(Notes!CE912="","",Notes!CE912)</f>
        <v/>
      </c>
      <c r="H916" s="7" t="str">
        <f>IF(Notes!CF912="","",Notes!CF912)</f>
        <v/>
      </c>
      <c r="I916" s="7"/>
      <c r="J916" s="7"/>
      <c r="K916" s="7"/>
    </row>
    <row r="917" spans="1:11" x14ac:dyDescent="0.35">
      <c r="A917" s="7" t="str">
        <f>IF(Notes!BY913="","",Notes!BY913)</f>
        <v/>
      </c>
      <c r="B917" s="7" t="str">
        <f>IF(Notes!BZ913="","",Notes!BZ913)</f>
        <v/>
      </c>
      <c r="C917" s="7" t="str">
        <f>IF(Notes!CA913="","",Notes!CA913)</f>
        <v/>
      </c>
      <c r="D917" s="7" t="str">
        <f>IF(Notes!CB913="","",Notes!CB913)</f>
        <v/>
      </c>
      <c r="E917" s="7" t="str">
        <f>IF(Notes!CC913="","",Notes!CC913)</f>
        <v/>
      </c>
      <c r="F917" s="7" t="str">
        <f>IF(Notes!CD913="","",Notes!CD913)</f>
        <v/>
      </c>
      <c r="G917" s="7" t="str">
        <f>IF(Notes!CE913="","",Notes!CE913)</f>
        <v/>
      </c>
      <c r="H917" s="7" t="str">
        <f>IF(Notes!CF913="","",Notes!CF913)</f>
        <v/>
      </c>
      <c r="I917" s="7"/>
      <c r="J917" s="7"/>
      <c r="K917" s="7"/>
    </row>
    <row r="918" spans="1:11" x14ac:dyDescent="0.35">
      <c r="A918" s="7" t="str">
        <f>IF(Notes!BY914="","",Notes!BY914)</f>
        <v/>
      </c>
      <c r="B918" s="7" t="str">
        <f>IF(Notes!BZ914="","",Notes!BZ914)</f>
        <v/>
      </c>
      <c r="C918" s="7" t="str">
        <f>IF(Notes!CA914="","",Notes!CA914)</f>
        <v/>
      </c>
      <c r="D918" s="7" t="str">
        <f>IF(Notes!CB914="","",Notes!CB914)</f>
        <v/>
      </c>
      <c r="E918" s="7" t="str">
        <f>IF(Notes!CC914="","",Notes!CC914)</f>
        <v/>
      </c>
      <c r="F918" s="7" t="str">
        <f>IF(Notes!CD914="","",Notes!CD914)</f>
        <v/>
      </c>
      <c r="G918" s="7" t="str">
        <f>IF(Notes!CE914="","",Notes!CE914)</f>
        <v/>
      </c>
      <c r="H918" s="7" t="str">
        <f>IF(Notes!CF914="","",Notes!CF914)</f>
        <v/>
      </c>
      <c r="I918" s="7"/>
      <c r="J918" s="7"/>
      <c r="K918" s="7"/>
    </row>
    <row r="919" spans="1:11" x14ac:dyDescent="0.35">
      <c r="A919" s="7" t="str">
        <f>IF(Notes!BY915="","",Notes!BY915)</f>
        <v/>
      </c>
      <c r="B919" s="7" t="str">
        <f>IF(Notes!BZ915="","",Notes!BZ915)</f>
        <v/>
      </c>
      <c r="C919" s="7" t="str">
        <f>IF(Notes!CA915="","",Notes!CA915)</f>
        <v/>
      </c>
      <c r="D919" s="7" t="str">
        <f>IF(Notes!CB915="","",Notes!CB915)</f>
        <v/>
      </c>
      <c r="E919" s="7" t="str">
        <f>IF(Notes!CC915="","",Notes!CC915)</f>
        <v/>
      </c>
      <c r="F919" s="7" t="str">
        <f>IF(Notes!CD915="","",Notes!CD915)</f>
        <v/>
      </c>
      <c r="G919" s="7" t="str">
        <f>IF(Notes!CE915="","",Notes!CE915)</f>
        <v/>
      </c>
      <c r="H919" s="7" t="str">
        <f>IF(Notes!CF915="","",Notes!CF915)</f>
        <v/>
      </c>
      <c r="I919" s="7"/>
      <c r="J919" s="7"/>
      <c r="K919" s="7"/>
    </row>
    <row r="920" spans="1:11" x14ac:dyDescent="0.35">
      <c r="A920" s="7" t="str">
        <f>IF(Notes!BY916="","",Notes!BY916)</f>
        <v/>
      </c>
      <c r="B920" s="7" t="str">
        <f>IF(Notes!BZ916="","",Notes!BZ916)</f>
        <v/>
      </c>
      <c r="C920" s="7" t="str">
        <f>IF(Notes!CA916="","",Notes!CA916)</f>
        <v/>
      </c>
      <c r="D920" s="7" t="str">
        <f>IF(Notes!CB916="","",Notes!CB916)</f>
        <v/>
      </c>
      <c r="E920" s="7" t="str">
        <f>IF(Notes!CC916="","",Notes!CC916)</f>
        <v/>
      </c>
      <c r="F920" s="7" t="str">
        <f>IF(Notes!CD916="","",Notes!CD916)</f>
        <v/>
      </c>
      <c r="G920" s="7" t="str">
        <f>IF(Notes!CE916="","",Notes!CE916)</f>
        <v/>
      </c>
      <c r="H920" s="7" t="str">
        <f>IF(Notes!CF916="","",Notes!CF916)</f>
        <v/>
      </c>
      <c r="I920" s="7"/>
      <c r="J920" s="7"/>
      <c r="K920" s="7"/>
    </row>
    <row r="921" spans="1:11" x14ac:dyDescent="0.35">
      <c r="A921" s="7" t="str">
        <f>IF(Notes!BY917="","",Notes!BY917)</f>
        <v/>
      </c>
      <c r="B921" s="7" t="str">
        <f>IF(Notes!BZ917="","",Notes!BZ917)</f>
        <v/>
      </c>
      <c r="C921" s="7" t="str">
        <f>IF(Notes!CA917="","",Notes!CA917)</f>
        <v/>
      </c>
      <c r="D921" s="7" t="str">
        <f>IF(Notes!CB917="","",Notes!CB917)</f>
        <v/>
      </c>
      <c r="E921" s="7" t="str">
        <f>IF(Notes!CC917="","",Notes!CC917)</f>
        <v/>
      </c>
      <c r="F921" s="7" t="str">
        <f>IF(Notes!CD917="","",Notes!CD917)</f>
        <v/>
      </c>
      <c r="G921" s="7" t="str">
        <f>IF(Notes!CE917="","",Notes!CE917)</f>
        <v/>
      </c>
      <c r="H921" s="7" t="str">
        <f>IF(Notes!CF917="","",Notes!CF917)</f>
        <v/>
      </c>
      <c r="I921" s="7"/>
      <c r="J921" s="7"/>
      <c r="K921" s="7"/>
    </row>
    <row r="922" spans="1:11" x14ac:dyDescent="0.35">
      <c r="A922" s="7" t="str">
        <f>IF(Notes!BY918="","",Notes!BY918)</f>
        <v/>
      </c>
      <c r="B922" s="7" t="str">
        <f>IF(Notes!BZ918="","",Notes!BZ918)</f>
        <v/>
      </c>
      <c r="C922" s="7" t="str">
        <f>IF(Notes!CA918="","",Notes!CA918)</f>
        <v/>
      </c>
      <c r="D922" s="7" t="str">
        <f>IF(Notes!CB918="","",Notes!CB918)</f>
        <v/>
      </c>
      <c r="E922" s="7" t="str">
        <f>IF(Notes!CC918="","",Notes!CC918)</f>
        <v/>
      </c>
      <c r="F922" s="7" t="str">
        <f>IF(Notes!CD918="","",Notes!CD918)</f>
        <v/>
      </c>
      <c r="G922" s="7" t="str">
        <f>IF(Notes!CE918="","",Notes!CE918)</f>
        <v/>
      </c>
      <c r="H922" s="7" t="str">
        <f>IF(Notes!CF918="","",Notes!CF918)</f>
        <v/>
      </c>
      <c r="I922" s="7"/>
      <c r="J922" s="7"/>
      <c r="K922" s="7"/>
    </row>
    <row r="923" spans="1:11" x14ac:dyDescent="0.35">
      <c r="A923" s="7" t="str">
        <f>IF(Notes!BY919="","",Notes!BY919)</f>
        <v/>
      </c>
      <c r="B923" s="7" t="str">
        <f>IF(Notes!BZ919="","",Notes!BZ919)</f>
        <v/>
      </c>
      <c r="C923" s="7" t="str">
        <f>IF(Notes!CA919="","",Notes!CA919)</f>
        <v/>
      </c>
      <c r="D923" s="7" t="str">
        <f>IF(Notes!CB919="","",Notes!CB919)</f>
        <v/>
      </c>
      <c r="E923" s="7" t="str">
        <f>IF(Notes!CC919="","",Notes!CC919)</f>
        <v/>
      </c>
      <c r="F923" s="7" t="str">
        <f>IF(Notes!CD919="","",Notes!CD919)</f>
        <v/>
      </c>
      <c r="G923" s="7" t="str">
        <f>IF(Notes!CE919="","",Notes!CE919)</f>
        <v/>
      </c>
      <c r="H923" s="7" t="str">
        <f>IF(Notes!CF919="","",Notes!CF919)</f>
        <v/>
      </c>
      <c r="I923" s="7"/>
      <c r="J923" s="7"/>
      <c r="K923" s="7"/>
    </row>
    <row r="924" spans="1:11" x14ac:dyDescent="0.35">
      <c r="A924" s="7" t="str">
        <f>IF(Notes!BY920="","",Notes!BY920)</f>
        <v/>
      </c>
      <c r="B924" s="7" t="str">
        <f>IF(Notes!BZ920="","",Notes!BZ920)</f>
        <v/>
      </c>
      <c r="C924" s="7" t="str">
        <f>IF(Notes!CA920="","",Notes!CA920)</f>
        <v/>
      </c>
      <c r="D924" s="7" t="str">
        <f>IF(Notes!CB920="","",Notes!CB920)</f>
        <v/>
      </c>
      <c r="E924" s="7" t="str">
        <f>IF(Notes!CC920="","",Notes!CC920)</f>
        <v/>
      </c>
      <c r="F924" s="7" t="str">
        <f>IF(Notes!CD920="","",Notes!CD920)</f>
        <v/>
      </c>
      <c r="G924" s="7" t="str">
        <f>IF(Notes!CE920="","",Notes!CE920)</f>
        <v/>
      </c>
      <c r="H924" s="7" t="str">
        <f>IF(Notes!CF920="","",Notes!CF920)</f>
        <v/>
      </c>
      <c r="I924" s="7"/>
      <c r="J924" s="7"/>
      <c r="K924" s="7"/>
    </row>
    <row r="925" spans="1:11" x14ac:dyDescent="0.35">
      <c r="A925" s="7" t="str">
        <f>IF(Notes!BY921="","",Notes!BY921)</f>
        <v/>
      </c>
      <c r="B925" s="7" t="str">
        <f>IF(Notes!BZ921="","",Notes!BZ921)</f>
        <v/>
      </c>
      <c r="C925" s="7" t="str">
        <f>IF(Notes!CA921="","",Notes!CA921)</f>
        <v/>
      </c>
      <c r="D925" s="7" t="str">
        <f>IF(Notes!CB921="","",Notes!CB921)</f>
        <v/>
      </c>
      <c r="E925" s="7" t="str">
        <f>IF(Notes!CC921="","",Notes!CC921)</f>
        <v/>
      </c>
      <c r="F925" s="7" t="str">
        <f>IF(Notes!CD921="","",Notes!CD921)</f>
        <v/>
      </c>
      <c r="G925" s="7" t="str">
        <f>IF(Notes!CE921="","",Notes!CE921)</f>
        <v/>
      </c>
      <c r="H925" s="7" t="str">
        <f>IF(Notes!CF921="","",Notes!CF921)</f>
        <v/>
      </c>
      <c r="I925" s="7"/>
      <c r="J925" s="7"/>
      <c r="K925" s="7"/>
    </row>
    <row r="926" spans="1:11" x14ac:dyDescent="0.35">
      <c r="A926" s="7" t="str">
        <f>IF(Notes!BY922="","",Notes!BY922)</f>
        <v/>
      </c>
      <c r="B926" s="7" t="str">
        <f>IF(Notes!BZ922="","",Notes!BZ922)</f>
        <v/>
      </c>
      <c r="C926" s="7" t="str">
        <f>IF(Notes!CA922="","",Notes!CA922)</f>
        <v/>
      </c>
      <c r="D926" s="7" t="str">
        <f>IF(Notes!CB922="","",Notes!CB922)</f>
        <v/>
      </c>
      <c r="E926" s="7" t="str">
        <f>IF(Notes!CC922="","",Notes!CC922)</f>
        <v/>
      </c>
      <c r="F926" s="7" t="str">
        <f>IF(Notes!CD922="","",Notes!CD922)</f>
        <v/>
      </c>
      <c r="G926" s="7" t="str">
        <f>IF(Notes!CE922="","",Notes!CE922)</f>
        <v/>
      </c>
      <c r="H926" s="7" t="str">
        <f>IF(Notes!CF922="","",Notes!CF922)</f>
        <v/>
      </c>
      <c r="I926" s="7"/>
      <c r="J926" s="7"/>
      <c r="K926" s="7"/>
    </row>
    <row r="927" spans="1:11" x14ac:dyDescent="0.35">
      <c r="A927" s="7" t="str">
        <f>IF(Notes!BY923="","",Notes!BY923)</f>
        <v/>
      </c>
      <c r="B927" s="7" t="str">
        <f>IF(Notes!BZ923="","",Notes!BZ923)</f>
        <v/>
      </c>
      <c r="C927" s="7" t="str">
        <f>IF(Notes!CA923="","",Notes!CA923)</f>
        <v/>
      </c>
      <c r="D927" s="7" t="str">
        <f>IF(Notes!CB923="","",Notes!CB923)</f>
        <v/>
      </c>
      <c r="E927" s="7" t="str">
        <f>IF(Notes!CC923="","",Notes!CC923)</f>
        <v/>
      </c>
      <c r="F927" s="7" t="str">
        <f>IF(Notes!CD923="","",Notes!CD923)</f>
        <v/>
      </c>
      <c r="G927" s="7" t="str">
        <f>IF(Notes!CE923="","",Notes!CE923)</f>
        <v/>
      </c>
      <c r="H927" s="7" t="str">
        <f>IF(Notes!CF923="","",Notes!CF923)</f>
        <v/>
      </c>
      <c r="I927" s="7"/>
      <c r="J927" s="7"/>
      <c r="K927" s="7"/>
    </row>
    <row r="928" spans="1:11" x14ac:dyDescent="0.35">
      <c r="A928" s="7" t="str">
        <f>IF(Notes!BY924="","",Notes!BY924)</f>
        <v/>
      </c>
      <c r="B928" s="7" t="str">
        <f>IF(Notes!BZ924="","",Notes!BZ924)</f>
        <v/>
      </c>
      <c r="C928" s="7" t="str">
        <f>IF(Notes!CA924="","",Notes!CA924)</f>
        <v/>
      </c>
      <c r="D928" s="7" t="str">
        <f>IF(Notes!CB924="","",Notes!CB924)</f>
        <v/>
      </c>
      <c r="E928" s="7" t="str">
        <f>IF(Notes!CC924="","",Notes!CC924)</f>
        <v/>
      </c>
      <c r="F928" s="7" t="str">
        <f>IF(Notes!CD924="","",Notes!CD924)</f>
        <v/>
      </c>
      <c r="G928" s="7" t="str">
        <f>IF(Notes!CE924="","",Notes!CE924)</f>
        <v/>
      </c>
      <c r="H928" s="7" t="str">
        <f>IF(Notes!CF924="","",Notes!CF924)</f>
        <v/>
      </c>
      <c r="I928" s="7"/>
      <c r="J928" s="7"/>
      <c r="K928" s="7"/>
    </row>
    <row r="929" spans="1:11" x14ac:dyDescent="0.35">
      <c r="A929" s="7" t="str">
        <f>IF(Notes!BY925="","",Notes!BY925)</f>
        <v/>
      </c>
      <c r="B929" s="7" t="str">
        <f>IF(Notes!BZ925="","",Notes!BZ925)</f>
        <v/>
      </c>
      <c r="C929" s="7" t="str">
        <f>IF(Notes!CA925="","",Notes!CA925)</f>
        <v/>
      </c>
      <c r="D929" s="7" t="str">
        <f>IF(Notes!CB925="","",Notes!CB925)</f>
        <v/>
      </c>
      <c r="E929" s="7" t="str">
        <f>IF(Notes!CC925="","",Notes!CC925)</f>
        <v/>
      </c>
      <c r="F929" s="7" t="str">
        <f>IF(Notes!CD925="","",Notes!CD925)</f>
        <v/>
      </c>
      <c r="G929" s="7" t="str">
        <f>IF(Notes!CE925="","",Notes!CE925)</f>
        <v/>
      </c>
      <c r="H929" s="7" t="str">
        <f>IF(Notes!CF925="","",Notes!CF925)</f>
        <v/>
      </c>
      <c r="I929" s="7"/>
      <c r="J929" s="7"/>
      <c r="K929" s="7"/>
    </row>
    <row r="930" spans="1:11" x14ac:dyDescent="0.35">
      <c r="A930" s="7" t="str">
        <f>IF(Notes!BY926="","",Notes!BY926)</f>
        <v/>
      </c>
      <c r="B930" s="7" t="str">
        <f>IF(Notes!BZ926="","",Notes!BZ926)</f>
        <v/>
      </c>
      <c r="C930" s="7" t="str">
        <f>IF(Notes!CA926="","",Notes!CA926)</f>
        <v/>
      </c>
      <c r="D930" s="7" t="str">
        <f>IF(Notes!CB926="","",Notes!CB926)</f>
        <v/>
      </c>
      <c r="E930" s="7" t="str">
        <f>IF(Notes!CC926="","",Notes!CC926)</f>
        <v/>
      </c>
      <c r="F930" s="7" t="str">
        <f>IF(Notes!CD926="","",Notes!CD926)</f>
        <v/>
      </c>
      <c r="G930" s="7" t="str">
        <f>IF(Notes!CE926="","",Notes!CE926)</f>
        <v/>
      </c>
      <c r="H930" s="7" t="str">
        <f>IF(Notes!CF926="","",Notes!CF926)</f>
        <v/>
      </c>
      <c r="I930" s="7"/>
      <c r="J930" s="7"/>
      <c r="K930" s="7"/>
    </row>
    <row r="931" spans="1:11" x14ac:dyDescent="0.35">
      <c r="A931" s="7" t="str">
        <f>IF(Notes!BY927="","",Notes!BY927)</f>
        <v/>
      </c>
      <c r="B931" s="7" t="str">
        <f>IF(Notes!BZ927="","",Notes!BZ927)</f>
        <v/>
      </c>
      <c r="C931" s="7" t="str">
        <f>IF(Notes!CA927="","",Notes!CA927)</f>
        <v/>
      </c>
      <c r="D931" s="7" t="str">
        <f>IF(Notes!CB927="","",Notes!CB927)</f>
        <v/>
      </c>
      <c r="E931" s="7" t="str">
        <f>IF(Notes!CC927="","",Notes!CC927)</f>
        <v/>
      </c>
      <c r="F931" s="7" t="str">
        <f>IF(Notes!CD927="","",Notes!CD927)</f>
        <v/>
      </c>
      <c r="G931" s="7" t="str">
        <f>IF(Notes!CE927="","",Notes!CE927)</f>
        <v/>
      </c>
      <c r="H931" s="7" t="str">
        <f>IF(Notes!CF927="","",Notes!CF927)</f>
        <v/>
      </c>
      <c r="I931" s="7"/>
      <c r="J931" s="7"/>
      <c r="K931" s="7"/>
    </row>
    <row r="932" spans="1:11" x14ac:dyDescent="0.35">
      <c r="A932" s="7" t="str">
        <f>IF(Notes!BY928="","",Notes!BY928)</f>
        <v/>
      </c>
      <c r="B932" s="7" t="str">
        <f>IF(Notes!BZ928="","",Notes!BZ928)</f>
        <v/>
      </c>
      <c r="C932" s="7" t="str">
        <f>IF(Notes!CA928="","",Notes!CA928)</f>
        <v/>
      </c>
      <c r="D932" s="7" t="str">
        <f>IF(Notes!CB928="","",Notes!CB928)</f>
        <v/>
      </c>
      <c r="E932" s="7" t="str">
        <f>IF(Notes!CC928="","",Notes!CC928)</f>
        <v/>
      </c>
      <c r="F932" s="7" t="str">
        <f>IF(Notes!CD928="","",Notes!CD928)</f>
        <v/>
      </c>
      <c r="G932" s="7" t="str">
        <f>IF(Notes!CE928="","",Notes!CE928)</f>
        <v/>
      </c>
      <c r="H932" s="7" t="str">
        <f>IF(Notes!CF928="","",Notes!CF928)</f>
        <v/>
      </c>
      <c r="I932" s="7"/>
      <c r="J932" s="7"/>
      <c r="K932" s="7"/>
    </row>
    <row r="933" spans="1:11" x14ac:dyDescent="0.35">
      <c r="A933" s="7" t="str">
        <f>IF(Notes!BY929="","",Notes!BY929)</f>
        <v/>
      </c>
      <c r="B933" s="7" t="str">
        <f>IF(Notes!BZ929="","",Notes!BZ929)</f>
        <v/>
      </c>
      <c r="C933" s="7" t="str">
        <f>IF(Notes!CA929="","",Notes!CA929)</f>
        <v/>
      </c>
      <c r="D933" s="7" t="str">
        <f>IF(Notes!CB929="","",Notes!CB929)</f>
        <v/>
      </c>
      <c r="E933" s="7" t="str">
        <f>IF(Notes!CC929="","",Notes!CC929)</f>
        <v/>
      </c>
      <c r="F933" s="7" t="str">
        <f>IF(Notes!CD929="","",Notes!CD929)</f>
        <v/>
      </c>
      <c r="G933" s="7" t="str">
        <f>IF(Notes!CE929="","",Notes!CE929)</f>
        <v/>
      </c>
      <c r="H933" s="7" t="str">
        <f>IF(Notes!CF929="","",Notes!CF929)</f>
        <v/>
      </c>
      <c r="I933" s="7"/>
      <c r="J933" s="7"/>
      <c r="K933" s="7"/>
    </row>
    <row r="934" spans="1:11" x14ac:dyDescent="0.35">
      <c r="A934" s="7" t="str">
        <f>IF(Notes!BY930="","",Notes!BY930)</f>
        <v/>
      </c>
      <c r="B934" s="7" t="str">
        <f>IF(Notes!BZ930="","",Notes!BZ930)</f>
        <v/>
      </c>
      <c r="C934" s="7" t="str">
        <f>IF(Notes!CA930="","",Notes!CA930)</f>
        <v/>
      </c>
      <c r="D934" s="7" t="str">
        <f>IF(Notes!CB930="","",Notes!CB930)</f>
        <v/>
      </c>
      <c r="E934" s="7" t="str">
        <f>IF(Notes!CC930="","",Notes!CC930)</f>
        <v/>
      </c>
      <c r="F934" s="7" t="str">
        <f>IF(Notes!CD930="","",Notes!CD930)</f>
        <v/>
      </c>
      <c r="G934" s="7" t="str">
        <f>IF(Notes!CE930="","",Notes!CE930)</f>
        <v/>
      </c>
      <c r="H934" s="7" t="str">
        <f>IF(Notes!CF930="","",Notes!CF930)</f>
        <v/>
      </c>
      <c r="I934" s="7"/>
      <c r="J934" s="7"/>
      <c r="K934" s="7"/>
    </row>
    <row r="935" spans="1:11" x14ac:dyDescent="0.35">
      <c r="A935" s="7" t="str">
        <f>IF(Notes!BY931="","",Notes!BY931)</f>
        <v/>
      </c>
      <c r="B935" s="7" t="str">
        <f>IF(Notes!BZ931="","",Notes!BZ931)</f>
        <v/>
      </c>
      <c r="C935" s="7" t="str">
        <f>IF(Notes!CA931="","",Notes!CA931)</f>
        <v/>
      </c>
      <c r="D935" s="7" t="str">
        <f>IF(Notes!CB931="","",Notes!CB931)</f>
        <v/>
      </c>
      <c r="E935" s="7" t="str">
        <f>IF(Notes!CC931="","",Notes!CC931)</f>
        <v/>
      </c>
      <c r="F935" s="7" t="str">
        <f>IF(Notes!CD931="","",Notes!CD931)</f>
        <v/>
      </c>
      <c r="G935" s="7" t="str">
        <f>IF(Notes!CE931="","",Notes!CE931)</f>
        <v/>
      </c>
      <c r="H935" s="7" t="str">
        <f>IF(Notes!CF931="","",Notes!CF931)</f>
        <v/>
      </c>
      <c r="I935" s="7"/>
      <c r="J935" s="7"/>
      <c r="K935" s="7"/>
    </row>
    <row r="936" spans="1:11" x14ac:dyDescent="0.35">
      <c r="A936" s="7" t="str">
        <f>IF(Notes!BY932="","",Notes!BY932)</f>
        <v/>
      </c>
      <c r="B936" s="7" t="str">
        <f>IF(Notes!BZ932="","",Notes!BZ932)</f>
        <v/>
      </c>
      <c r="C936" s="7" t="str">
        <f>IF(Notes!CA932="","",Notes!CA932)</f>
        <v/>
      </c>
      <c r="D936" s="7" t="str">
        <f>IF(Notes!CB932="","",Notes!CB932)</f>
        <v/>
      </c>
      <c r="E936" s="7" t="str">
        <f>IF(Notes!CC932="","",Notes!CC932)</f>
        <v/>
      </c>
      <c r="F936" s="7" t="str">
        <f>IF(Notes!CD932="","",Notes!CD932)</f>
        <v/>
      </c>
      <c r="G936" s="7" t="str">
        <f>IF(Notes!CE932="","",Notes!CE932)</f>
        <v/>
      </c>
      <c r="H936" s="7" t="str">
        <f>IF(Notes!CF932="","",Notes!CF932)</f>
        <v/>
      </c>
      <c r="I936" s="7"/>
      <c r="J936" s="7"/>
      <c r="K936" s="7"/>
    </row>
    <row r="937" spans="1:11" x14ac:dyDescent="0.35">
      <c r="A937" s="7" t="str">
        <f>IF(Notes!BY933="","",Notes!BY933)</f>
        <v/>
      </c>
      <c r="B937" s="7" t="str">
        <f>IF(Notes!BZ933="","",Notes!BZ933)</f>
        <v/>
      </c>
      <c r="C937" s="7" t="str">
        <f>IF(Notes!CA933="","",Notes!CA933)</f>
        <v/>
      </c>
      <c r="D937" s="7" t="str">
        <f>IF(Notes!CB933="","",Notes!CB933)</f>
        <v/>
      </c>
      <c r="E937" s="7" t="str">
        <f>IF(Notes!CC933="","",Notes!CC933)</f>
        <v/>
      </c>
      <c r="F937" s="7" t="str">
        <f>IF(Notes!CD933="","",Notes!CD933)</f>
        <v/>
      </c>
      <c r="G937" s="7" t="str">
        <f>IF(Notes!CE933="","",Notes!CE933)</f>
        <v/>
      </c>
      <c r="H937" s="7" t="str">
        <f>IF(Notes!CF933="","",Notes!CF933)</f>
        <v/>
      </c>
      <c r="I937" s="7"/>
      <c r="J937" s="7"/>
      <c r="K937" s="7"/>
    </row>
    <row r="938" spans="1:11" x14ac:dyDescent="0.35">
      <c r="A938" s="7" t="str">
        <f>IF(Notes!BY934="","",Notes!BY934)</f>
        <v/>
      </c>
      <c r="B938" s="7" t="str">
        <f>IF(Notes!BZ934="","",Notes!BZ934)</f>
        <v/>
      </c>
      <c r="C938" s="7" t="str">
        <f>IF(Notes!CA934="","",Notes!CA934)</f>
        <v/>
      </c>
      <c r="D938" s="7" t="str">
        <f>IF(Notes!CB934="","",Notes!CB934)</f>
        <v/>
      </c>
      <c r="E938" s="7" t="str">
        <f>IF(Notes!CC934="","",Notes!CC934)</f>
        <v/>
      </c>
      <c r="F938" s="7" t="str">
        <f>IF(Notes!CD934="","",Notes!CD934)</f>
        <v/>
      </c>
      <c r="G938" s="7" t="str">
        <f>IF(Notes!CE934="","",Notes!CE934)</f>
        <v/>
      </c>
      <c r="H938" s="7" t="str">
        <f>IF(Notes!CF934="","",Notes!CF934)</f>
        <v/>
      </c>
      <c r="I938" s="7"/>
      <c r="J938" s="7"/>
      <c r="K938" s="7"/>
    </row>
    <row r="939" spans="1:11" x14ac:dyDescent="0.35">
      <c r="A939" s="7" t="str">
        <f>IF(Notes!BY935="","",Notes!BY935)</f>
        <v/>
      </c>
      <c r="B939" s="7" t="str">
        <f>IF(Notes!BZ935="","",Notes!BZ935)</f>
        <v/>
      </c>
      <c r="C939" s="7" t="str">
        <f>IF(Notes!CA935="","",Notes!CA935)</f>
        <v/>
      </c>
      <c r="D939" s="7" t="str">
        <f>IF(Notes!CB935="","",Notes!CB935)</f>
        <v/>
      </c>
      <c r="E939" s="7" t="str">
        <f>IF(Notes!CC935="","",Notes!CC935)</f>
        <v/>
      </c>
      <c r="F939" s="7" t="str">
        <f>IF(Notes!CD935="","",Notes!CD935)</f>
        <v/>
      </c>
      <c r="G939" s="7" t="str">
        <f>IF(Notes!CE935="","",Notes!CE935)</f>
        <v/>
      </c>
      <c r="H939" s="7" t="str">
        <f>IF(Notes!CF935="","",Notes!CF935)</f>
        <v/>
      </c>
      <c r="I939" s="7"/>
      <c r="J939" s="7"/>
      <c r="K939" s="7"/>
    </row>
    <row r="940" spans="1:11" x14ac:dyDescent="0.35">
      <c r="A940" s="7" t="str">
        <f>IF(Notes!BY936="","",Notes!BY936)</f>
        <v/>
      </c>
      <c r="B940" s="7" t="str">
        <f>IF(Notes!BZ936="","",Notes!BZ936)</f>
        <v/>
      </c>
      <c r="C940" s="7" t="str">
        <f>IF(Notes!CA936="","",Notes!CA936)</f>
        <v/>
      </c>
      <c r="D940" s="7" t="str">
        <f>IF(Notes!CB936="","",Notes!CB936)</f>
        <v/>
      </c>
      <c r="E940" s="7" t="str">
        <f>IF(Notes!CC936="","",Notes!CC936)</f>
        <v/>
      </c>
      <c r="F940" s="7" t="str">
        <f>IF(Notes!CD936="","",Notes!CD936)</f>
        <v/>
      </c>
      <c r="G940" s="7" t="str">
        <f>IF(Notes!CE936="","",Notes!CE936)</f>
        <v/>
      </c>
      <c r="H940" s="7" t="str">
        <f>IF(Notes!CF936="","",Notes!CF936)</f>
        <v/>
      </c>
      <c r="I940" s="7"/>
      <c r="J940" s="7"/>
      <c r="K940" s="7"/>
    </row>
    <row r="941" spans="1:11" x14ac:dyDescent="0.35">
      <c r="A941" s="7" t="str">
        <f>IF(Notes!BY937="","",Notes!BY937)</f>
        <v/>
      </c>
      <c r="B941" s="7" t="str">
        <f>IF(Notes!BZ937="","",Notes!BZ937)</f>
        <v/>
      </c>
      <c r="C941" s="7" t="str">
        <f>IF(Notes!CA937="","",Notes!CA937)</f>
        <v/>
      </c>
      <c r="D941" s="7" t="str">
        <f>IF(Notes!CB937="","",Notes!CB937)</f>
        <v/>
      </c>
      <c r="E941" s="7" t="str">
        <f>IF(Notes!CC937="","",Notes!CC937)</f>
        <v/>
      </c>
      <c r="F941" s="7" t="str">
        <f>IF(Notes!CD937="","",Notes!CD937)</f>
        <v/>
      </c>
      <c r="G941" s="7" t="str">
        <f>IF(Notes!CE937="","",Notes!CE937)</f>
        <v/>
      </c>
      <c r="H941" s="7" t="str">
        <f>IF(Notes!CF937="","",Notes!CF937)</f>
        <v/>
      </c>
      <c r="I941" s="7"/>
      <c r="J941" s="7"/>
      <c r="K941" s="7"/>
    </row>
    <row r="942" spans="1:11" x14ac:dyDescent="0.35">
      <c r="A942" s="7" t="str">
        <f>IF(Notes!BY938="","",Notes!BY938)</f>
        <v/>
      </c>
      <c r="B942" s="7" t="str">
        <f>IF(Notes!BZ938="","",Notes!BZ938)</f>
        <v/>
      </c>
      <c r="C942" s="7" t="str">
        <f>IF(Notes!CA938="","",Notes!CA938)</f>
        <v/>
      </c>
      <c r="D942" s="7" t="str">
        <f>IF(Notes!CB938="","",Notes!CB938)</f>
        <v/>
      </c>
      <c r="E942" s="7" t="str">
        <f>IF(Notes!CC938="","",Notes!CC938)</f>
        <v/>
      </c>
      <c r="F942" s="7" t="str">
        <f>IF(Notes!CD938="","",Notes!CD938)</f>
        <v/>
      </c>
      <c r="G942" s="7" t="str">
        <f>IF(Notes!CE938="","",Notes!CE938)</f>
        <v/>
      </c>
      <c r="H942" s="7" t="str">
        <f>IF(Notes!CF938="","",Notes!CF938)</f>
        <v/>
      </c>
      <c r="I942" s="7"/>
      <c r="J942" s="7"/>
      <c r="K942" s="7"/>
    </row>
    <row r="943" spans="1:11" x14ac:dyDescent="0.35">
      <c r="A943" s="7" t="str">
        <f>IF(Notes!BY939="","",Notes!BY939)</f>
        <v/>
      </c>
      <c r="B943" s="7" t="str">
        <f>IF(Notes!BZ939="","",Notes!BZ939)</f>
        <v/>
      </c>
      <c r="C943" s="7" t="str">
        <f>IF(Notes!CA939="","",Notes!CA939)</f>
        <v/>
      </c>
      <c r="D943" s="7" t="str">
        <f>IF(Notes!CB939="","",Notes!CB939)</f>
        <v/>
      </c>
      <c r="E943" s="7" t="str">
        <f>IF(Notes!CC939="","",Notes!CC939)</f>
        <v/>
      </c>
      <c r="F943" s="7" t="str">
        <f>IF(Notes!CD939="","",Notes!CD939)</f>
        <v/>
      </c>
      <c r="G943" s="7" t="str">
        <f>IF(Notes!CE939="","",Notes!CE939)</f>
        <v/>
      </c>
      <c r="H943" s="7" t="str">
        <f>IF(Notes!CF939="","",Notes!CF939)</f>
        <v/>
      </c>
      <c r="I943" s="7"/>
      <c r="J943" s="7"/>
      <c r="K943" s="7"/>
    </row>
    <row r="944" spans="1:11" x14ac:dyDescent="0.35">
      <c r="A944" s="7" t="str">
        <f>IF(Notes!BY940="","",Notes!BY940)</f>
        <v/>
      </c>
      <c r="B944" s="7" t="str">
        <f>IF(Notes!BZ940="","",Notes!BZ940)</f>
        <v/>
      </c>
      <c r="C944" s="7" t="str">
        <f>IF(Notes!CA940="","",Notes!CA940)</f>
        <v/>
      </c>
      <c r="D944" s="7" t="str">
        <f>IF(Notes!CB940="","",Notes!CB940)</f>
        <v/>
      </c>
      <c r="E944" s="7" t="str">
        <f>IF(Notes!CC940="","",Notes!CC940)</f>
        <v/>
      </c>
      <c r="F944" s="7" t="str">
        <f>IF(Notes!CD940="","",Notes!CD940)</f>
        <v/>
      </c>
      <c r="G944" s="7" t="str">
        <f>IF(Notes!CE940="","",Notes!CE940)</f>
        <v/>
      </c>
      <c r="H944" s="7" t="str">
        <f>IF(Notes!CF940="","",Notes!CF940)</f>
        <v/>
      </c>
      <c r="I944" s="7"/>
      <c r="J944" s="7"/>
      <c r="K944" s="7"/>
    </row>
    <row r="945" spans="1:11" x14ac:dyDescent="0.35">
      <c r="A945" s="7" t="str">
        <f>IF(Notes!BY941="","",Notes!BY941)</f>
        <v/>
      </c>
      <c r="B945" s="7" t="str">
        <f>IF(Notes!BZ941="","",Notes!BZ941)</f>
        <v/>
      </c>
      <c r="C945" s="7" t="str">
        <f>IF(Notes!CA941="","",Notes!CA941)</f>
        <v/>
      </c>
      <c r="D945" s="7" t="str">
        <f>IF(Notes!CB941="","",Notes!CB941)</f>
        <v/>
      </c>
      <c r="E945" s="7" t="str">
        <f>IF(Notes!CC941="","",Notes!CC941)</f>
        <v/>
      </c>
      <c r="F945" s="7" t="str">
        <f>IF(Notes!CD941="","",Notes!CD941)</f>
        <v/>
      </c>
      <c r="G945" s="7" t="str">
        <f>IF(Notes!CE941="","",Notes!CE941)</f>
        <v/>
      </c>
      <c r="H945" s="7" t="str">
        <f>IF(Notes!CF941="","",Notes!CF941)</f>
        <v/>
      </c>
      <c r="I945" s="7"/>
      <c r="J945" s="7"/>
      <c r="K945" s="7"/>
    </row>
    <row r="946" spans="1:11" x14ac:dyDescent="0.35">
      <c r="A946" s="7" t="str">
        <f>IF(Notes!BY942="","",Notes!BY942)</f>
        <v/>
      </c>
      <c r="B946" s="7" t="str">
        <f>IF(Notes!BZ942="","",Notes!BZ942)</f>
        <v/>
      </c>
      <c r="C946" s="7" t="str">
        <f>IF(Notes!CA942="","",Notes!CA942)</f>
        <v/>
      </c>
      <c r="D946" s="7" t="str">
        <f>IF(Notes!CB942="","",Notes!CB942)</f>
        <v/>
      </c>
      <c r="E946" s="7" t="str">
        <f>IF(Notes!CC942="","",Notes!CC942)</f>
        <v/>
      </c>
      <c r="F946" s="7" t="str">
        <f>IF(Notes!CD942="","",Notes!CD942)</f>
        <v/>
      </c>
      <c r="G946" s="7" t="str">
        <f>IF(Notes!CE942="","",Notes!CE942)</f>
        <v/>
      </c>
      <c r="H946" s="7" t="str">
        <f>IF(Notes!CF942="","",Notes!CF942)</f>
        <v/>
      </c>
      <c r="I946" s="7"/>
      <c r="J946" s="7"/>
      <c r="K946" s="7"/>
    </row>
    <row r="947" spans="1:11" x14ac:dyDescent="0.35">
      <c r="A947" s="7" t="str">
        <f>IF(Notes!BY943="","",Notes!BY943)</f>
        <v/>
      </c>
      <c r="B947" s="7" t="str">
        <f>IF(Notes!BZ943="","",Notes!BZ943)</f>
        <v/>
      </c>
      <c r="C947" s="7" t="str">
        <f>IF(Notes!CA943="","",Notes!CA943)</f>
        <v/>
      </c>
      <c r="D947" s="7" t="str">
        <f>IF(Notes!CB943="","",Notes!CB943)</f>
        <v/>
      </c>
      <c r="E947" s="7" t="str">
        <f>IF(Notes!CC943="","",Notes!CC943)</f>
        <v/>
      </c>
      <c r="F947" s="7" t="str">
        <f>IF(Notes!CD943="","",Notes!CD943)</f>
        <v/>
      </c>
      <c r="G947" s="7" t="str">
        <f>IF(Notes!CE943="","",Notes!CE943)</f>
        <v/>
      </c>
      <c r="H947" s="7" t="str">
        <f>IF(Notes!CF943="","",Notes!CF943)</f>
        <v/>
      </c>
      <c r="I947" s="7"/>
      <c r="J947" s="7"/>
      <c r="K947" s="7"/>
    </row>
    <row r="948" spans="1:11" x14ac:dyDescent="0.35">
      <c r="A948" s="7" t="str">
        <f>IF(Notes!BY944="","",Notes!BY944)</f>
        <v/>
      </c>
      <c r="B948" s="7" t="str">
        <f>IF(Notes!BZ944="","",Notes!BZ944)</f>
        <v/>
      </c>
      <c r="C948" s="7" t="str">
        <f>IF(Notes!CA944="","",Notes!CA944)</f>
        <v/>
      </c>
      <c r="D948" s="7" t="str">
        <f>IF(Notes!CB944="","",Notes!CB944)</f>
        <v/>
      </c>
      <c r="E948" s="7" t="str">
        <f>IF(Notes!CC944="","",Notes!CC944)</f>
        <v/>
      </c>
      <c r="F948" s="7" t="str">
        <f>IF(Notes!CD944="","",Notes!CD944)</f>
        <v/>
      </c>
      <c r="G948" s="7" t="str">
        <f>IF(Notes!CE944="","",Notes!CE944)</f>
        <v/>
      </c>
      <c r="H948" s="7" t="str">
        <f>IF(Notes!CF944="","",Notes!CF944)</f>
        <v/>
      </c>
      <c r="I948" s="7"/>
      <c r="J948" s="7"/>
      <c r="K948" s="7"/>
    </row>
    <row r="949" spans="1:11" x14ac:dyDescent="0.35">
      <c r="A949" s="7" t="str">
        <f>IF(Notes!BY945="","",Notes!BY945)</f>
        <v/>
      </c>
      <c r="B949" s="7" t="str">
        <f>IF(Notes!BZ945="","",Notes!BZ945)</f>
        <v/>
      </c>
      <c r="C949" s="7" t="str">
        <f>IF(Notes!CA945="","",Notes!CA945)</f>
        <v/>
      </c>
      <c r="D949" s="7" t="str">
        <f>IF(Notes!CB945="","",Notes!CB945)</f>
        <v/>
      </c>
      <c r="E949" s="7" t="str">
        <f>IF(Notes!CC945="","",Notes!CC945)</f>
        <v/>
      </c>
      <c r="F949" s="7" t="str">
        <f>IF(Notes!CD945="","",Notes!CD945)</f>
        <v/>
      </c>
      <c r="G949" s="7" t="str">
        <f>IF(Notes!CE945="","",Notes!CE945)</f>
        <v/>
      </c>
      <c r="H949" s="7" t="str">
        <f>IF(Notes!CF945="","",Notes!CF945)</f>
        <v/>
      </c>
      <c r="I949" s="7"/>
      <c r="J949" s="7"/>
      <c r="K949" s="7"/>
    </row>
    <row r="950" spans="1:11" x14ac:dyDescent="0.35">
      <c r="A950" s="7" t="str">
        <f>IF(Notes!BY946="","",Notes!BY946)</f>
        <v/>
      </c>
      <c r="B950" s="7" t="str">
        <f>IF(Notes!BZ946="","",Notes!BZ946)</f>
        <v/>
      </c>
      <c r="C950" s="7" t="str">
        <f>IF(Notes!CA946="","",Notes!CA946)</f>
        <v/>
      </c>
      <c r="D950" s="7" t="str">
        <f>IF(Notes!CB946="","",Notes!CB946)</f>
        <v/>
      </c>
      <c r="E950" s="7" t="str">
        <f>IF(Notes!CC946="","",Notes!CC946)</f>
        <v/>
      </c>
      <c r="F950" s="7" t="str">
        <f>IF(Notes!CD946="","",Notes!CD946)</f>
        <v/>
      </c>
      <c r="G950" s="7" t="str">
        <f>IF(Notes!CE946="","",Notes!CE946)</f>
        <v/>
      </c>
      <c r="H950" s="7" t="str">
        <f>IF(Notes!CF946="","",Notes!CF946)</f>
        <v/>
      </c>
      <c r="I950" s="7"/>
      <c r="J950" s="7"/>
      <c r="K950" s="7"/>
    </row>
    <row r="951" spans="1:11" x14ac:dyDescent="0.35">
      <c r="A951" s="7" t="str">
        <f>IF(Notes!BY947="","",Notes!BY947)</f>
        <v/>
      </c>
      <c r="B951" s="7" t="str">
        <f>IF(Notes!BZ947="","",Notes!BZ947)</f>
        <v/>
      </c>
      <c r="C951" s="7" t="str">
        <f>IF(Notes!CA947="","",Notes!CA947)</f>
        <v/>
      </c>
      <c r="D951" s="7" t="str">
        <f>IF(Notes!CB947="","",Notes!CB947)</f>
        <v/>
      </c>
      <c r="E951" s="7" t="str">
        <f>IF(Notes!CC947="","",Notes!CC947)</f>
        <v/>
      </c>
      <c r="F951" s="7" t="str">
        <f>IF(Notes!CD947="","",Notes!CD947)</f>
        <v/>
      </c>
      <c r="G951" s="7" t="str">
        <f>IF(Notes!CE947="","",Notes!CE947)</f>
        <v/>
      </c>
      <c r="H951" s="7" t="str">
        <f>IF(Notes!CF947="","",Notes!CF947)</f>
        <v/>
      </c>
      <c r="I951" s="7"/>
      <c r="J951" s="7"/>
      <c r="K951" s="7"/>
    </row>
    <row r="952" spans="1:11" x14ac:dyDescent="0.35">
      <c r="A952" s="7" t="str">
        <f>IF(Notes!BY948="","",Notes!BY948)</f>
        <v/>
      </c>
      <c r="B952" s="7" t="str">
        <f>IF(Notes!BZ948="","",Notes!BZ948)</f>
        <v/>
      </c>
      <c r="C952" s="7" t="str">
        <f>IF(Notes!CA948="","",Notes!CA948)</f>
        <v/>
      </c>
      <c r="D952" s="7" t="str">
        <f>IF(Notes!CB948="","",Notes!CB948)</f>
        <v/>
      </c>
      <c r="E952" s="7" t="str">
        <f>IF(Notes!CC948="","",Notes!CC948)</f>
        <v/>
      </c>
      <c r="F952" s="7" t="str">
        <f>IF(Notes!CD948="","",Notes!CD948)</f>
        <v/>
      </c>
      <c r="G952" s="7" t="str">
        <f>IF(Notes!CE948="","",Notes!CE948)</f>
        <v/>
      </c>
      <c r="H952" s="7" t="str">
        <f>IF(Notes!CF948="","",Notes!CF948)</f>
        <v/>
      </c>
      <c r="I952" s="7"/>
      <c r="J952" s="7"/>
      <c r="K952" s="7"/>
    </row>
    <row r="953" spans="1:11" x14ac:dyDescent="0.35">
      <c r="A953" s="7" t="str">
        <f>IF(Notes!BY949="","",Notes!BY949)</f>
        <v/>
      </c>
      <c r="B953" s="7" t="str">
        <f>IF(Notes!BZ949="","",Notes!BZ949)</f>
        <v/>
      </c>
      <c r="C953" s="7" t="str">
        <f>IF(Notes!CA949="","",Notes!CA949)</f>
        <v/>
      </c>
      <c r="D953" s="7" t="str">
        <f>IF(Notes!CB949="","",Notes!CB949)</f>
        <v/>
      </c>
      <c r="E953" s="7" t="str">
        <f>IF(Notes!CC949="","",Notes!CC949)</f>
        <v/>
      </c>
      <c r="F953" s="7" t="str">
        <f>IF(Notes!CD949="","",Notes!CD949)</f>
        <v/>
      </c>
      <c r="G953" s="7" t="str">
        <f>IF(Notes!CE949="","",Notes!CE949)</f>
        <v/>
      </c>
      <c r="H953" s="7" t="str">
        <f>IF(Notes!CF949="","",Notes!CF949)</f>
        <v/>
      </c>
      <c r="I953" s="7"/>
      <c r="J953" s="7"/>
      <c r="K953" s="7"/>
    </row>
    <row r="954" spans="1:11" x14ac:dyDescent="0.35">
      <c r="A954" s="7" t="str">
        <f>IF(Notes!BY950="","",Notes!BY950)</f>
        <v/>
      </c>
      <c r="B954" s="7" t="str">
        <f>IF(Notes!BZ950="","",Notes!BZ950)</f>
        <v/>
      </c>
      <c r="C954" s="7" t="str">
        <f>IF(Notes!CA950="","",Notes!CA950)</f>
        <v/>
      </c>
      <c r="D954" s="7" t="str">
        <f>IF(Notes!CB950="","",Notes!CB950)</f>
        <v/>
      </c>
      <c r="E954" s="7" t="str">
        <f>IF(Notes!CC950="","",Notes!CC950)</f>
        <v/>
      </c>
      <c r="F954" s="7" t="str">
        <f>IF(Notes!CD950="","",Notes!CD950)</f>
        <v/>
      </c>
      <c r="G954" s="7" t="str">
        <f>IF(Notes!CE950="","",Notes!CE950)</f>
        <v/>
      </c>
      <c r="H954" s="7" t="str">
        <f>IF(Notes!CF950="","",Notes!CF950)</f>
        <v/>
      </c>
      <c r="I954" s="7"/>
      <c r="J954" s="7"/>
      <c r="K954" s="7"/>
    </row>
    <row r="955" spans="1:11" x14ac:dyDescent="0.35">
      <c r="A955" s="7" t="str">
        <f>IF(Notes!BY951="","",Notes!BY951)</f>
        <v/>
      </c>
      <c r="B955" s="7" t="str">
        <f>IF(Notes!BZ951="","",Notes!BZ951)</f>
        <v/>
      </c>
      <c r="C955" s="7" t="str">
        <f>IF(Notes!CA951="","",Notes!CA951)</f>
        <v/>
      </c>
      <c r="D955" s="7" t="str">
        <f>IF(Notes!CB951="","",Notes!CB951)</f>
        <v/>
      </c>
      <c r="E955" s="7" t="str">
        <f>IF(Notes!CC951="","",Notes!CC951)</f>
        <v/>
      </c>
      <c r="F955" s="7" t="str">
        <f>IF(Notes!CD951="","",Notes!CD951)</f>
        <v/>
      </c>
      <c r="G955" s="7" t="str">
        <f>IF(Notes!CE951="","",Notes!CE951)</f>
        <v/>
      </c>
      <c r="H955" s="7" t="str">
        <f>IF(Notes!CF951="","",Notes!CF951)</f>
        <v/>
      </c>
      <c r="I955" s="7"/>
      <c r="J955" s="7"/>
      <c r="K955" s="7"/>
    </row>
    <row r="956" spans="1:11" x14ac:dyDescent="0.35">
      <c r="A956" s="7" t="str">
        <f>IF(Notes!BY952="","",Notes!BY952)</f>
        <v/>
      </c>
      <c r="B956" s="7" t="str">
        <f>IF(Notes!BZ952="","",Notes!BZ952)</f>
        <v/>
      </c>
      <c r="C956" s="7" t="str">
        <f>IF(Notes!CA952="","",Notes!CA952)</f>
        <v/>
      </c>
      <c r="D956" s="7" t="str">
        <f>IF(Notes!CB952="","",Notes!CB952)</f>
        <v/>
      </c>
      <c r="E956" s="7" t="str">
        <f>IF(Notes!CC952="","",Notes!CC952)</f>
        <v/>
      </c>
      <c r="F956" s="7" t="str">
        <f>IF(Notes!CD952="","",Notes!CD952)</f>
        <v/>
      </c>
      <c r="G956" s="7" t="str">
        <f>IF(Notes!CE952="","",Notes!CE952)</f>
        <v/>
      </c>
      <c r="H956" s="7" t="str">
        <f>IF(Notes!CF952="","",Notes!CF952)</f>
        <v/>
      </c>
      <c r="I956" s="7"/>
      <c r="J956" s="7"/>
      <c r="K956" s="7"/>
    </row>
    <row r="957" spans="1:11" x14ac:dyDescent="0.35">
      <c r="A957" s="7" t="str">
        <f>IF(Notes!BY953="","",Notes!BY953)</f>
        <v/>
      </c>
      <c r="B957" s="7" t="str">
        <f>IF(Notes!BZ953="","",Notes!BZ953)</f>
        <v/>
      </c>
      <c r="C957" s="7" t="str">
        <f>IF(Notes!CA953="","",Notes!CA953)</f>
        <v/>
      </c>
      <c r="D957" s="7" t="str">
        <f>IF(Notes!CB953="","",Notes!CB953)</f>
        <v/>
      </c>
      <c r="E957" s="7" t="str">
        <f>IF(Notes!CC953="","",Notes!CC953)</f>
        <v/>
      </c>
      <c r="F957" s="7" t="str">
        <f>IF(Notes!CD953="","",Notes!CD953)</f>
        <v/>
      </c>
      <c r="G957" s="7" t="str">
        <f>IF(Notes!CE953="","",Notes!CE953)</f>
        <v/>
      </c>
      <c r="H957" s="7" t="str">
        <f>IF(Notes!CF953="","",Notes!CF953)</f>
        <v/>
      </c>
      <c r="I957" s="7"/>
      <c r="J957" s="7"/>
      <c r="K957" s="7"/>
    </row>
    <row r="958" spans="1:11" x14ac:dyDescent="0.35">
      <c r="A958" s="7" t="str">
        <f>IF(Notes!BY954="","",Notes!BY954)</f>
        <v/>
      </c>
      <c r="B958" s="7" t="str">
        <f>IF(Notes!BZ954="","",Notes!BZ954)</f>
        <v/>
      </c>
      <c r="C958" s="7" t="str">
        <f>IF(Notes!CA954="","",Notes!CA954)</f>
        <v/>
      </c>
      <c r="D958" s="7" t="str">
        <f>IF(Notes!CB954="","",Notes!CB954)</f>
        <v/>
      </c>
      <c r="E958" s="7" t="str">
        <f>IF(Notes!CC954="","",Notes!CC954)</f>
        <v/>
      </c>
      <c r="F958" s="7" t="str">
        <f>IF(Notes!CD954="","",Notes!CD954)</f>
        <v/>
      </c>
      <c r="G958" s="7" t="str">
        <f>IF(Notes!CE954="","",Notes!CE954)</f>
        <v/>
      </c>
      <c r="H958" s="7" t="str">
        <f>IF(Notes!CF954="","",Notes!CF954)</f>
        <v/>
      </c>
      <c r="I958" s="7"/>
      <c r="J958" s="7"/>
      <c r="K958" s="7"/>
    </row>
    <row r="959" spans="1:11" x14ac:dyDescent="0.35">
      <c r="A959" s="7" t="str">
        <f>IF(Notes!BY955="","",Notes!BY955)</f>
        <v/>
      </c>
      <c r="B959" s="7" t="str">
        <f>IF(Notes!BZ955="","",Notes!BZ955)</f>
        <v/>
      </c>
      <c r="C959" s="7" t="str">
        <f>IF(Notes!CA955="","",Notes!CA955)</f>
        <v/>
      </c>
      <c r="D959" s="7" t="str">
        <f>IF(Notes!CB955="","",Notes!CB955)</f>
        <v/>
      </c>
      <c r="E959" s="7" t="str">
        <f>IF(Notes!CC955="","",Notes!CC955)</f>
        <v/>
      </c>
      <c r="F959" s="7" t="str">
        <f>IF(Notes!CD955="","",Notes!CD955)</f>
        <v/>
      </c>
      <c r="G959" s="7" t="str">
        <f>IF(Notes!CE955="","",Notes!CE955)</f>
        <v/>
      </c>
      <c r="H959" s="7" t="str">
        <f>IF(Notes!CF955="","",Notes!CF955)</f>
        <v/>
      </c>
      <c r="I959" s="7"/>
      <c r="J959" s="7"/>
      <c r="K959" s="7"/>
    </row>
    <row r="960" spans="1:11" x14ac:dyDescent="0.35">
      <c r="A960" s="7" t="str">
        <f>IF(Notes!BY956="","",Notes!BY956)</f>
        <v/>
      </c>
      <c r="B960" s="7" t="str">
        <f>IF(Notes!BZ956="","",Notes!BZ956)</f>
        <v/>
      </c>
      <c r="C960" s="7" t="str">
        <f>IF(Notes!CA956="","",Notes!CA956)</f>
        <v/>
      </c>
      <c r="D960" s="7" t="str">
        <f>IF(Notes!CB956="","",Notes!CB956)</f>
        <v/>
      </c>
      <c r="E960" s="7" t="str">
        <f>IF(Notes!CC956="","",Notes!CC956)</f>
        <v/>
      </c>
      <c r="F960" s="7" t="str">
        <f>IF(Notes!CD956="","",Notes!CD956)</f>
        <v/>
      </c>
      <c r="G960" s="7" t="str">
        <f>IF(Notes!CE956="","",Notes!CE956)</f>
        <v/>
      </c>
      <c r="H960" s="7" t="str">
        <f>IF(Notes!CF956="","",Notes!CF956)</f>
        <v/>
      </c>
      <c r="I960" s="7"/>
      <c r="J960" s="7"/>
      <c r="K960" s="7"/>
    </row>
    <row r="961" spans="1:11" x14ac:dyDescent="0.35">
      <c r="A961" s="7" t="str">
        <f>IF(Notes!BY957="","",Notes!BY957)</f>
        <v/>
      </c>
      <c r="B961" s="7" t="str">
        <f>IF(Notes!BZ957="","",Notes!BZ957)</f>
        <v/>
      </c>
      <c r="C961" s="7" t="str">
        <f>IF(Notes!CA957="","",Notes!CA957)</f>
        <v/>
      </c>
      <c r="D961" s="7" t="str">
        <f>IF(Notes!CB957="","",Notes!CB957)</f>
        <v/>
      </c>
      <c r="E961" s="7" t="str">
        <f>IF(Notes!CC957="","",Notes!CC957)</f>
        <v/>
      </c>
      <c r="F961" s="7" t="str">
        <f>IF(Notes!CD957="","",Notes!CD957)</f>
        <v/>
      </c>
      <c r="G961" s="7" t="str">
        <f>IF(Notes!CE957="","",Notes!CE957)</f>
        <v/>
      </c>
      <c r="H961" s="7" t="str">
        <f>IF(Notes!CF957="","",Notes!CF957)</f>
        <v/>
      </c>
      <c r="I961" s="7"/>
      <c r="J961" s="7"/>
      <c r="K961" s="7"/>
    </row>
    <row r="962" spans="1:11" x14ac:dyDescent="0.35">
      <c r="A962" s="7" t="str">
        <f>IF(Notes!BY958="","",Notes!BY958)</f>
        <v/>
      </c>
      <c r="B962" s="7" t="str">
        <f>IF(Notes!BZ958="","",Notes!BZ958)</f>
        <v/>
      </c>
      <c r="C962" s="7" t="str">
        <f>IF(Notes!CA958="","",Notes!CA958)</f>
        <v/>
      </c>
      <c r="D962" s="7" t="str">
        <f>IF(Notes!CB958="","",Notes!CB958)</f>
        <v/>
      </c>
      <c r="E962" s="7" t="str">
        <f>IF(Notes!CC958="","",Notes!CC958)</f>
        <v/>
      </c>
      <c r="F962" s="7" t="str">
        <f>IF(Notes!CD958="","",Notes!CD958)</f>
        <v/>
      </c>
      <c r="G962" s="7" t="str">
        <f>IF(Notes!CE958="","",Notes!CE958)</f>
        <v/>
      </c>
      <c r="H962" s="7" t="str">
        <f>IF(Notes!CF958="","",Notes!CF958)</f>
        <v/>
      </c>
      <c r="I962" s="7"/>
      <c r="J962" s="7"/>
      <c r="K962" s="7"/>
    </row>
    <row r="963" spans="1:11" x14ac:dyDescent="0.35">
      <c r="A963" s="7" t="str">
        <f>IF(Notes!BY959="","",Notes!BY959)</f>
        <v/>
      </c>
      <c r="B963" s="7" t="str">
        <f>IF(Notes!BZ959="","",Notes!BZ959)</f>
        <v/>
      </c>
      <c r="C963" s="7" t="str">
        <f>IF(Notes!CA959="","",Notes!CA959)</f>
        <v/>
      </c>
      <c r="D963" s="7" t="str">
        <f>IF(Notes!CB959="","",Notes!CB959)</f>
        <v/>
      </c>
      <c r="E963" s="7" t="str">
        <f>IF(Notes!CC959="","",Notes!CC959)</f>
        <v/>
      </c>
      <c r="F963" s="7" t="str">
        <f>IF(Notes!CD959="","",Notes!CD959)</f>
        <v/>
      </c>
      <c r="G963" s="7" t="str">
        <f>IF(Notes!CE959="","",Notes!CE959)</f>
        <v/>
      </c>
      <c r="H963" s="7" t="str">
        <f>IF(Notes!CF959="","",Notes!CF959)</f>
        <v/>
      </c>
      <c r="I963" s="7"/>
      <c r="J963" s="7"/>
      <c r="K963" s="7"/>
    </row>
    <row r="964" spans="1:11" x14ac:dyDescent="0.35">
      <c r="A964" s="7" t="str">
        <f>IF(Notes!BY960="","",Notes!BY960)</f>
        <v/>
      </c>
      <c r="B964" s="7" t="str">
        <f>IF(Notes!BZ960="","",Notes!BZ960)</f>
        <v/>
      </c>
      <c r="C964" s="7" t="str">
        <f>IF(Notes!CA960="","",Notes!CA960)</f>
        <v/>
      </c>
      <c r="D964" s="7" t="str">
        <f>IF(Notes!CB960="","",Notes!CB960)</f>
        <v/>
      </c>
      <c r="E964" s="7" t="str">
        <f>IF(Notes!CC960="","",Notes!CC960)</f>
        <v/>
      </c>
      <c r="F964" s="7" t="str">
        <f>IF(Notes!CD960="","",Notes!CD960)</f>
        <v/>
      </c>
      <c r="G964" s="7" t="str">
        <f>IF(Notes!CE960="","",Notes!CE960)</f>
        <v/>
      </c>
      <c r="H964" s="7" t="str">
        <f>IF(Notes!CF960="","",Notes!CF960)</f>
        <v/>
      </c>
      <c r="I964" s="7"/>
      <c r="J964" s="7"/>
      <c r="K964" s="7"/>
    </row>
    <row r="965" spans="1:11" x14ac:dyDescent="0.35">
      <c r="A965" s="7" t="str">
        <f>IF(Notes!BY961="","",Notes!BY961)</f>
        <v/>
      </c>
      <c r="B965" s="7" t="str">
        <f>IF(Notes!BZ961="","",Notes!BZ961)</f>
        <v/>
      </c>
      <c r="C965" s="7" t="str">
        <f>IF(Notes!CA961="","",Notes!CA961)</f>
        <v/>
      </c>
      <c r="D965" s="7" t="str">
        <f>IF(Notes!CB961="","",Notes!CB961)</f>
        <v/>
      </c>
      <c r="E965" s="7" t="str">
        <f>IF(Notes!CC961="","",Notes!CC961)</f>
        <v/>
      </c>
      <c r="F965" s="7" t="str">
        <f>IF(Notes!CD961="","",Notes!CD961)</f>
        <v/>
      </c>
      <c r="G965" s="7" t="str">
        <f>IF(Notes!CE961="","",Notes!CE961)</f>
        <v/>
      </c>
      <c r="H965" s="7" t="str">
        <f>IF(Notes!CF961="","",Notes!CF961)</f>
        <v/>
      </c>
      <c r="I965" s="7"/>
      <c r="J965" s="7"/>
      <c r="K965" s="7"/>
    </row>
    <row r="966" spans="1:11" x14ac:dyDescent="0.35">
      <c r="A966" s="7" t="str">
        <f>IF(Notes!BY962="","",Notes!BY962)</f>
        <v/>
      </c>
      <c r="B966" s="7" t="str">
        <f>IF(Notes!BZ962="","",Notes!BZ962)</f>
        <v/>
      </c>
      <c r="C966" s="7" t="str">
        <f>IF(Notes!CA962="","",Notes!CA962)</f>
        <v/>
      </c>
      <c r="D966" s="7" t="str">
        <f>IF(Notes!CB962="","",Notes!CB962)</f>
        <v/>
      </c>
      <c r="E966" s="7" t="str">
        <f>IF(Notes!CC962="","",Notes!CC962)</f>
        <v/>
      </c>
      <c r="F966" s="7" t="str">
        <f>IF(Notes!CD962="","",Notes!CD962)</f>
        <v/>
      </c>
      <c r="G966" s="7" t="str">
        <f>IF(Notes!CE962="","",Notes!CE962)</f>
        <v/>
      </c>
      <c r="H966" s="7" t="str">
        <f>IF(Notes!CF962="","",Notes!CF962)</f>
        <v/>
      </c>
      <c r="I966" s="7"/>
      <c r="J966" s="7"/>
      <c r="K966" s="7"/>
    </row>
    <row r="967" spans="1:11" x14ac:dyDescent="0.35">
      <c r="A967" s="7" t="str">
        <f>IF(Notes!BY963="","",Notes!BY963)</f>
        <v/>
      </c>
      <c r="B967" s="7" t="str">
        <f>IF(Notes!BZ963="","",Notes!BZ963)</f>
        <v/>
      </c>
      <c r="C967" s="7" t="str">
        <f>IF(Notes!CA963="","",Notes!CA963)</f>
        <v/>
      </c>
      <c r="D967" s="7" t="str">
        <f>IF(Notes!CB963="","",Notes!CB963)</f>
        <v/>
      </c>
      <c r="E967" s="7" t="str">
        <f>IF(Notes!CC963="","",Notes!CC963)</f>
        <v/>
      </c>
      <c r="F967" s="7" t="str">
        <f>IF(Notes!CD963="","",Notes!CD963)</f>
        <v/>
      </c>
      <c r="G967" s="7" t="str">
        <f>IF(Notes!CE963="","",Notes!CE963)</f>
        <v/>
      </c>
      <c r="H967" s="7" t="str">
        <f>IF(Notes!CF963="","",Notes!CF963)</f>
        <v/>
      </c>
      <c r="I967" s="7"/>
      <c r="J967" s="7"/>
      <c r="K967" s="7"/>
    </row>
    <row r="968" spans="1:11" x14ac:dyDescent="0.35">
      <c r="A968" s="7" t="str">
        <f>IF(Notes!BY964="","",Notes!BY964)</f>
        <v/>
      </c>
      <c r="B968" s="7" t="str">
        <f>IF(Notes!BZ964="","",Notes!BZ964)</f>
        <v/>
      </c>
      <c r="C968" s="7" t="str">
        <f>IF(Notes!CA964="","",Notes!CA964)</f>
        <v/>
      </c>
      <c r="D968" s="7" t="str">
        <f>IF(Notes!CB964="","",Notes!CB964)</f>
        <v/>
      </c>
      <c r="E968" s="7" t="str">
        <f>IF(Notes!CC964="","",Notes!CC964)</f>
        <v/>
      </c>
      <c r="F968" s="7" t="str">
        <f>IF(Notes!CD964="","",Notes!CD964)</f>
        <v/>
      </c>
      <c r="G968" s="7" t="str">
        <f>IF(Notes!CE964="","",Notes!CE964)</f>
        <v/>
      </c>
      <c r="H968" s="7" t="str">
        <f>IF(Notes!CF964="","",Notes!CF964)</f>
        <v/>
      </c>
      <c r="I968" s="7"/>
      <c r="J968" s="7"/>
      <c r="K968" s="7"/>
    </row>
    <row r="969" spans="1:11" x14ac:dyDescent="0.35">
      <c r="A969" s="7" t="str">
        <f>IF(Notes!BY965="","",Notes!BY965)</f>
        <v/>
      </c>
      <c r="B969" s="7" t="str">
        <f>IF(Notes!BZ965="","",Notes!BZ965)</f>
        <v/>
      </c>
      <c r="C969" s="7" t="str">
        <f>IF(Notes!CA965="","",Notes!CA965)</f>
        <v/>
      </c>
      <c r="D969" s="7" t="str">
        <f>IF(Notes!CB965="","",Notes!CB965)</f>
        <v/>
      </c>
      <c r="E969" s="7" t="str">
        <f>IF(Notes!CC965="","",Notes!CC965)</f>
        <v/>
      </c>
      <c r="F969" s="7" t="str">
        <f>IF(Notes!CD965="","",Notes!CD965)</f>
        <v/>
      </c>
      <c r="G969" s="7" t="str">
        <f>IF(Notes!CE965="","",Notes!CE965)</f>
        <v/>
      </c>
      <c r="H969" s="7" t="str">
        <f>IF(Notes!CF965="","",Notes!CF965)</f>
        <v/>
      </c>
      <c r="I969" s="7"/>
      <c r="J969" s="7"/>
      <c r="K969" s="7"/>
    </row>
    <row r="970" spans="1:11" x14ac:dyDescent="0.35">
      <c r="A970" s="7" t="str">
        <f>IF(Notes!BY966="","",Notes!BY966)</f>
        <v/>
      </c>
      <c r="B970" s="7" t="str">
        <f>IF(Notes!BZ966="","",Notes!BZ966)</f>
        <v/>
      </c>
      <c r="C970" s="7" t="str">
        <f>IF(Notes!CA966="","",Notes!CA966)</f>
        <v/>
      </c>
      <c r="D970" s="7" t="str">
        <f>IF(Notes!CB966="","",Notes!CB966)</f>
        <v/>
      </c>
      <c r="E970" s="7" t="str">
        <f>IF(Notes!CC966="","",Notes!CC966)</f>
        <v/>
      </c>
      <c r="F970" s="7" t="str">
        <f>IF(Notes!CD966="","",Notes!CD966)</f>
        <v/>
      </c>
      <c r="G970" s="7" t="str">
        <f>IF(Notes!CE966="","",Notes!CE966)</f>
        <v/>
      </c>
      <c r="H970" s="7" t="str">
        <f>IF(Notes!CF966="","",Notes!CF966)</f>
        <v/>
      </c>
      <c r="I970" s="7"/>
      <c r="J970" s="7"/>
      <c r="K970" s="7"/>
    </row>
    <row r="971" spans="1:11" x14ac:dyDescent="0.35">
      <c r="A971" s="7" t="str">
        <f>IF(Notes!BY967="","",Notes!BY967)</f>
        <v/>
      </c>
      <c r="B971" s="7" t="str">
        <f>IF(Notes!BZ967="","",Notes!BZ967)</f>
        <v/>
      </c>
      <c r="C971" s="7" t="str">
        <f>IF(Notes!CA967="","",Notes!CA967)</f>
        <v/>
      </c>
      <c r="D971" s="7" t="str">
        <f>IF(Notes!CB967="","",Notes!CB967)</f>
        <v/>
      </c>
      <c r="E971" s="7" t="str">
        <f>IF(Notes!CC967="","",Notes!CC967)</f>
        <v/>
      </c>
      <c r="F971" s="7" t="str">
        <f>IF(Notes!CD967="","",Notes!CD967)</f>
        <v/>
      </c>
      <c r="G971" s="7" t="str">
        <f>IF(Notes!CE967="","",Notes!CE967)</f>
        <v/>
      </c>
      <c r="H971" s="7" t="str">
        <f>IF(Notes!CF967="","",Notes!CF967)</f>
        <v/>
      </c>
      <c r="I971" s="7"/>
      <c r="J971" s="7"/>
      <c r="K971" s="7"/>
    </row>
    <row r="972" spans="1:11" x14ac:dyDescent="0.35">
      <c r="A972" s="7" t="str">
        <f>IF(Notes!BY968="","",Notes!BY968)</f>
        <v/>
      </c>
      <c r="B972" s="7" t="str">
        <f>IF(Notes!BZ968="","",Notes!BZ968)</f>
        <v/>
      </c>
      <c r="C972" s="7" t="str">
        <f>IF(Notes!CA968="","",Notes!CA968)</f>
        <v/>
      </c>
      <c r="D972" s="7" t="str">
        <f>IF(Notes!CB968="","",Notes!CB968)</f>
        <v/>
      </c>
      <c r="E972" s="7" t="str">
        <f>IF(Notes!CC968="","",Notes!CC968)</f>
        <v/>
      </c>
      <c r="F972" s="7" t="str">
        <f>IF(Notes!CD968="","",Notes!CD968)</f>
        <v/>
      </c>
      <c r="G972" s="7" t="str">
        <f>IF(Notes!CE968="","",Notes!CE968)</f>
        <v/>
      </c>
      <c r="H972" s="7" t="str">
        <f>IF(Notes!CF968="","",Notes!CF968)</f>
        <v/>
      </c>
      <c r="I972" s="7"/>
      <c r="J972" s="7"/>
      <c r="K972" s="7"/>
    </row>
    <row r="973" spans="1:11" x14ac:dyDescent="0.35">
      <c r="A973" s="7" t="str">
        <f>IF(Notes!BY969="","",Notes!BY969)</f>
        <v/>
      </c>
      <c r="B973" s="7" t="str">
        <f>IF(Notes!BZ969="","",Notes!BZ969)</f>
        <v/>
      </c>
      <c r="C973" s="7" t="str">
        <f>IF(Notes!CA969="","",Notes!CA969)</f>
        <v/>
      </c>
      <c r="D973" s="7" t="str">
        <f>IF(Notes!CB969="","",Notes!CB969)</f>
        <v/>
      </c>
      <c r="E973" s="7" t="str">
        <f>IF(Notes!CC969="","",Notes!CC969)</f>
        <v/>
      </c>
      <c r="F973" s="7" t="str">
        <f>IF(Notes!CD969="","",Notes!CD969)</f>
        <v/>
      </c>
      <c r="G973" s="7" t="str">
        <f>IF(Notes!CE969="","",Notes!CE969)</f>
        <v/>
      </c>
      <c r="H973" s="7" t="str">
        <f>IF(Notes!CF969="","",Notes!CF969)</f>
        <v/>
      </c>
      <c r="I973" s="7"/>
      <c r="J973" s="7"/>
      <c r="K973" s="7"/>
    </row>
    <row r="974" spans="1:11" x14ac:dyDescent="0.35">
      <c r="A974" s="7" t="str">
        <f>IF(Notes!BY970="","",Notes!BY970)</f>
        <v/>
      </c>
      <c r="B974" s="7" t="str">
        <f>IF(Notes!BZ970="","",Notes!BZ970)</f>
        <v/>
      </c>
      <c r="C974" s="7" t="str">
        <f>IF(Notes!CA970="","",Notes!CA970)</f>
        <v/>
      </c>
      <c r="D974" s="7" t="str">
        <f>IF(Notes!CB970="","",Notes!CB970)</f>
        <v/>
      </c>
      <c r="E974" s="7" t="str">
        <f>IF(Notes!CC970="","",Notes!CC970)</f>
        <v/>
      </c>
      <c r="F974" s="7" t="str">
        <f>IF(Notes!CD970="","",Notes!CD970)</f>
        <v/>
      </c>
      <c r="G974" s="7" t="str">
        <f>IF(Notes!CE970="","",Notes!CE970)</f>
        <v/>
      </c>
      <c r="H974" s="7" t="str">
        <f>IF(Notes!CF970="","",Notes!CF970)</f>
        <v/>
      </c>
      <c r="I974" s="7"/>
      <c r="J974" s="7"/>
      <c r="K974" s="7"/>
    </row>
    <row r="975" spans="1:11" x14ac:dyDescent="0.35">
      <c r="A975" s="7" t="str">
        <f>IF(Notes!BY971="","",Notes!BY971)</f>
        <v/>
      </c>
      <c r="B975" s="7" t="str">
        <f>IF(Notes!BZ971="","",Notes!BZ971)</f>
        <v/>
      </c>
      <c r="C975" s="7" t="str">
        <f>IF(Notes!CA971="","",Notes!CA971)</f>
        <v/>
      </c>
      <c r="D975" s="7" t="str">
        <f>IF(Notes!CB971="","",Notes!CB971)</f>
        <v/>
      </c>
      <c r="E975" s="7" t="str">
        <f>IF(Notes!CC971="","",Notes!CC971)</f>
        <v/>
      </c>
      <c r="F975" s="7" t="str">
        <f>IF(Notes!CD971="","",Notes!CD971)</f>
        <v/>
      </c>
      <c r="G975" s="7" t="str">
        <f>IF(Notes!CE971="","",Notes!CE971)</f>
        <v/>
      </c>
      <c r="H975" s="7" t="str">
        <f>IF(Notes!CF971="","",Notes!CF971)</f>
        <v/>
      </c>
      <c r="I975" s="7"/>
      <c r="J975" s="7"/>
      <c r="K975" s="7"/>
    </row>
    <row r="976" spans="1:11" x14ac:dyDescent="0.35">
      <c r="A976" s="7" t="str">
        <f>IF(Notes!BY972="","",Notes!BY972)</f>
        <v/>
      </c>
      <c r="B976" s="7" t="str">
        <f>IF(Notes!BZ972="","",Notes!BZ972)</f>
        <v/>
      </c>
      <c r="C976" s="7" t="str">
        <f>IF(Notes!CA972="","",Notes!CA972)</f>
        <v/>
      </c>
      <c r="D976" s="7" t="str">
        <f>IF(Notes!CB972="","",Notes!CB972)</f>
        <v/>
      </c>
      <c r="E976" s="7" t="str">
        <f>IF(Notes!CC972="","",Notes!CC972)</f>
        <v/>
      </c>
      <c r="F976" s="7" t="str">
        <f>IF(Notes!CD972="","",Notes!CD972)</f>
        <v/>
      </c>
      <c r="G976" s="7" t="str">
        <f>IF(Notes!CE972="","",Notes!CE972)</f>
        <v/>
      </c>
      <c r="H976" s="7" t="str">
        <f>IF(Notes!CF972="","",Notes!CF972)</f>
        <v/>
      </c>
      <c r="I976" s="7"/>
      <c r="J976" s="7"/>
      <c r="K976" s="7"/>
    </row>
    <row r="977" spans="1:11" x14ac:dyDescent="0.35">
      <c r="A977" s="7" t="str">
        <f>IF(Notes!BY973="","",Notes!BY973)</f>
        <v/>
      </c>
      <c r="B977" s="7" t="str">
        <f>IF(Notes!BZ973="","",Notes!BZ973)</f>
        <v/>
      </c>
      <c r="C977" s="7" t="str">
        <f>IF(Notes!CA973="","",Notes!CA973)</f>
        <v/>
      </c>
      <c r="D977" s="7" t="str">
        <f>IF(Notes!CB973="","",Notes!CB973)</f>
        <v/>
      </c>
      <c r="E977" s="7" t="str">
        <f>IF(Notes!CC973="","",Notes!CC973)</f>
        <v/>
      </c>
      <c r="F977" s="7" t="str">
        <f>IF(Notes!CD973="","",Notes!CD973)</f>
        <v/>
      </c>
      <c r="G977" s="7" t="str">
        <f>IF(Notes!CE973="","",Notes!CE973)</f>
        <v/>
      </c>
      <c r="H977" s="7" t="str">
        <f>IF(Notes!CF973="","",Notes!CF973)</f>
        <v/>
      </c>
      <c r="I977" s="7"/>
      <c r="J977" s="7"/>
      <c r="K977" s="7"/>
    </row>
    <row r="978" spans="1:11" x14ac:dyDescent="0.35">
      <c r="A978" s="7" t="str">
        <f>IF(Notes!BY974="","",Notes!BY974)</f>
        <v/>
      </c>
      <c r="B978" s="7" t="str">
        <f>IF(Notes!BZ974="","",Notes!BZ974)</f>
        <v/>
      </c>
      <c r="C978" s="7" t="str">
        <f>IF(Notes!CA974="","",Notes!CA974)</f>
        <v/>
      </c>
      <c r="D978" s="7" t="str">
        <f>IF(Notes!CB974="","",Notes!CB974)</f>
        <v/>
      </c>
      <c r="E978" s="7" t="str">
        <f>IF(Notes!CC974="","",Notes!CC974)</f>
        <v/>
      </c>
      <c r="F978" s="7" t="str">
        <f>IF(Notes!CD974="","",Notes!CD974)</f>
        <v/>
      </c>
      <c r="G978" s="7" t="str">
        <f>IF(Notes!CE974="","",Notes!CE974)</f>
        <v/>
      </c>
      <c r="H978" s="7" t="str">
        <f>IF(Notes!CF974="","",Notes!CF974)</f>
        <v/>
      </c>
      <c r="I978" s="7"/>
      <c r="J978" s="7"/>
      <c r="K978" s="7"/>
    </row>
    <row r="979" spans="1:11" x14ac:dyDescent="0.35">
      <c r="A979" s="7" t="str">
        <f>IF(Notes!BY975="","",Notes!BY975)</f>
        <v/>
      </c>
      <c r="B979" s="7" t="str">
        <f>IF(Notes!BZ975="","",Notes!BZ975)</f>
        <v/>
      </c>
      <c r="C979" s="7" t="str">
        <f>IF(Notes!CA975="","",Notes!CA975)</f>
        <v/>
      </c>
      <c r="D979" s="7" t="str">
        <f>IF(Notes!CB975="","",Notes!CB975)</f>
        <v/>
      </c>
      <c r="E979" s="7" t="str">
        <f>IF(Notes!CC975="","",Notes!CC975)</f>
        <v/>
      </c>
      <c r="F979" s="7" t="str">
        <f>IF(Notes!CD975="","",Notes!CD975)</f>
        <v/>
      </c>
      <c r="G979" s="7" t="str">
        <f>IF(Notes!CE975="","",Notes!CE975)</f>
        <v/>
      </c>
      <c r="H979" s="7" t="str">
        <f>IF(Notes!CF975="","",Notes!CF975)</f>
        <v/>
      </c>
      <c r="I979" s="7"/>
      <c r="J979" s="7"/>
      <c r="K979" s="7"/>
    </row>
    <row r="980" spans="1:11" x14ac:dyDescent="0.35">
      <c r="A980" s="7" t="str">
        <f>IF(Notes!BY976="","",Notes!BY976)</f>
        <v/>
      </c>
      <c r="B980" s="7" t="str">
        <f>IF(Notes!BZ976="","",Notes!BZ976)</f>
        <v/>
      </c>
      <c r="C980" s="7" t="str">
        <f>IF(Notes!CA976="","",Notes!CA976)</f>
        <v/>
      </c>
      <c r="D980" s="7" t="str">
        <f>IF(Notes!CB976="","",Notes!CB976)</f>
        <v/>
      </c>
      <c r="E980" s="7" t="str">
        <f>IF(Notes!CC976="","",Notes!CC976)</f>
        <v/>
      </c>
      <c r="F980" s="7" t="str">
        <f>IF(Notes!CD976="","",Notes!CD976)</f>
        <v/>
      </c>
      <c r="G980" s="7" t="str">
        <f>IF(Notes!CE976="","",Notes!CE976)</f>
        <v/>
      </c>
      <c r="H980" s="7" t="str">
        <f>IF(Notes!CF976="","",Notes!CF976)</f>
        <v/>
      </c>
      <c r="I980" s="7"/>
      <c r="J980" s="7"/>
      <c r="K980" s="7"/>
    </row>
    <row r="981" spans="1:11" x14ac:dyDescent="0.35">
      <c r="A981" s="7" t="str">
        <f>IF(Notes!BY977="","",Notes!BY977)</f>
        <v/>
      </c>
      <c r="B981" s="7" t="str">
        <f>IF(Notes!BZ977="","",Notes!BZ977)</f>
        <v/>
      </c>
      <c r="C981" s="7" t="str">
        <f>IF(Notes!CA977="","",Notes!CA977)</f>
        <v/>
      </c>
      <c r="D981" s="7" t="str">
        <f>IF(Notes!CB977="","",Notes!CB977)</f>
        <v/>
      </c>
      <c r="E981" s="7" t="str">
        <f>IF(Notes!CC977="","",Notes!CC977)</f>
        <v/>
      </c>
      <c r="F981" s="7" t="str">
        <f>IF(Notes!CD977="","",Notes!CD977)</f>
        <v/>
      </c>
      <c r="G981" s="7" t="str">
        <f>IF(Notes!CE977="","",Notes!CE977)</f>
        <v/>
      </c>
      <c r="H981" s="7" t="str">
        <f>IF(Notes!CF977="","",Notes!CF977)</f>
        <v/>
      </c>
      <c r="I981" s="7"/>
      <c r="J981" s="7"/>
      <c r="K981" s="7"/>
    </row>
    <row r="982" spans="1:11" x14ac:dyDescent="0.35">
      <c r="A982" s="7" t="str">
        <f>IF(Notes!BY978="","",Notes!BY978)</f>
        <v/>
      </c>
      <c r="B982" s="7" t="str">
        <f>IF(Notes!BZ978="","",Notes!BZ978)</f>
        <v/>
      </c>
      <c r="C982" s="7" t="str">
        <f>IF(Notes!CA978="","",Notes!CA978)</f>
        <v/>
      </c>
      <c r="D982" s="7" t="str">
        <f>IF(Notes!CB978="","",Notes!CB978)</f>
        <v/>
      </c>
      <c r="E982" s="7" t="str">
        <f>IF(Notes!CC978="","",Notes!CC978)</f>
        <v/>
      </c>
      <c r="F982" s="7" t="str">
        <f>IF(Notes!CD978="","",Notes!CD978)</f>
        <v/>
      </c>
      <c r="G982" s="7" t="str">
        <f>IF(Notes!CE978="","",Notes!CE978)</f>
        <v/>
      </c>
      <c r="H982" s="7" t="str">
        <f>IF(Notes!CF978="","",Notes!CF978)</f>
        <v/>
      </c>
      <c r="I982" s="7"/>
      <c r="J982" s="7"/>
      <c r="K982" s="7"/>
    </row>
    <row r="983" spans="1:11" x14ac:dyDescent="0.35">
      <c r="A983" s="7" t="str">
        <f>IF(Notes!BY979="","",Notes!BY979)</f>
        <v/>
      </c>
      <c r="B983" s="7" t="str">
        <f>IF(Notes!BZ979="","",Notes!BZ979)</f>
        <v/>
      </c>
      <c r="C983" s="7" t="str">
        <f>IF(Notes!CA979="","",Notes!CA979)</f>
        <v/>
      </c>
      <c r="D983" s="7" t="str">
        <f>IF(Notes!CB979="","",Notes!CB979)</f>
        <v/>
      </c>
      <c r="E983" s="7" t="str">
        <f>IF(Notes!CC979="","",Notes!CC979)</f>
        <v/>
      </c>
      <c r="F983" s="7" t="str">
        <f>IF(Notes!CD979="","",Notes!CD979)</f>
        <v/>
      </c>
      <c r="G983" s="7" t="str">
        <f>IF(Notes!CE979="","",Notes!CE979)</f>
        <v/>
      </c>
      <c r="H983" s="7" t="str">
        <f>IF(Notes!CF979="","",Notes!CF979)</f>
        <v/>
      </c>
      <c r="I983" s="7"/>
      <c r="J983" s="7"/>
      <c r="K983" s="7"/>
    </row>
    <row r="984" spans="1:11" x14ac:dyDescent="0.35">
      <c r="A984" s="7" t="str">
        <f>IF(Notes!BY980="","",Notes!BY980)</f>
        <v/>
      </c>
      <c r="B984" s="7" t="str">
        <f>IF(Notes!BZ980="","",Notes!BZ980)</f>
        <v/>
      </c>
      <c r="C984" s="7" t="str">
        <f>IF(Notes!CA980="","",Notes!CA980)</f>
        <v/>
      </c>
      <c r="D984" s="7" t="str">
        <f>IF(Notes!CB980="","",Notes!CB980)</f>
        <v/>
      </c>
      <c r="E984" s="7" t="str">
        <f>IF(Notes!CC980="","",Notes!CC980)</f>
        <v/>
      </c>
      <c r="F984" s="7" t="str">
        <f>IF(Notes!CD980="","",Notes!CD980)</f>
        <v/>
      </c>
      <c r="G984" s="7" t="str">
        <f>IF(Notes!CE980="","",Notes!CE980)</f>
        <v/>
      </c>
      <c r="H984" s="7" t="str">
        <f>IF(Notes!CF980="","",Notes!CF980)</f>
        <v/>
      </c>
      <c r="I984" s="7"/>
      <c r="J984" s="7"/>
      <c r="K984" s="7"/>
    </row>
    <row r="985" spans="1:11" x14ac:dyDescent="0.35">
      <c r="A985" s="7" t="str">
        <f>IF(Notes!BY981="","",Notes!BY981)</f>
        <v/>
      </c>
      <c r="B985" s="7" t="str">
        <f>IF(Notes!BZ981="","",Notes!BZ981)</f>
        <v/>
      </c>
      <c r="C985" s="7" t="str">
        <f>IF(Notes!CA981="","",Notes!CA981)</f>
        <v/>
      </c>
      <c r="D985" s="7" t="str">
        <f>IF(Notes!CB981="","",Notes!CB981)</f>
        <v/>
      </c>
      <c r="E985" s="7" t="str">
        <f>IF(Notes!CC981="","",Notes!CC981)</f>
        <v/>
      </c>
      <c r="F985" s="7" t="str">
        <f>IF(Notes!CD981="","",Notes!CD981)</f>
        <v/>
      </c>
      <c r="G985" s="7" t="str">
        <f>IF(Notes!CE981="","",Notes!CE981)</f>
        <v/>
      </c>
      <c r="H985" s="7" t="str">
        <f>IF(Notes!CF981="","",Notes!CF981)</f>
        <v/>
      </c>
      <c r="I985" s="7"/>
      <c r="J985" s="7"/>
      <c r="K985" s="7"/>
    </row>
    <row r="986" spans="1:11" x14ac:dyDescent="0.35">
      <c r="A986" s="7" t="str">
        <f>IF(Notes!BY982="","",Notes!BY982)</f>
        <v/>
      </c>
      <c r="B986" s="7" t="str">
        <f>IF(Notes!BZ982="","",Notes!BZ982)</f>
        <v/>
      </c>
      <c r="C986" s="7" t="str">
        <f>IF(Notes!CA982="","",Notes!CA982)</f>
        <v/>
      </c>
      <c r="D986" s="7" t="str">
        <f>IF(Notes!CB982="","",Notes!CB982)</f>
        <v/>
      </c>
      <c r="E986" s="7" t="str">
        <f>IF(Notes!CC982="","",Notes!CC982)</f>
        <v/>
      </c>
      <c r="F986" s="7" t="str">
        <f>IF(Notes!CD982="","",Notes!CD982)</f>
        <v/>
      </c>
      <c r="G986" s="7" t="str">
        <f>IF(Notes!CE982="","",Notes!CE982)</f>
        <v/>
      </c>
      <c r="H986" s="7" t="str">
        <f>IF(Notes!CF982="","",Notes!CF982)</f>
        <v/>
      </c>
      <c r="I986" s="7"/>
      <c r="J986" s="7"/>
      <c r="K986" s="7"/>
    </row>
    <row r="987" spans="1:11" x14ac:dyDescent="0.35">
      <c r="A987" s="7" t="str">
        <f>IF(Notes!BY983="","",Notes!BY983)</f>
        <v/>
      </c>
      <c r="B987" s="7" t="str">
        <f>IF(Notes!BZ983="","",Notes!BZ983)</f>
        <v/>
      </c>
      <c r="C987" s="7" t="str">
        <f>IF(Notes!CA983="","",Notes!CA983)</f>
        <v/>
      </c>
      <c r="D987" s="7" t="str">
        <f>IF(Notes!CB983="","",Notes!CB983)</f>
        <v/>
      </c>
      <c r="E987" s="7" t="str">
        <f>IF(Notes!CC983="","",Notes!CC983)</f>
        <v/>
      </c>
      <c r="F987" s="7" t="str">
        <f>IF(Notes!CD983="","",Notes!CD983)</f>
        <v/>
      </c>
      <c r="G987" s="7" t="str">
        <f>IF(Notes!CE983="","",Notes!CE983)</f>
        <v/>
      </c>
      <c r="H987" s="7" t="str">
        <f>IF(Notes!CF983="","",Notes!CF983)</f>
        <v/>
      </c>
      <c r="I987" s="7"/>
      <c r="J987" s="7"/>
      <c r="K987" s="7"/>
    </row>
    <row r="988" spans="1:11" x14ac:dyDescent="0.35">
      <c r="A988" s="7" t="str">
        <f>IF(Notes!BY984="","",Notes!BY984)</f>
        <v/>
      </c>
      <c r="B988" s="7" t="str">
        <f>IF(Notes!BZ984="","",Notes!BZ984)</f>
        <v/>
      </c>
      <c r="C988" s="7" t="str">
        <f>IF(Notes!CA984="","",Notes!CA984)</f>
        <v/>
      </c>
      <c r="D988" s="7" t="str">
        <f>IF(Notes!CB984="","",Notes!CB984)</f>
        <v/>
      </c>
      <c r="E988" s="7" t="str">
        <f>IF(Notes!CC984="","",Notes!CC984)</f>
        <v/>
      </c>
      <c r="F988" s="7" t="str">
        <f>IF(Notes!CD984="","",Notes!CD984)</f>
        <v/>
      </c>
      <c r="G988" s="7" t="str">
        <f>IF(Notes!CE984="","",Notes!CE984)</f>
        <v/>
      </c>
      <c r="H988" s="7" t="str">
        <f>IF(Notes!CF984="","",Notes!CF984)</f>
        <v/>
      </c>
      <c r="I988" s="7"/>
      <c r="J988" s="7"/>
      <c r="K988" s="7"/>
    </row>
    <row r="989" spans="1:11" x14ac:dyDescent="0.35">
      <c r="A989" s="7" t="str">
        <f>IF(Notes!BY985="","",Notes!BY985)</f>
        <v/>
      </c>
      <c r="B989" s="7" t="str">
        <f>IF(Notes!BZ985="","",Notes!BZ985)</f>
        <v/>
      </c>
      <c r="C989" s="7" t="str">
        <f>IF(Notes!CA985="","",Notes!CA985)</f>
        <v/>
      </c>
      <c r="D989" s="7" t="str">
        <f>IF(Notes!CB985="","",Notes!CB985)</f>
        <v/>
      </c>
      <c r="E989" s="7" t="str">
        <f>IF(Notes!CC985="","",Notes!CC985)</f>
        <v/>
      </c>
      <c r="F989" s="7" t="str">
        <f>IF(Notes!CD985="","",Notes!CD985)</f>
        <v/>
      </c>
      <c r="G989" s="7" t="str">
        <f>IF(Notes!CE985="","",Notes!CE985)</f>
        <v/>
      </c>
      <c r="H989" s="7" t="str">
        <f>IF(Notes!CF985="","",Notes!CF985)</f>
        <v/>
      </c>
      <c r="I989" s="7"/>
      <c r="J989" s="7"/>
      <c r="K989" s="7"/>
    </row>
    <row r="990" spans="1:11" x14ac:dyDescent="0.35">
      <c r="A990" s="7" t="str">
        <f>IF(Notes!BY986="","",Notes!BY986)</f>
        <v/>
      </c>
      <c r="B990" s="7" t="str">
        <f>IF(Notes!BZ986="","",Notes!BZ986)</f>
        <v/>
      </c>
      <c r="C990" s="7" t="str">
        <f>IF(Notes!CA986="","",Notes!CA986)</f>
        <v/>
      </c>
      <c r="D990" s="7" t="str">
        <f>IF(Notes!CB986="","",Notes!CB986)</f>
        <v/>
      </c>
      <c r="E990" s="7" t="str">
        <f>IF(Notes!CC986="","",Notes!CC986)</f>
        <v/>
      </c>
      <c r="F990" s="7" t="str">
        <f>IF(Notes!CD986="","",Notes!CD986)</f>
        <v/>
      </c>
      <c r="G990" s="7" t="str">
        <f>IF(Notes!CE986="","",Notes!CE986)</f>
        <v/>
      </c>
      <c r="H990" s="7" t="str">
        <f>IF(Notes!CF986="","",Notes!CF986)</f>
        <v/>
      </c>
      <c r="I990" s="7"/>
      <c r="J990" s="7"/>
      <c r="K990" s="7"/>
    </row>
    <row r="991" spans="1:11" x14ac:dyDescent="0.35">
      <c r="A991" s="7" t="str">
        <f>IF(Notes!BY987="","",Notes!BY987)</f>
        <v/>
      </c>
      <c r="B991" s="7" t="str">
        <f>IF(Notes!BZ987="","",Notes!BZ987)</f>
        <v/>
      </c>
      <c r="C991" s="7" t="str">
        <f>IF(Notes!CA987="","",Notes!CA987)</f>
        <v/>
      </c>
      <c r="D991" s="7" t="str">
        <f>IF(Notes!CB987="","",Notes!CB987)</f>
        <v/>
      </c>
      <c r="E991" s="7" t="str">
        <f>IF(Notes!CC987="","",Notes!CC987)</f>
        <v/>
      </c>
      <c r="F991" s="7" t="str">
        <f>IF(Notes!CD987="","",Notes!CD987)</f>
        <v/>
      </c>
      <c r="G991" s="7" t="str">
        <f>IF(Notes!CE987="","",Notes!CE987)</f>
        <v/>
      </c>
      <c r="H991" s="7" t="str">
        <f>IF(Notes!CF987="","",Notes!CF987)</f>
        <v/>
      </c>
      <c r="I991" s="7"/>
      <c r="J991" s="7"/>
      <c r="K991" s="7"/>
    </row>
    <row r="992" spans="1:11" x14ac:dyDescent="0.35">
      <c r="A992" s="7" t="str">
        <f>IF(Notes!BY988="","",Notes!BY988)</f>
        <v/>
      </c>
      <c r="B992" s="7" t="str">
        <f>IF(Notes!BZ988="","",Notes!BZ988)</f>
        <v/>
      </c>
      <c r="C992" s="7" t="str">
        <f>IF(Notes!CA988="","",Notes!CA988)</f>
        <v/>
      </c>
      <c r="D992" s="7" t="str">
        <f>IF(Notes!CB988="","",Notes!CB988)</f>
        <v/>
      </c>
      <c r="E992" s="7" t="str">
        <f>IF(Notes!CC988="","",Notes!CC988)</f>
        <v/>
      </c>
      <c r="F992" s="7" t="str">
        <f>IF(Notes!CD988="","",Notes!CD988)</f>
        <v/>
      </c>
      <c r="G992" s="7" t="str">
        <f>IF(Notes!CE988="","",Notes!CE988)</f>
        <v/>
      </c>
      <c r="H992" s="7" t="str">
        <f>IF(Notes!CF988="","",Notes!CF988)</f>
        <v/>
      </c>
      <c r="I992" s="7"/>
      <c r="J992" s="7"/>
      <c r="K992" s="7"/>
    </row>
    <row r="993" spans="1:11" x14ac:dyDescent="0.35">
      <c r="A993" s="7" t="str">
        <f>IF(Notes!BY989="","",Notes!BY989)</f>
        <v/>
      </c>
      <c r="B993" s="7" t="str">
        <f>IF(Notes!BZ989="","",Notes!BZ989)</f>
        <v/>
      </c>
      <c r="C993" s="7" t="str">
        <f>IF(Notes!CA989="","",Notes!CA989)</f>
        <v/>
      </c>
      <c r="D993" s="7" t="str">
        <f>IF(Notes!CB989="","",Notes!CB989)</f>
        <v/>
      </c>
      <c r="E993" s="7" t="str">
        <f>IF(Notes!CC989="","",Notes!CC989)</f>
        <v/>
      </c>
      <c r="F993" s="7" t="str">
        <f>IF(Notes!CD989="","",Notes!CD989)</f>
        <v/>
      </c>
      <c r="G993" s="7" t="str">
        <f>IF(Notes!CE989="","",Notes!CE989)</f>
        <v/>
      </c>
      <c r="H993" s="7" t="str">
        <f>IF(Notes!CF989="","",Notes!CF989)</f>
        <v/>
      </c>
      <c r="I993" s="7"/>
      <c r="J993" s="7"/>
      <c r="K993" s="7"/>
    </row>
    <row r="994" spans="1:11" x14ac:dyDescent="0.35">
      <c r="A994" s="7" t="str">
        <f>IF(Notes!BY990="","",Notes!BY990)</f>
        <v/>
      </c>
      <c r="B994" s="7" t="str">
        <f>IF(Notes!BZ990="","",Notes!BZ990)</f>
        <v/>
      </c>
      <c r="C994" s="7" t="str">
        <f>IF(Notes!CA990="","",Notes!CA990)</f>
        <v/>
      </c>
      <c r="D994" s="7" t="str">
        <f>IF(Notes!CB990="","",Notes!CB990)</f>
        <v/>
      </c>
      <c r="E994" s="7" t="str">
        <f>IF(Notes!CC990="","",Notes!CC990)</f>
        <v/>
      </c>
      <c r="F994" s="7" t="str">
        <f>IF(Notes!CD990="","",Notes!CD990)</f>
        <v/>
      </c>
      <c r="G994" s="7" t="str">
        <f>IF(Notes!CE990="","",Notes!CE990)</f>
        <v/>
      </c>
      <c r="H994" s="7" t="str">
        <f>IF(Notes!CF990="","",Notes!CF990)</f>
        <v/>
      </c>
      <c r="I994" s="7"/>
      <c r="J994" s="7"/>
      <c r="K994" s="7"/>
    </row>
    <row r="995" spans="1:11" x14ac:dyDescent="0.35">
      <c r="A995" s="7" t="str">
        <f>IF(Notes!BY991="","",Notes!BY991)</f>
        <v/>
      </c>
      <c r="B995" s="7" t="str">
        <f>IF(Notes!BZ991="","",Notes!BZ991)</f>
        <v/>
      </c>
      <c r="C995" s="7" t="str">
        <f>IF(Notes!CA991="","",Notes!CA991)</f>
        <v/>
      </c>
      <c r="D995" s="7" t="str">
        <f>IF(Notes!CB991="","",Notes!CB991)</f>
        <v/>
      </c>
      <c r="E995" s="7" t="str">
        <f>IF(Notes!CC991="","",Notes!CC991)</f>
        <v/>
      </c>
      <c r="F995" s="7" t="str">
        <f>IF(Notes!CD991="","",Notes!CD991)</f>
        <v/>
      </c>
      <c r="G995" s="7" t="str">
        <f>IF(Notes!CE991="","",Notes!CE991)</f>
        <v/>
      </c>
      <c r="H995" s="7" t="str">
        <f>IF(Notes!CF991="","",Notes!CF991)</f>
        <v/>
      </c>
      <c r="I995" s="7"/>
      <c r="J995" s="7"/>
      <c r="K995" s="7"/>
    </row>
    <row r="996" spans="1:11" x14ac:dyDescent="0.35">
      <c r="A996" s="7" t="str">
        <f>IF(Notes!BY992="","",Notes!BY992)</f>
        <v/>
      </c>
      <c r="B996" s="7" t="str">
        <f>IF(Notes!BZ992="","",Notes!BZ992)</f>
        <v/>
      </c>
      <c r="C996" s="7" t="str">
        <f>IF(Notes!CA992="","",Notes!CA992)</f>
        <v/>
      </c>
      <c r="D996" s="7" t="str">
        <f>IF(Notes!CB992="","",Notes!CB992)</f>
        <v/>
      </c>
      <c r="E996" s="7" t="str">
        <f>IF(Notes!CC992="","",Notes!CC992)</f>
        <v/>
      </c>
      <c r="F996" s="7" t="str">
        <f>IF(Notes!CD992="","",Notes!CD992)</f>
        <v/>
      </c>
      <c r="G996" s="7" t="str">
        <f>IF(Notes!CE992="","",Notes!CE992)</f>
        <v/>
      </c>
      <c r="H996" s="7" t="str">
        <f>IF(Notes!CF992="","",Notes!CF992)</f>
        <v/>
      </c>
      <c r="I996" s="7"/>
      <c r="J996" s="7"/>
      <c r="K996" s="7"/>
    </row>
    <row r="997" spans="1:11" x14ac:dyDescent="0.35">
      <c r="A997" s="7" t="str">
        <f>IF(Notes!BY993="","",Notes!BY993)</f>
        <v/>
      </c>
      <c r="B997" s="7" t="str">
        <f>IF(Notes!BZ993="","",Notes!BZ993)</f>
        <v/>
      </c>
      <c r="C997" s="7" t="str">
        <f>IF(Notes!CA993="","",Notes!CA993)</f>
        <v/>
      </c>
      <c r="D997" s="7" t="str">
        <f>IF(Notes!CB993="","",Notes!CB993)</f>
        <v/>
      </c>
      <c r="E997" s="7" t="str">
        <f>IF(Notes!CC993="","",Notes!CC993)</f>
        <v/>
      </c>
      <c r="F997" s="7" t="str">
        <f>IF(Notes!CD993="","",Notes!CD993)</f>
        <v/>
      </c>
      <c r="G997" s="7" t="str">
        <f>IF(Notes!CE993="","",Notes!CE993)</f>
        <v/>
      </c>
      <c r="H997" s="7" t="str">
        <f>IF(Notes!CF993="","",Notes!CF993)</f>
        <v/>
      </c>
      <c r="I997" s="7"/>
      <c r="J997" s="7"/>
      <c r="K997" s="7"/>
    </row>
    <row r="998" spans="1:11" x14ac:dyDescent="0.35">
      <c r="A998" s="7" t="str">
        <f>IF(Notes!BY994="","",Notes!BY994)</f>
        <v/>
      </c>
      <c r="B998" s="7" t="str">
        <f>IF(Notes!BZ994="","",Notes!BZ994)</f>
        <v/>
      </c>
      <c r="C998" s="7" t="str">
        <f>IF(Notes!CA994="","",Notes!CA994)</f>
        <v/>
      </c>
      <c r="D998" s="7" t="str">
        <f>IF(Notes!CB994="","",Notes!CB994)</f>
        <v/>
      </c>
      <c r="E998" s="7" t="str">
        <f>IF(Notes!CC994="","",Notes!CC994)</f>
        <v/>
      </c>
      <c r="F998" s="7" t="str">
        <f>IF(Notes!CD994="","",Notes!CD994)</f>
        <v/>
      </c>
      <c r="G998" s="7" t="str">
        <f>IF(Notes!CE994="","",Notes!CE994)</f>
        <v/>
      </c>
      <c r="H998" s="7" t="str">
        <f>IF(Notes!CF994="","",Notes!CF994)</f>
        <v/>
      </c>
      <c r="I998" s="7"/>
      <c r="J998" s="7"/>
      <c r="K998" s="7"/>
    </row>
    <row r="999" spans="1:11" x14ac:dyDescent="0.35">
      <c r="A999" s="7" t="str">
        <f>IF(Notes!BY995="","",Notes!BY995)</f>
        <v/>
      </c>
      <c r="B999" s="7" t="str">
        <f>IF(Notes!BZ995="","",Notes!BZ995)</f>
        <v/>
      </c>
      <c r="C999" s="7" t="str">
        <f>IF(Notes!CA995="","",Notes!CA995)</f>
        <v/>
      </c>
      <c r="D999" s="7" t="str">
        <f>IF(Notes!CB995="","",Notes!CB995)</f>
        <v/>
      </c>
      <c r="E999" s="7" t="str">
        <f>IF(Notes!CC995="","",Notes!CC995)</f>
        <v/>
      </c>
      <c r="F999" s="7" t="str">
        <f>IF(Notes!CD995="","",Notes!CD995)</f>
        <v/>
      </c>
      <c r="G999" s="7" t="str">
        <f>IF(Notes!CE995="","",Notes!CE995)</f>
        <v/>
      </c>
      <c r="H999" s="7" t="str">
        <f>IF(Notes!CF995="","",Notes!CF995)</f>
        <v/>
      </c>
      <c r="I999" s="7"/>
      <c r="J999" s="7"/>
      <c r="K999" s="7"/>
    </row>
    <row r="1000" spans="1:11" x14ac:dyDescent="0.35">
      <c r="A1000" s="7" t="str">
        <f>IF(Notes!BY996="","",Notes!BY996)</f>
        <v/>
      </c>
      <c r="B1000" s="7" t="str">
        <f>IF(Notes!BZ996="","",Notes!BZ996)</f>
        <v/>
      </c>
      <c r="C1000" s="7" t="str">
        <f>IF(Notes!CA996="","",Notes!CA996)</f>
        <v/>
      </c>
      <c r="D1000" s="7" t="str">
        <f>IF(Notes!CB996="","",Notes!CB996)</f>
        <v/>
      </c>
      <c r="E1000" s="7" t="str">
        <f>IF(Notes!CC996="","",Notes!CC996)</f>
        <v/>
      </c>
      <c r="F1000" s="7" t="str">
        <f>IF(Notes!CD996="","",Notes!CD996)</f>
        <v/>
      </c>
      <c r="G1000" s="7" t="str">
        <f>IF(Notes!CE996="","",Notes!CE996)</f>
        <v/>
      </c>
      <c r="H1000" s="7" t="str">
        <f>IF(Notes!CF996="","",Notes!CF996)</f>
        <v/>
      </c>
      <c r="I1000" s="7"/>
      <c r="J1000" s="7"/>
      <c r="K1000" s="7"/>
    </row>
    <row r="1001" spans="1:11" x14ac:dyDescent="0.35">
      <c r="A1001" s="7" t="str">
        <f>IF(Notes!BY997="","",Notes!BY997)</f>
        <v/>
      </c>
      <c r="B1001" s="7" t="str">
        <f>IF(Notes!BZ997="","",Notes!BZ997)</f>
        <v/>
      </c>
      <c r="C1001" s="7" t="str">
        <f>IF(Notes!CA997="","",Notes!CA997)</f>
        <v/>
      </c>
      <c r="D1001" s="7" t="str">
        <f>IF(Notes!CB997="","",Notes!CB997)</f>
        <v/>
      </c>
      <c r="E1001" s="7" t="str">
        <f>IF(Notes!CC997="","",Notes!CC997)</f>
        <v/>
      </c>
      <c r="F1001" s="7" t="str">
        <f>IF(Notes!CD997="","",Notes!CD997)</f>
        <v/>
      </c>
      <c r="G1001" s="7" t="str">
        <f>IF(Notes!CE997="","",Notes!CE997)</f>
        <v/>
      </c>
      <c r="H1001" s="7" t="str">
        <f>IF(Notes!CF997="","",Notes!CF997)</f>
        <v/>
      </c>
      <c r="I1001" s="7"/>
      <c r="J1001" s="7"/>
      <c r="K1001" s="7"/>
    </row>
    <row r="1002" spans="1:11" x14ac:dyDescent="0.35">
      <c r="A1002" s="7" t="str">
        <f>IF(Notes!BY998="","",Notes!BY998)</f>
        <v/>
      </c>
      <c r="B1002" s="7" t="str">
        <f>IF(Notes!BZ998="","",Notes!BZ998)</f>
        <v/>
      </c>
      <c r="C1002" s="7" t="str">
        <f>IF(Notes!CA998="","",Notes!CA998)</f>
        <v/>
      </c>
      <c r="D1002" s="7" t="str">
        <f>IF(Notes!CB998="","",Notes!CB998)</f>
        <v/>
      </c>
      <c r="E1002" s="7" t="str">
        <f>IF(Notes!CC998="","",Notes!CC998)</f>
        <v/>
      </c>
      <c r="F1002" s="7" t="str">
        <f>IF(Notes!CD998="","",Notes!CD998)</f>
        <v/>
      </c>
      <c r="G1002" s="7" t="str">
        <f>IF(Notes!CE998="","",Notes!CE998)</f>
        <v/>
      </c>
      <c r="H1002" s="7" t="str">
        <f>IF(Notes!CF998="","",Notes!CF998)</f>
        <v/>
      </c>
      <c r="I1002" s="7"/>
      <c r="J1002" s="7"/>
      <c r="K1002" s="7"/>
    </row>
    <row r="1003" spans="1:11" x14ac:dyDescent="0.35">
      <c r="A1003" s="7" t="str">
        <f>IF(Notes!BY999="","",Notes!BY999)</f>
        <v/>
      </c>
      <c r="B1003" s="7" t="str">
        <f>IF(Notes!BZ999="","",Notes!BZ999)</f>
        <v/>
      </c>
      <c r="C1003" s="7" t="str">
        <f>IF(Notes!CA999="","",Notes!CA999)</f>
        <v/>
      </c>
      <c r="D1003" s="7" t="str">
        <f>IF(Notes!CB999="","",Notes!CB999)</f>
        <v/>
      </c>
      <c r="E1003" s="7" t="str">
        <f>IF(Notes!CC999="","",Notes!CC999)</f>
        <v/>
      </c>
      <c r="F1003" s="7" t="str">
        <f>IF(Notes!CD999="","",Notes!CD999)</f>
        <v/>
      </c>
      <c r="G1003" s="7" t="str">
        <f>IF(Notes!CE999="","",Notes!CE999)</f>
        <v/>
      </c>
      <c r="H1003" s="7" t="str">
        <f>IF(Notes!CF999="","",Notes!CF999)</f>
        <v/>
      </c>
      <c r="I1003" s="7"/>
      <c r="J1003" s="7"/>
      <c r="K1003" s="7"/>
    </row>
    <row r="1004" spans="1:11" x14ac:dyDescent="0.35">
      <c r="A1004" s="7" t="str">
        <f>IF(Notes!BY1000="","",Notes!BY1000)</f>
        <v/>
      </c>
      <c r="B1004" s="7" t="str">
        <f>IF(Notes!BZ1000="","",Notes!BZ1000)</f>
        <v/>
      </c>
      <c r="C1004" s="7" t="str">
        <f>IF(Notes!CA1000="","",Notes!CA1000)</f>
        <v/>
      </c>
      <c r="D1004" s="7" t="str">
        <f>IF(Notes!CB1000="","",Notes!CB1000)</f>
        <v/>
      </c>
      <c r="E1004" s="7" t="str">
        <f>IF(Notes!CC1000="","",Notes!CC1000)</f>
        <v/>
      </c>
      <c r="F1004" s="7" t="str">
        <f>IF(Notes!CD1000="","",Notes!CD1000)</f>
        <v/>
      </c>
      <c r="G1004" s="7" t="str">
        <f>IF(Notes!CE1000="","",Notes!CE1000)</f>
        <v/>
      </c>
      <c r="H1004" s="7" t="str">
        <f>IF(Notes!CF1000="","",Notes!CF1000)</f>
        <v/>
      </c>
      <c r="I1004" s="7"/>
      <c r="J1004" s="7"/>
      <c r="K1004" s="7"/>
    </row>
    <row r="1005" spans="1:11" x14ac:dyDescent="0.35">
      <c r="A1005" s="7" t="str">
        <f>IF(Notes!BY1001="","",Notes!BY1001)</f>
        <v/>
      </c>
      <c r="B1005" s="7" t="str">
        <f>IF(Notes!BZ1001="","",Notes!BZ1001)</f>
        <v/>
      </c>
      <c r="C1005" s="7" t="str">
        <f>IF(Notes!CA1001="","",Notes!CA1001)</f>
        <v/>
      </c>
      <c r="D1005" s="7" t="str">
        <f>IF(Notes!CB1001="","",Notes!CB1001)</f>
        <v/>
      </c>
      <c r="E1005" s="7" t="str">
        <f>IF(Notes!CC1001="","",Notes!CC1001)</f>
        <v/>
      </c>
      <c r="F1005" s="7" t="str">
        <f>IF(Notes!CD1001="","",Notes!CD1001)</f>
        <v/>
      </c>
      <c r="G1005" s="7" t="str">
        <f>IF(Notes!CE1001="","",Notes!CE1001)</f>
        <v/>
      </c>
      <c r="H1005" s="7" t="str">
        <f>IF(Notes!CF1001="","",Notes!CF1001)</f>
        <v/>
      </c>
      <c r="I1005" s="7"/>
      <c r="J1005" s="7"/>
      <c r="K1005" s="7"/>
    </row>
    <row r="1006" spans="1:11" x14ac:dyDescent="0.35">
      <c r="A1006" s="7" t="str">
        <f>IF(Notes!BY1002="","",Notes!BY1002)</f>
        <v/>
      </c>
      <c r="B1006" s="7" t="str">
        <f>IF(Notes!BZ1002="","",Notes!BZ1002)</f>
        <v/>
      </c>
      <c r="C1006" s="7" t="str">
        <f>IF(Notes!CA1002="","",Notes!CA1002)</f>
        <v/>
      </c>
      <c r="D1006" s="7" t="str">
        <f>IF(Notes!CB1002="","",Notes!CB1002)</f>
        <v/>
      </c>
      <c r="E1006" s="7" t="str">
        <f>IF(Notes!CC1002="","",Notes!CC1002)</f>
        <v/>
      </c>
      <c r="F1006" s="7" t="str">
        <f>IF(Notes!CD1002="","",Notes!CD1002)</f>
        <v/>
      </c>
      <c r="G1006" s="7" t="str">
        <f>IF(Notes!CE1002="","",Notes!CE1002)</f>
        <v/>
      </c>
      <c r="H1006" s="7" t="str">
        <f>IF(Notes!CF1002="","",Notes!CF1002)</f>
        <v/>
      </c>
      <c r="I1006" s="7"/>
      <c r="J1006" s="7"/>
      <c r="K1006" s="7"/>
    </row>
    <row r="1007" spans="1:11" x14ac:dyDescent="0.35">
      <c r="A1007" s="7" t="str">
        <f>IF(Notes!BY1003="","",Notes!BY1003)</f>
        <v/>
      </c>
      <c r="B1007" s="7" t="str">
        <f>IF(Notes!BZ1003="","",Notes!BZ1003)</f>
        <v/>
      </c>
      <c r="C1007" s="7" t="str">
        <f>IF(Notes!CA1003="","",Notes!CA1003)</f>
        <v/>
      </c>
      <c r="D1007" s="7" t="str">
        <f>IF(Notes!CB1003="","",Notes!CB1003)</f>
        <v/>
      </c>
      <c r="E1007" s="7" t="str">
        <f>IF(Notes!CC1003="","",Notes!CC1003)</f>
        <v/>
      </c>
      <c r="F1007" s="7" t="str">
        <f>IF(Notes!CD1003="","",Notes!CD1003)</f>
        <v/>
      </c>
      <c r="G1007" s="7" t="str">
        <f>IF(Notes!CE1003="","",Notes!CE1003)</f>
        <v/>
      </c>
      <c r="H1007" s="7" t="str">
        <f>IF(Notes!CF1003="","",Notes!CF1003)</f>
        <v/>
      </c>
      <c r="I1007" s="7"/>
      <c r="J1007" s="7"/>
      <c r="K1007" s="7"/>
    </row>
    <row r="1008" spans="1:11" x14ac:dyDescent="0.35">
      <c r="A1008" s="7" t="str">
        <f>IF(Notes!BY1004="","",Notes!BY1004)</f>
        <v/>
      </c>
      <c r="B1008" s="7" t="str">
        <f>IF(Notes!BZ1004="","",Notes!BZ1004)</f>
        <v/>
      </c>
      <c r="C1008" s="7" t="str">
        <f>IF(Notes!CA1004="","",Notes!CA1004)</f>
        <v/>
      </c>
      <c r="D1008" s="7" t="str">
        <f>IF(Notes!CB1004="","",Notes!CB1004)</f>
        <v/>
      </c>
      <c r="E1008" s="7" t="str">
        <f>IF(Notes!CC1004="","",Notes!CC1004)</f>
        <v/>
      </c>
      <c r="F1008" s="7" t="str">
        <f>IF(Notes!CD1004="","",Notes!CD1004)</f>
        <v/>
      </c>
      <c r="G1008" s="7" t="str">
        <f>IF(Notes!CE1004="","",Notes!CE1004)</f>
        <v/>
      </c>
      <c r="H1008" s="7" t="str">
        <f>IF(Notes!CF1004="","",Notes!CF1004)</f>
        <v/>
      </c>
      <c r="I1008" s="7"/>
      <c r="J1008" s="7"/>
      <c r="K1008" s="7"/>
    </row>
    <row r="1009" spans="1:11" x14ac:dyDescent="0.35">
      <c r="A1009" s="7" t="str">
        <f>IF(Notes!BY1005="","",Notes!BY1005)</f>
        <v/>
      </c>
      <c r="B1009" s="7" t="str">
        <f>IF(Notes!BZ1005="","",Notes!BZ1005)</f>
        <v/>
      </c>
      <c r="C1009" s="7" t="str">
        <f>IF(Notes!CA1005="","",Notes!CA1005)</f>
        <v/>
      </c>
      <c r="D1009" s="7" t="str">
        <f>IF(Notes!CB1005="","",Notes!CB1005)</f>
        <v/>
      </c>
      <c r="E1009" s="7" t="str">
        <f>IF(Notes!CC1005="","",Notes!CC1005)</f>
        <v/>
      </c>
      <c r="F1009" s="7" t="str">
        <f>IF(Notes!CD1005="","",Notes!CD1005)</f>
        <v/>
      </c>
      <c r="G1009" s="7" t="str">
        <f>IF(Notes!CE1005="","",Notes!CE1005)</f>
        <v/>
      </c>
      <c r="H1009" s="7" t="str">
        <f>IF(Notes!CF1005="","",Notes!CF1005)</f>
        <v/>
      </c>
      <c r="I1009" s="7"/>
      <c r="J1009" s="7"/>
      <c r="K1009" s="7"/>
    </row>
    <row r="1010" spans="1:11" x14ac:dyDescent="0.35">
      <c r="A1010" s="7" t="str">
        <f>IF(Notes!BY1006="","",Notes!BY1006)</f>
        <v/>
      </c>
      <c r="B1010" s="7" t="str">
        <f>IF(Notes!BZ1006="","",Notes!BZ1006)</f>
        <v/>
      </c>
      <c r="C1010" s="7" t="str">
        <f>IF(Notes!CA1006="","",Notes!CA1006)</f>
        <v/>
      </c>
      <c r="D1010" s="7" t="str">
        <f>IF(Notes!CB1006="","",Notes!CB1006)</f>
        <v/>
      </c>
      <c r="E1010" s="7" t="str">
        <f>IF(Notes!CC1006="","",Notes!CC1006)</f>
        <v/>
      </c>
      <c r="F1010" s="7" t="str">
        <f>IF(Notes!CD1006="","",Notes!CD1006)</f>
        <v/>
      </c>
      <c r="G1010" s="7" t="str">
        <f>IF(Notes!CE1006="","",Notes!CE1006)</f>
        <v/>
      </c>
      <c r="H1010" s="7" t="str">
        <f>IF(Notes!CF1006="","",Notes!CF1006)</f>
        <v/>
      </c>
      <c r="I1010" s="7"/>
      <c r="J1010" s="7"/>
      <c r="K1010" s="7"/>
    </row>
    <row r="1011" spans="1:11" x14ac:dyDescent="0.35">
      <c r="A1011" s="7" t="str">
        <f>IF(Notes!BY1007="","",Notes!BY1007)</f>
        <v/>
      </c>
      <c r="B1011" s="7" t="str">
        <f>IF(Notes!BZ1007="","",Notes!BZ1007)</f>
        <v/>
      </c>
      <c r="C1011" s="7" t="str">
        <f>IF(Notes!CA1007="","",Notes!CA1007)</f>
        <v/>
      </c>
      <c r="D1011" s="7" t="str">
        <f>IF(Notes!CB1007="","",Notes!CB1007)</f>
        <v/>
      </c>
      <c r="E1011" s="7" t="str">
        <f>IF(Notes!CC1007="","",Notes!CC1007)</f>
        <v/>
      </c>
      <c r="F1011" s="7" t="str">
        <f>IF(Notes!CD1007="","",Notes!CD1007)</f>
        <v/>
      </c>
      <c r="G1011" s="7" t="str">
        <f>IF(Notes!CE1007="","",Notes!CE1007)</f>
        <v/>
      </c>
      <c r="H1011" s="7" t="str">
        <f>IF(Notes!CF1007="","",Notes!CF1007)</f>
        <v/>
      </c>
      <c r="I1011" s="7"/>
      <c r="J1011" s="7"/>
      <c r="K1011" s="7"/>
    </row>
    <row r="1012" spans="1:11" x14ac:dyDescent="0.35">
      <c r="A1012" s="7" t="str">
        <f>IF(Notes!BY1008="","",Notes!BY1008)</f>
        <v/>
      </c>
      <c r="B1012" s="7" t="str">
        <f>IF(Notes!BZ1008="","",Notes!BZ1008)</f>
        <v/>
      </c>
      <c r="C1012" s="7" t="str">
        <f>IF(Notes!CA1008="","",Notes!CA1008)</f>
        <v/>
      </c>
      <c r="D1012" s="7" t="str">
        <f>IF(Notes!CB1008="","",Notes!CB1008)</f>
        <v/>
      </c>
      <c r="E1012" s="7" t="str">
        <f>IF(Notes!CC1008="","",Notes!CC1008)</f>
        <v/>
      </c>
      <c r="F1012" s="7" t="str">
        <f>IF(Notes!CD1008="","",Notes!CD1008)</f>
        <v/>
      </c>
      <c r="G1012" s="7" t="str">
        <f>IF(Notes!CE1008="","",Notes!CE1008)</f>
        <v/>
      </c>
      <c r="H1012" s="7" t="str">
        <f>IF(Notes!CF1008="","",Notes!CF1008)</f>
        <v/>
      </c>
      <c r="I1012" s="7"/>
      <c r="J1012" s="7"/>
      <c r="K1012" s="7"/>
    </row>
    <row r="1013" spans="1:11" x14ac:dyDescent="0.35">
      <c r="A1013" s="7" t="str">
        <f>IF(Notes!BY1009="","",Notes!BY1009)</f>
        <v/>
      </c>
      <c r="B1013" s="7" t="str">
        <f>IF(Notes!BZ1009="","",Notes!BZ1009)</f>
        <v/>
      </c>
      <c r="C1013" s="7" t="str">
        <f>IF(Notes!CA1009="","",Notes!CA1009)</f>
        <v/>
      </c>
      <c r="D1013" s="7" t="str">
        <f>IF(Notes!CB1009="","",Notes!CB1009)</f>
        <v/>
      </c>
      <c r="E1013" s="7" t="str">
        <f>IF(Notes!CC1009="","",Notes!CC1009)</f>
        <v/>
      </c>
      <c r="F1013" s="7" t="str">
        <f>IF(Notes!CD1009="","",Notes!CD1009)</f>
        <v/>
      </c>
      <c r="G1013" s="7" t="str">
        <f>IF(Notes!CE1009="","",Notes!CE1009)</f>
        <v/>
      </c>
      <c r="H1013" s="7" t="str">
        <f>IF(Notes!CF1009="","",Notes!CF1009)</f>
        <v/>
      </c>
      <c r="I1013" s="7"/>
      <c r="J1013" s="7"/>
      <c r="K1013" s="7"/>
    </row>
    <row r="1014" spans="1:11" x14ac:dyDescent="0.35">
      <c r="A1014" s="7" t="str">
        <f>IF(Notes!BY1010="","",Notes!BY1010)</f>
        <v/>
      </c>
      <c r="B1014" s="7" t="str">
        <f>IF(Notes!BZ1010="","",Notes!BZ1010)</f>
        <v/>
      </c>
      <c r="C1014" s="7" t="str">
        <f>IF(Notes!CA1010="","",Notes!CA1010)</f>
        <v/>
      </c>
      <c r="D1014" s="7" t="str">
        <f>IF(Notes!CB1010="","",Notes!CB1010)</f>
        <v/>
      </c>
      <c r="E1014" s="7" t="str">
        <f>IF(Notes!CC1010="","",Notes!CC1010)</f>
        <v/>
      </c>
      <c r="F1014" s="7" t="str">
        <f>IF(Notes!CD1010="","",Notes!CD1010)</f>
        <v/>
      </c>
      <c r="G1014" s="7" t="str">
        <f>IF(Notes!CE1010="","",Notes!CE1010)</f>
        <v/>
      </c>
      <c r="H1014" s="7" t="str">
        <f>IF(Notes!CF1010="","",Notes!CF1010)</f>
        <v/>
      </c>
      <c r="I1014" s="7"/>
      <c r="J1014" s="7"/>
      <c r="K1014" s="7"/>
    </row>
    <row r="1015" spans="1:11" x14ac:dyDescent="0.35">
      <c r="A1015" s="7" t="str">
        <f>IF(Notes!BY1011="","",Notes!BY1011)</f>
        <v/>
      </c>
      <c r="B1015" s="7" t="str">
        <f>IF(Notes!BZ1011="","",Notes!BZ1011)</f>
        <v/>
      </c>
      <c r="C1015" s="7" t="str">
        <f>IF(Notes!CA1011="","",Notes!CA1011)</f>
        <v/>
      </c>
      <c r="D1015" s="7" t="str">
        <f>IF(Notes!CB1011="","",Notes!CB1011)</f>
        <v/>
      </c>
      <c r="E1015" s="7" t="str">
        <f>IF(Notes!CC1011="","",Notes!CC1011)</f>
        <v/>
      </c>
      <c r="F1015" s="7" t="str">
        <f>IF(Notes!CD1011="","",Notes!CD1011)</f>
        <v/>
      </c>
      <c r="G1015" s="7" t="str">
        <f>IF(Notes!CE1011="","",Notes!CE1011)</f>
        <v/>
      </c>
      <c r="H1015" s="7" t="str">
        <f>IF(Notes!CF1011="","",Notes!CF1011)</f>
        <v/>
      </c>
      <c r="I1015" s="7"/>
      <c r="J1015" s="7"/>
      <c r="K1015" s="7"/>
    </row>
    <row r="1016" spans="1:11" x14ac:dyDescent="0.35">
      <c r="A1016" s="7" t="str">
        <f>IF(Notes!BY1012="","",Notes!BY1012)</f>
        <v/>
      </c>
      <c r="B1016" s="7" t="str">
        <f>IF(Notes!BZ1012="","",Notes!BZ1012)</f>
        <v/>
      </c>
      <c r="C1016" s="7" t="str">
        <f>IF(Notes!CA1012="","",Notes!CA1012)</f>
        <v/>
      </c>
      <c r="D1016" s="7" t="str">
        <f>IF(Notes!CB1012="","",Notes!CB1012)</f>
        <v/>
      </c>
      <c r="E1016" s="7" t="str">
        <f>IF(Notes!CC1012="","",Notes!CC1012)</f>
        <v/>
      </c>
      <c r="F1016" s="7" t="str">
        <f>IF(Notes!CD1012="","",Notes!CD1012)</f>
        <v/>
      </c>
      <c r="G1016" s="7" t="str">
        <f>IF(Notes!CE1012="","",Notes!CE1012)</f>
        <v/>
      </c>
      <c r="H1016" s="7" t="str">
        <f>IF(Notes!CF1012="","",Notes!CF1012)</f>
        <v/>
      </c>
      <c r="I1016" s="7"/>
      <c r="J1016" s="7"/>
      <c r="K1016" s="7"/>
    </row>
    <row r="1017" spans="1:11" x14ac:dyDescent="0.35">
      <c r="A1017" s="7" t="str">
        <f>IF(Notes!BY1013="","",Notes!BY1013)</f>
        <v/>
      </c>
      <c r="B1017" s="7" t="str">
        <f>IF(Notes!BZ1013="","",Notes!BZ1013)</f>
        <v/>
      </c>
      <c r="C1017" s="7" t="str">
        <f>IF(Notes!CA1013="","",Notes!CA1013)</f>
        <v/>
      </c>
      <c r="D1017" s="7" t="str">
        <f>IF(Notes!CB1013="","",Notes!CB1013)</f>
        <v/>
      </c>
      <c r="E1017" s="7" t="str">
        <f>IF(Notes!CC1013="","",Notes!CC1013)</f>
        <v/>
      </c>
      <c r="F1017" s="7" t="str">
        <f>IF(Notes!CD1013="","",Notes!CD1013)</f>
        <v/>
      </c>
      <c r="G1017" s="7" t="str">
        <f>IF(Notes!CE1013="","",Notes!CE1013)</f>
        <v/>
      </c>
      <c r="H1017" s="7" t="str">
        <f>IF(Notes!CF1013="","",Notes!CF1013)</f>
        <v/>
      </c>
      <c r="I1017" s="7"/>
      <c r="J1017" s="7"/>
      <c r="K1017" s="7"/>
    </row>
    <row r="1018" spans="1:11" x14ac:dyDescent="0.35">
      <c r="A1018" s="7" t="str">
        <f>IF(Notes!BY1014="","",Notes!BY1014)</f>
        <v/>
      </c>
      <c r="B1018" s="7" t="str">
        <f>IF(Notes!BZ1014="","",Notes!BZ1014)</f>
        <v/>
      </c>
      <c r="C1018" s="7" t="str">
        <f>IF(Notes!CA1014="","",Notes!CA1014)</f>
        <v/>
      </c>
      <c r="D1018" s="7" t="str">
        <f>IF(Notes!CB1014="","",Notes!CB1014)</f>
        <v/>
      </c>
      <c r="E1018" s="7" t="str">
        <f>IF(Notes!CC1014="","",Notes!CC1014)</f>
        <v/>
      </c>
      <c r="F1018" s="7" t="str">
        <f>IF(Notes!CD1014="","",Notes!CD1014)</f>
        <v/>
      </c>
      <c r="G1018" s="7" t="str">
        <f>IF(Notes!CE1014="","",Notes!CE1014)</f>
        <v/>
      </c>
      <c r="H1018" s="7" t="str">
        <f>IF(Notes!CF1014="","",Notes!CF1014)</f>
        <v/>
      </c>
      <c r="I1018" s="7"/>
      <c r="J1018" s="7"/>
      <c r="K1018" s="7"/>
    </row>
    <row r="1019" spans="1:11" x14ac:dyDescent="0.35">
      <c r="A1019" s="7" t="str">
        <f>IF(Notes!BY1015="","",Notes!BY1015)</f>
        <v/>
      </c>
      <c r="B1019" s="7" t="str">
        <f>IF(Notes!BZ1015="","",Notes!BZ1015)</f>
        <v/>
      </c>
      <c r="C1019" s="7" t="str">
        <f>IF(Notes!CA1015="","",Notes!CA1015)</f>
        <v/>
      </c>
      <c r="D1019" s="7" t="str">
        <f>IF(Notes!CB1015="","",Notes!CB1015)</f>
        <v/>
      </c>
      <c r="E1019" s="7" t="str">
        <f>IF(Notes!CC1015="","",Notes!CC1015)</f>
        <v/>
      </c>
      <c r="F1019" s="7" t="str">
        <f>IF(Notes!CD1015="","",Notes!CD1015)</f>
        <v/>
      </c>
      <c r="G1019" s="7" t="str">
        <f>IF(Notes!CE1015="","",Notes!CE1015)</f>
        <v/>
      </c>
      <c r="H1019" s="7" t="str">
        <f>IF(Notes!CF1015="","",Notes!CF1015)</f>
        <v/>
      </c>
      <c r="I1019" s="7"/>
      <c r="J1019" s="7"/>
      <c r="K1019" s="7"/>
    </row>
    <row r="1020" spans="1:11" x14ac:dyDescent="0.35">
      <c r="A1020" s="7" t="str">
        <f>IF(Notes!BY1016="","",Notes!BY1016)</f>
        <v/>
      </c>
      <c r="B1020" s="7" t="str">
        <f>IF(Notes!BZ1016="","",Notes!BZ1016)</f>
        <v/>
      </c>
      <c r="C1020" s="7" t="str">
        <f>IF(Notes!CA1016="","",Notes!CA1016)</f>
        <v/>
      </c>
      <c r="D1020" s="7" t="str">
        <f>IF(Notes!CB1016="","",Notes!CB1016)</f>
        <v/>
      </c>
      <c r="E1020" s="7" t="str">
        <f>IF(Notes!CC1016="","",Notes!CC1016)</f>
        <v/>
      </c>
      <c r="F1020" s="7" t="str">
        <f>IF(Notes!CD1016="","",Notes!CD1016)</f>
        <v/>
      </c>
      <c r="G1020" s="7" t="str">
        <f>IF(Notes!CE1016="","",Notes!CE1016)</f>
        <v/>
      </c>
      <c r="H1020" s="7" t="str">
        <f>IF(Notes!CF1016="","",Notes!CF1016)</f>
        <v/>
      </c>
      <c r="I1020" s="7"/>
      <c r="J1020" s="7"/>
      <c r="K1020" s="7"/>
    </row>
    <row r="1021" spans="1:11" x14ac:dyDescent="0.35">
      <c r="A1021" s="7" t="str">
        <f>IF(Notes!BY1017="","",Notes!BY1017)</f>
        <v/>
      </c>
      <c r="B1021" s="7" t="str">
        <f>IF(Notes!BZ1017="","",Notes!BZ1017)</f>
        <v/>
      </c>
      <c r="C1021" s="7" t="str">
        <f>IF(Notes!CA1017="","",Notes!CA1017)</f>
        <v/>
      </c>
      <c r="D1021" s="7" t="str">
        <f>IF(Notes!CB1017="","",Notes!CB1017)</f>
        <v/>
      </c>
      <c r="E1021" s="7" t="str">
        <f>IF(Notes!CC1017="","",Notes!CC1017)</f>
        <v/>
      </c>
      <c r="F1021" s="7" t="str">
        <f>IF(Notes!CD1017="","",Notes!CD1017)</f>
        <v/>
      </c>
      <c r="G1021" s="7" t="str">
        <f>IF(Notes!CE1017="","",Notes!CE1017)</f>
        <v/>
      </c>
      <c r="H1021" s="7" t="str">
        <f>IF(Notes!CF1017="","",Notes!CF1017)</f>
        <v/>
      </c>
      <c r="I1021" s="7"/>
      <c r="J1021" s="7"/>
      <c r="K1021" s="7"/>
    </row>
    <row r="1022" spans="1:11" x14ac:dyDescent="0.35">
      <c r="A1022" s="7" t="str">
        <f>IF(Notes!BY1018="","",Notes!BY1018)</f>
        <v/>
      </c>
      <c r="B1022" s="7" t="str">
        <f>IF(Notes!BZ1018="","",Notes!BZ1018)</f>
        <v/>
      </c>
      <c r="C1022" s="7" t="str">
        <f>IF(Notes!CA1018="","",Notes!CA1018)</f>
        <v/>
      </c>
      <c r="D1022" s="7" t="str">
        <f>IF(Notes!CB1018="","",Notes!CB1018)</f>
        <v/>
      </c>
      <c r="E1022" s="7" t="str">
        <f>IF(Notes!CC1018="","",Notes!CC1018)</f>
        <v/>
      </c>
      <c r="F1022" s="7" t="str">
        <f>IF(Notes!CD1018="","",Notes!CD1018)</f>
        <v/>
      </c>
      <c r="G1022" s="7" t="str">
        <f>IF(Notes!CE1018="","",Notes!CE1018)</f>
        <v/>
      </c>
      <c r="H1022" s="7" t="str">
        <f>IF(Notes!CF1018="","",Notes!CF1018)</f>
        <v/>
      </c>
      <c r="I1022" s="7"/>
      <c r="J1022" s="7"/>
      <c r="K1022" s="7"/>
    </row>
    <row r="1023" spans="1:11" x14ac:dyDescent="0.35">
      <c r="A1023" s="7" t="str">
        <f>IF(Notes!BY1019="","",Notes!BY1019)</f>
        <v/>
      </c>
      <c r="B1023" s="7" t="str">
        <f>IF(Notes!BZ1019="","",Notes!BZ1019)</f>
        <v/>
      </c>
      <c r="C1023" s="7" t="str">
        <f>IF(Notes!CA1019="","",Notes!CA1019)</f>
        <v/>
      </c>
      <c r="D1023" s="7" t="str">
        <f>IF(Notes!CB1019="","",Notes!CB1019)</f>
        <v/>
      </c>
      <c r="E1023" s="7" t="str">
        <f>IF(Notes!CC1019="","",Notes!CC1019)</f>
        <v/>
      </c>
      <c r="F1023" s="7" t="str">
        <f>IF(Notes!CD1019="","",Notes!CD1019)</f>
        <v/>
      </c>
      <c r="G1023" s="7" t="str">
        <f>IF(Notes!CE1019="","",Notes!CE1019)</f>
        <v/>
      </c>
      <c r="H1023" s="7" t="str">
        <f>IF(Notes!CF1019="","",Notes!CF1019)</f>
        <v/>
      </c>
      <c r="I1023" s="7"/>
      <c r="J1023" s="7"/>
      <c r="K1023" s="7"/>
    </row>
    <row r="1024" spans="1:11" x14ac:dyDescent="0.35">
      <c r="A1024" s="7" t="str">
        <f>IF(Notes!BY1020="","",Notes!BY1020)</f>
        <v/>
      </c>
      <c r="B1024" s="7" t="str">
        <f>IF(Notes!BZ1020="","",Notes!BZ1020)</f>
        <v/>
      </c>
      <c r="C1024" s="7" t="str">
        <f>IF(Notes!CA1020="","",Notes!CA1020)</f>
        <v/>
      </c>
      <c r="D1024" s="7" t="str">
        <f>IF(Notes!CB1020="","",Notes!CB1020)</f>
        <v/>
      </c>
      <c r="E1024" s="7" t="str">
        <f>IF(Notes!CC1020="","",Notes!CC1020)</f>
        <v/>
      </c>
      <c r="F1024" s="7" t="str">
        <f>IF(Notes!CD1020="","",Notes!CD1020)</f>
        <v/>
      </c>
      <c r="G1024" s="7" t="str">
        <f>IF(Notes!CE1020="","",Notes!CE1020)</f>
        <v/>
      </c>
      <c r="H1024" s="7" t="str">
        <f>IF(Notes!CF1020="","",Notes!CF1020)</f>
        <v/>
      </c>
      <c r="I1024" s="7"/>
      <c r="J1024" s="7"/>
      <c r="K1024" s="7"/>
    </row>
    <row r="1025" spans="1:11" x14ac:dyDescent="0.35">
      <c r="A1025" s="7" t="str">
        <f>IF(Notes!BY1021="","",Notes!BY1021)</f>
        <v/>
      </c>
      <c r="B1025" s="7" t="str">
        <f>IF(Notes!BZ1021="","",Notes!BZ1021)</f>
        <v/>
      </c>
      <c r="C1025" s="7" t="str">
        <f>IF(Notes!CA1021="","",Notes!CA1021)</f>
        <v/>
      </c>
      <c r="D1025" s="7" t="str">
        <f>IF(Notes!CB1021="","",Notes!CB1021)</f>
        <v/>
      </c>
      <c r="E1025" s="7" t="str">
        <f>IF(Notes!CC1021="","",Notes!CC1021)</f>
        <v/>
      </c>
      <c r="F1025" s="7" t="str">
        <f>IF(Notes!CD1021="","",Notes!CD1021)</f>
        <v/>
      </c>
      <c r="G1025" s="7" t="str">
        <f>IF(Notes!CE1021="","",Notes!CE1021)</f>
        <v/>
      </c>
      <c r="H1025" s="7" t="str">
        <f>IF(Notes!CF1021="","",Notes!CF1021)</f>
        <v/>
      </c>
      <c r="I1025" s="7"/>
      <c r="J1025" s="7"/>
      <c r="K1025" s="7"/>
    </row>
    <row r="1026" spans="1:11" x14ac:dyDescent="0.35">
      <c r="A1026" s="7" t="str">
        <f>IF(Notes!BY1022="","",Notes!BY1022)</f>
        <v/>
      </c>
      <c r="B1026" s="7" t="str">
        <f>IF(Notes!BZ1022="","",Notes!BZ1022)</f>
        <v/>
      </c>
      <c r="C1026" s="7" t="str">
        <f>IF(Notes!CA1022="","",Notes!CA1022)</f>
        <v/>
      </c>
      <c r="D1026" s="7" t="str">
        <f>IF(Notes!CB1022="","",Notes!CB1022)</f>
        <v/>
      </c>
      <c r="E1026" s="7" t="str">
        <f>IF(Notes!CC1022="","",Notes!CC1022)</f>
        <v/>
      </c>
      <c r="F1026" s="7" t="str">
        <f>IF(Notes!CD1022="","",Notes!CD1022)</f>
        <v/>
      </c>
      <c r="G1026" s="7" t="str">
        <f>IF(Notes!CE1022="","",Notes!CE1022)</f>
        <v/>
      </c>
      <c r="H1026" s="7" t="str">
        <f>IF(Notes!CF1022="","",Notes!CF1022)</f>
        <v/>
      </c>
      <c r="I1026" s="7"/>
      <c r="J1026" s="7"/>
      <c r="K1026" s="7"/>
    </row>
    <row r="1027" spans="1:11" x14ac:dyDescent="0.35">
      <c r="A1027" s="7" t="str">
        <f>IF(Notes!BY1023="","",Notes!BY1023)</f>
        <v/>
      </c>
      <c r="B1027" s="7" t="str">
        <f>IF(Notes!BZ1023="","",Notes!BZ1023)</f>
        <v/>
      </c>
      <c r="C1027" s="7" t="str">
        <f>IF(Notes!CA1023="","",Notes!CA1023)</f>
        <v/>
      </c>
      <c r="D1027" s="7" t="str">
        <f>IF(Notes!CB1023="","",Notes!CB1023)</f>
        <v/>
      </c>
      <c r="E1027" s="7" t="str">
        <f>IF(Notes!CC1023="","",Notes!CC1023)</f>
        <v/>
      </c>
      <c r="F1027" s="7" t="str">
        <f>IF(Notes!CD1023="","",Notes!CD1023)</f>
        <v/>
      </c>
      <c r="G1027" s="7" t="str">
        <f>IF(Notes!CE1023="","",Notes!CE1023)</f>
        <v/>
      </c>
      <c r="H1027" s="7" t="str">
        <f>IF(Notes!CF1023="","",Notes!CF1023)</f>
        <v/>
      </c>
      <c r="I1027" s="7"/>
      <c r="J1027" s="7"/>
      <c r="K1027" s="7"/>
    </row>
    <row r="1028" spans="1:11" x14ac:dyDescent="0.35">
      <c r="A1028" s="7" t="str">
        <f>IF(Notes!BY1024="","",Notes!BY1024)</f>
        <v/>
      </c>
      <c r="B1028" s="7" t="str">
        <f>IF(Notes!BZ1024="","",Notes!BZ1024)</f>
        <v/>
      </c>
      <c r="C1028" s="7" t="str">
        <f>IF(Notes!CA1024="","",Notes!CA1024)</f>
        <v/>
      </c>
      <c r="D1028" s="7" t="str">
        <f>IF(Notes!CB1024="","",Notes!CB1024)</f>
        <v/>
      </c>
      <c r="E1028" s="7" t="str">
        <f>IF(Notes!CC1024="","",Notes!CC1024)</f>
        <v/>
      </c>
      <c r="F1028" s="7" t="str">
        <f>IF(Notes!CD1024="","",Notes!CD1024)</f>
        <v/>
      </c>
      <c r="G1028" s="7" t="str">
        <f>IF(Notes!CE1024="","",Notes!CE1024)</f>
        <v/>
      </c>
      <c r="H1028" s="7" t="str">
        <f>IF(Notes!CF1024="","",Notes!CF1024)</f>
        <v/>
      </c>
      <c r="I1028" s="7"/>
      <c r="J1028" s="7"/>
      <c r="K1028" s="7"/>
    </row>
    <row r="1029" spans="1:11" x14ac:dyDescent="0.35">
      <c r="A1029" s="7" t="str">
        <f>IF(Notes!BY1025="","",Notes!BY1025)</f>
        <v/>
      </c>
      <c r="B1029" s="7" t="str">
        <f>IF(Notes!BZ1025="","",Notes!BZ1025)</f>
        <v/>
      </c>
      <c r="C1029" s="7" t="str">
        <f>IF(Notes!CA1025="","",Notes!CA1025)</f>
        <v/>
      </c>
      <c r="D1029" s="7" t="str">
        <f>IF(Notes!CB1025="","",Notes!CB1025)</f>
        <v/>
      </c>
      <c r="E1029" s="7" t="str">
        <f>IF(Notes!CC1025="","",Notes!CC1025)</f>
        <v/>
      </c>
      <c r="F1029" s="7" t="str">
        <f>IF(Notes!CD1025="","",Notes!CD1025)</f>
        <v/>
      </c>
      <c r="G1029" s="7" t="str">
        <f>IF(Notes!CE1025="","",Notes!CE1025)</f>
        <v/>
      </c>
      <c r="H1029" s="7" t="str">
        <f>IF(Notes!CF1025="","",Notes!CF1025)</f>
        <v/>
      </c>
      <c r="I1029" s="7"/>
      <c r="J1029" s="7"/>
      <c r="K1029" s="7"/>
    </row>
    <row r="1030" spans="1:11" x14ac:dyDescent="0.35">
      <c r="A1030" s="7" t="str">
        <f>IF(Notes!BY1026="","",Notes!BY1026)</f>
        <v/>
      </c>
      <c r="B1030" s="7" t="str">
        <f>IF(Notes!BZ1026="","",Notes!BZ1026)</f>
        <v/>
      </c>
      <c r="C1030" s="7" t="str">
        <f>IF(Notes!CA1026="","",Notes!CA1026)</f>
        <v/>
      </c>
      <c r="D1030" s="7" t="str">
        <f>IF(Notes!CB1026="","",Notes!CB1026)</f>
        <v/>
      </c>
      <c r="E1030" s="7" t="str">
        <f>IF(Notes!CC1026="","",Notes!CC1026)</f>
        <v/>
      </c>
      <c r="F1030" s="7" t="str">
        <f>IF(Notes!CD1026="","",Notes!CD1026)</f>
        <v/>
      </c>
      <c r="G1030" s="7" t="str">
        <f>IF(Notes!CE1026="","",Notes!CE1026)</f>
        <v/>
      </c>
      <c r="H1030" s="7" t="str">
        <f>IF(Notes!CF1026="","",Notes!CF1026)</f>
        <v/>
      </c>
      <c r="I1030" s="7"/>
      <c r="J1030" s="7"/>
      <c r="K1030" s="7"/>
    </row>
    <row r="1031" spans="1:11" x14ac:dyDescent="0.35">
      <c r="A1031" s="7" t="str">
        <f>IF(Notes!BY1027="","",Notes!BY1027)</f>
        <v/>
      </c>
      <c r="B1031" s="7" t="str">
        <f>IF(Notes!BZ1027="","",Notes!BZ1027)</f>
        <v/>
      </c>
      <c r="C1031" s="7" t="str">
        <f>IF(Notes!CA1027="","",Notes!CA1027)</f>
        <v/>
      </c>
      <c r="D1031" s="7" t="str">
        <f>IF(Notes!CB1027="","",Notes!CB1027)</f>
        <v/>
      </c>
      <c r="E1031" s="7" t="str">
        <f>IF(Notes!CC1027="","",Notes!CC1027)</f>
        <v/>
      </c>
      <c r="F1031" s="7" t="str">
        <f>IF(Notes!CD1027="","",Notes!CD1027)</f>
        <v/>
      </c>
      <c r="G1031" s="7" t="str">
        <f>IF(Notes!CE1027="","",Notes!CE1027)</f>
        <v/>
      </c>
      <c r="H1031" s="7" t="str">
        <f>IF(Notes!CF1027="","",Notes!CF1027)</f>
        <v/>
      </c>
      <c r="I1031" s="7"/>
      <c r="J1031" s="7"/>
      <c r="K1031" s="7"/>
    </row>
    <row r="1032" spans="1:11" x14ac:dyDescent="0.35">
      <c r="A1032" s="7" t="str">
        <f>IF(Notes!BY1028="","",Notes!BY1028)</f>
        <v/>
      </c>
      <c r="B1032" s="7" t="str">
        <f>IF(Notes!BZ1028="","",Notes!BZ1028)</f>
        <v/>
      </c>
      <c r="C1032" s="7" t="str">
        <f>IF(Notes!CA1028="","",Notes!CA1028)</f>
        <v/>
      </c>
      <c r="D1032" s="7" t="str">
        <f>IF(Notes!CB1028="","",Notes!CB1028)</f>
        <v/>
      </c>
      <c r="E1032" s="7" t="str">
        <f>IF(Notes!CC1028="","",Notes!CC1028)</f>
        <v/>
      </c>
      <c r="F1032" s="7" t="str">
        <f>IF(Notes!CD1028="","",Notes!CD1028)</f>
        <v/>
      </c>
      <c r="G1032" s="7" t="str">
        <f>IF(Notes!CE1028="","",Notes!CE1028)</f>
        <v/>
      </c>
      <c r="H1032" s="7" t="str">
        <f>IF(Notes!CF1028="","",Notes!CF1028)</f>
        <v/>
      </c>
      <c r="I1032" s="7"/>
      <c r="J1032" s="7"/>
      <c r="K1032" s="7"/>
    </row>
    <row r="1033" spans="1:11" x14ac:dyDescent="0.35">
      <c r="A1033" s="7" t="str">
        <f>IF(Notes!BY1029="","",Notes!BY1029)</f>
        <v/>
      </c>
      <c r="B1033" s="7" t="str">
        <f>IF(Notes!BZ1029="","",Notes!BZ1029)</f>
        <v/>
      </c>
      <c r="C1033" s="7" t="str">
        <f>IF(Notes!CA1029="","",Notes!CA1029)</f>
        <v/>
      </c>
      <c r="D1033" s="7" t="str">
        <f>IF(Notes!CB1029="","",Notes!CB1029)</f>
        <v/>
      </c>
      <c r="E1033" s="7" t="str">
        <f>IF(Notes!CC1029="","",Notes!CC1029)</f>
        <v/>
      </c>
      <c r="F1033" s="7" t="str">
        <f>IF(Notes!CD1029="","",Notes!CD1029)</f>
        <v/>
      </c>
      <c r="G1033" s="7" t="str">
        <f>IF(Notes!CE1029="","",Notes!CE1029)</f>
        <v/>
      </c>
      <c r="H1033" s="7" t="str">
        <f>IF(Notes!CF1029="","",Notes!CF1029)</f>
        <v/>
      </c>
      <c r="I1033" s="7"/>
      <c r="J1033" s="7"/>
      <c r="K1033" s="7"/>
    </row>
    <row r="1034" spans="1:11" x14ac:dyDescent="0.35">
      <c r="A1034" s="7" t="str">
        <f>IF(Notes!BY1030="","",Notes!BY1030)</f>
        <v/>
      </c>
      <c r="B1034" s="7" t="str">
        <f>IF(Notes!BZ1030="","",Notes!BZ1030)</f>
        <v/>
      </c>
      <c r="C1034" s="7" t="str">
        <f>IF(Notes!CA1030="","",Notes!CA1030)</f>
        <v/>
      </c>
      <c r="D1034" s="7" t="str">
        <f>IF(Notes!CB1030="","",Notes!CB1030)</f>
        <v/>
      </c>
      <c r="E1034" s="7" t="str">
        <f>IF(Notes!CC1030="","",Notes!CC1030)</f>
        <v/>
      </c>
      <c r="F1034" s="7" t="str">
        <f>IF(Notes!CD1030="","",Notes!CD1030)</f>
        <v/>
      </c>
      <c r="G1034" s="7" t="str">
        <f>IF(Notes!CE1030="","",Notes!CE1030)</f>
        <v/>
      </c>
      <c r="H1034" s="7" t="str">
        <f>IF(Notes!CF1030="","",Notes!CF1030)</f>
        <v/>
      </c>
      <c r="I1034" s="7"/>
      <c r="J1034" s="7"/>
      <c r="K1034" s="7"/>
    </row>
    <row r="1035" spans="1:11" x14ac:dyDescent="0.35">
      <c r="A1035" s="7" t="str">
        <f>IF(Notes!BY1031="","",Notes!BY1031)</f>
        <v/>
      </c>
      <c r="B1035" s="7" t="str">
        <f>IF(Notes!BZ1031="","",Notes!BZ1031)</f>
        <v/>
      </c>
      <c r="C1035" s="7" t="str">
        <f>IF(Notes!CA1031="","",Notes!CA1031)</f>
        <v/>
      </c>
      <c r="D1035" s="7" t="str">
        <f>IF(Notes!CB1031="","",Notes!CB1031)</f>
        <v/>
      </c>
      <c r="E1035" s="7" t="str">
        <f>IF(Notes!CC1031="","",Notes!CC1031)</f>
        <v/>
      </c>
      <c r="F1035" s="7" t="str">
        <f>IF(Notes!CD1031="","",Notes!CD1031)</f>
        <v/>
      </c>
      <c r="G1035" s="7" t="str">
        <f>IF(Notes!CE1031="","",Notes!CE1031)</f>
        <v/>
      </c>
      <c r="H1035" s="7" t="str">
        <f>IF(Notes!CF1031="","",Notes!CF1031)</f>
        <v/>
      </c>
      <c r="I1035" s="7"/>
      <c r="J1035" s="7"/>
      <c r="K1035" s="7"/>
    </row>
    <row r="1036" spans="1:11" x14ac:dyDescent="0.35">
      <c r="A1036" s="7" t="str">
        <f>IF(Notes!BY1032="","",Notes!BY1032)</f>
        <v/>
      </c>
      <c r="B1036" s="7" t="str">
        <f>IF(Notes!BZ1032="","",Notes!BZ1032)</f>
        <v/>
      </c>
      <c r="C1036" s="7" t="str">
        <f>IF(Notes!CA1032="","",Notes!CA1032)</f>
        <v/>
      </c>
      <c r="D1036" s="7" t="str">
        <f>IF(Notes!CB1032="","",Notes!CB1032)</f>
        <v/>
      </c>
      <c r="E1036" s="7" t="str">
        <f>IF(Notes!CC1032="","",Notes!CC1032)</f>
        <v/>
      </c>
      <c r="F1036" s="7" t="str">
        <f>IF(Notes!CD1032="","",Notes!CD1032)</f>
        <v/>
      </c>
      <c r="G1036" s="7" t="str">
        <f>IF(Notes!CE1032="","",Notes!CE1032)</f>
        <v/>
      </c>
      <c r="H1036" s="7" t="str">
        <f>IF(Notes!CF1032="","",Notes!CF1032)</f>
        <v/>
      </c>
      <c r="I1036" s="7"/>
      <c r="J1036" s="7"/>
      <c r="K1036" s="7"/>
    </row>
    <row r="1037" spans="1:11" x14ac:dyDescent="0.35">
      <c r="A1037" s="7" t="str">
        <f>IF(Notes!BY1033="","",Notes!BY1033)</f>
        <v/>
      </c>
      <c r="B1037" s="7" t="str">
        <f>IF(Notes!BZ1033="","",Notes!BZ1033)</f>
        <v/>
      </c>
      <c r="C1037" s="7" t="str">
        <f>IF(Notes!CA1033="","",Notes!CA1033)</f>
        <v/>
      </c>
      <c r="D1037" s="7" t="str">
        <f>IF(Notes!CB1033="","",Notes!CB1033)</f>
        <v/>
      </c>
      <c r="E1037" s="7" t="str">
        <f>IF(Notes!CC1033="","",Notes!CC1033)</f>
        <v/>
      </c>
      <c r="F1037" s="7" t="str">
        <f>IF(Notes!CD1033="","",Notes!CD1033)</f>
        <v/>
      </c>
      <c r="G1037" s="7" t="str">
        <f>IF(Notes!CE1033="","",Notes!CE1033)</f>
        <v/>
      </c>
      <c r="H1037" s="7" t="str">
        <f>IF(Notes!CF1033="","",Notes!CF1033)</f>
        <v/>
      </c>
      <c r="I1037" s="7"/>
      <c r="J1037" s="7"/>
      <c r="K1037" s="7"/>
    </row>
    <row r="1038" spans="1:11" x14ac:dyDescent="0.35">
      <c r="A1038" s="7" t="str">
        <f>IF(Notes!BY1034="","",Notes!BY1034)</f>
        <v/>
      </c>
      <c r="B1038" s="7" t="str">
        <f>IF(Notes!BZ1034="","",Notes!BZ1034)</f>
        <v/>
      </c>
      <c r="C1038" s="7" t="str">
        <f>IF(Notes!CA1034="","",Notes!CA1034)</f>
        <v/>
      </c>
      <c r="D1038" s="7" t="str">
        <f>IF(Notes!CB1034="","",Notes!CB1034)</f>
        <v/>
      </c>
      <c r="E1038" s="7" t="str">
        <f>IF(Notes!CC1034="","",Notes!CC1034)</f>
        <v/>
      </c>
      <c r="F1038" s="7" t="str">
        <f>IF(Notes!CD1034="","",Notes!CD1034)</f>
        <v/>
      </c>
      <c r="G1038" s="7" t="str">
        <f>IF(Notes!CE1034="","",Notes!CE1034)</f>
        <v/>
      </c>
      <c r="H1038" s="7" t="str">
        <f>IF(Notes!CF1034="","",Notes!CF1034)</f>
        <v/>
      </c>
      <c r="I1038" s="7"/>
      <c r="J1038" s="7"/>
      <c r="K1038" s="7"/>
    </row>
    <row r="1039" spans="1:11" x14ac:dyDescent="0.35">
      <c r="A1039" s="7" t="str">
        <f>IF(Notes!BY1035="","",Notes!BY1035)</f>
        <v/>
      </c>
      <c r="B1039" s="7" t="str">
        <f>IF(Notes!BZ1035="","",Notes!BZ1035)</f>
        <v/>
      </c>
      <c r="C1039" s="7" t="str">
        <f>IF(Notes!CA1035="","",Notes!CA1035)</f>
        <v/>
      </c>
      <c r="D1039" s="7" t="str">
        <f>IF(Notes!CB1035="","",Notes!CB1035)</f>
        <v/>
      </c>
      <c r="E1039" s="7" t="str">
        <f>IF(Notes!CC1035="","",Notes!CC1035)</f>
        <v/>
      </c>
      <c r="F1039" s="7" t="str">
        <f>IF(Notes!CD1035="","",Notes!CD1035)</f>
        <v/>
      </c>
      <c r="G1039" s="7" t="str">
        <f>IF(Notes!CE1035="","",Notes!CE1035)</f>
        <v/>
      </c>
      <c r="H1039" s="7" t="str">
        <f>IF(Notes!CF1035="","",Notes!CF1035)</f>
        <v/>
      </c>
      <c r="I1039" s="7"/>
      <c r="J1039" s="7"/>
      <c r="K1039" s="7"/>
    </row>
    <row r="1040" spans="1:11" x14ac:dyDescent="0.35">
      <c r="A1040" s="7" t="str">
        <f>IF(Notes!BY1036="","",Notes!BY1036)</f>
        <v/>
      </c>
      <c r="B1040" s="7" t="str">
        <f>IF(Notes!BZ1036="","",Notes!BZ1036)</f>
        <v/>
      </c>
      <c r="C1040" s="7" t="str">
        <f>IF(Notes!CA1036="","",Notes!CA1036)</f>
        <v/>
      </c>
      <c r="D1040" s="7" t="str">
        <f>IF(Notes!CB1036="","",Notes!CB1036)</f>
        <v/>
      </c>
      <c r="E1040" s="7" t="str">
        <f>IF(Notes!CC1036="","",Notes!CC1036)</f>
        <v/>
      </c>
      <c r="F1040" s="7" t="str">
        <f>IF(Notes!CD1036="","",Notes!CD1036)</f>
        <v/>
      </c>
      <c r="G1040" s="7" t="str">
        <f>IF(Notes!CE1036="","",Notes!CE1036)</f>
        <v/>
      </c>
      <c r="H1040" s="7" t="str">
        <f>IF(Notes!CF1036="","",Notes!CF1036)</f>
        <v/>
      </c>
      <c r="I1040" s="7"/>
      <c r="J1040" s="7"/>
      <c r="K1040" s="7"/>
    </row>
    <row r="1041" spans="1:11" x14ac:dyDescent="0.35">
      <c r="A1041" s="7" t="str">
        <f>IF(Notes!BY1037="","",Notes!BY1037)</f>
        <v/>
      </c>
      <c r="B1041" s="7" t="str">
        <f>IF(Notes!BZ1037="","",Notes!BZ1037)</f>
        <v/>
      </c>
      <c r="C1041" s="7" t="str">
        <f>IF(Notes!CA1037="","",Notes!CA1037)</f>
        <v/>
      </c>
      <c r="D1041" s="7" t="str">
        <f>IF(Notes!CB1037="","",Notes!CB1037)</f>
        <v/>
      </c>
      <c r="E1041" s="7" t="str">
        <f>IF(Notes!CC1037="","",Notes!CC1037)</f>
        <v/>
      </c>
      <c r="F1041" s="7" t="str">
        <f>IF(Notes!CD1037="","",Notes!CD1037)</f>
        <v/>
      </c>
      <c r="G1041" s="7" t="str">
        <f>IF(Notes!CE1037="","",Notes!CE1037)</f>
        <v/>
      </c>
      <c r="H1041" s="7" t="str">
        <f>IF(Notes!CF1037="","",Notes!CF1037)</f>
        <v/>
      </c>
      <c r="I1041" s="7"/>
      <c r="J1041" s="7"/>
      <c r="K1041" s="7"/>
    </row>
    <row r="1042" spans="1:11" x14ac:dyDescent="0.35">
      <c r="A1042" s="7" t="str">
        <f>IF(Notes!BY1038="","",Notes!BY1038)</f>
        <v/>
      </c>
      <c r="B1042" s="7" t="str">
        <f>IF(Notes!BZ1038="","",Notes!BZ1038)</f>
        <v/>
      </c>
      <c r="C1042" s="7" t="str">
        <f>IF(Notes!CA1038="","",Notes!CA1038)</f>
        <v/>
      </c>
      <c r="D1042" s="7" t="str">
        <f>IF(Notes!CB1038="","",Notes!CB1038)</f>
        <v/>
      </c>
      <c r="E1042" s="7" t="str">
        <f>IF(Notes!CC1038="","",Notes!CC1038)</f>
        <v/>
      </c>
      <c r="F1042" s="7" t="str">
        <f>IF(Notes!CD1038="","",Notes!CD1038)</f>
        <v/>
      </c>
      <c r="G1042" s="7" t="str">
        <f>IF(Notes!CE1038="","",Notes!CE1038)</f>
        <v/>
      </c>
      <c r="H1042" s="7" t="str">
        <f>IF(Notes!CF1038="","",Notes!CF1038)</f>
        <v/>
      </c>
      <c r="I1042" s="7"/>
      <c r="J1042" s="7"/>
      <c r="K1042" s="7"/>
    </row>
    <row r="1043" spans="1:11" x14ac:dyDescent="0.35">
      <c r="A1043" s="7" t="str">
        <f>IF(Notes!BY1039="","",Notes!BY1039)</f>
        <v/>
      </c>
      <c r="B1043" s="7" t="str">
        <f>IF(Notes!BZ1039="","",Notes!BZ1039)</f>
        <v/>
      </c>
      <c r="C1043" s="7" t="str">
        <f>IF(Notes!CA1039="","",Notes!CA1039)</f>
        <v/>
      </c>
      <c r="D1043" s="7" t="str">
        <f>IF(Notes!CB1039="","",Notes!CB1039)</f>
        <v/>
      </c>
      <c r="E1043" s="7" t="str">
        <f>IF(Notes!CC1039="","",Notes!CC1039)</f>
        <v/>
      </c>
      <c r="F1043" s="7" t="str">
        <f>IF(Notes!CD1039="","",Notes!CD1039)</f>
        <v/>
      </c>
      <c r="G1043" s="7" t="str">
        <f>IF(Notes!CE1039="","",Notes!CE1039)</f>
        <v/>
      </c>
      <c r="H1043" s="7" t="str">
        <f>IF(Notes!CF1039="","",Notes!CF1039)</f>
        <v/>
      </c>
      <c r="I1043" s="7"/>
      <c r="J1043" s="7"/>
      <c r="K1043" s="7"/>
    </row>
    <row r="1044" spans="1:11" x14ac:dyDescent="0.35">
      <c r="A1044" s="7" t="str">
        <f>IF(Notes!BY1040="","",Notes!BY1040)</f>
        <v/>
      </c>
      <c r="B1044" s="7" t="str">
        <f>IF(Notes!BZ1040="","",Notes!BZ1040)</f>
        <v/>
      </c>
      <c r="C1044" s="7" t="str">
        <f>IF(Notes!CA1040="","",Notes!CA1040)</f>
        <v/>
      </c>
      <c r="D1044" s="7" t="str">
        <f>IF(Notes!CB1040="","",Notes!CB1040)</f>
        <v/>
      </c>
      <c r="E1044" s="7" t="str">
        <f>IF(Notes!CC1040="","",Notes!CC1040)</f>
        <v/>
      </c>
      <c r="F1044" s="7" t="str">
        <f>IF(Notes!CD1040="","",Notes!CD1040)</f>
        <v/>
      </c>
      <c r="G1044" s="7" t="str">
        <f>IF(Notes!CE1040="","",Notes!CE1040)</f>
        <v/>
      </c>
      <c r="H1044" s="7" t="str">
        <f>IF(Notes!CF1040="","",Notes!CF1040)</f>
        <v/>
      </c>
      <c r="I1044" s="7"/>
      <c r="J1044" s="7"/>
      <c r="K1044" s="7"/>
    </row>
    <row r="1045" spans="1:11" x14ac:dyDescent="0.35">
      <c r="A1045" s="7" t="str">
        <f>IF(Notes!BY1041="","",Notes!BY1041)</f>
        <v/>
      </c>
      <c r="B1045" s="7" t="str">
        <f>IF(Notes!BZ1041="","",Notes!BZ1041)</f>
        <v/>
      </c>
      <c r="C1045" s="7" t="str">
        <f>IF(Notes!CA1041="","",Notes!CA1041)</f>
        <v/>
      </c>
      <c r="D1045" s="7" t="str">
        <f>IF(Notes!CB1041="","",Notes!CB1041)</f>
        <v/>
      </c>
      <c r="E1045" s="7" t="str">
        <f>IF(Notes!CC1041="","",Notes!CC1041)</f>
        <v/>
      </c>
      <c r="F1045" s="7" t="str">
        <f>IF(Notes!CD1041="","",Notes!CD1041)</f>
        <v/>
      </c>
      <c r="G1045" s="7" t="str">
        <f>IF(Notes!CE1041="","",Notes!CE1041)</f>
        <v/>
      </c>
      <c r="H1045" s="7" t="str">
        <f>IF(Notes!CF1041="","",Notes!CF1041)</f>
        <v/>
      </c>
      <c r="I1045" s="7"/>
      <c r="J1045" s="7"/>
      <c r="K1045" s="7"/>
    </row>
    <row r="1046" spans="1:11" x14ac:dyDescent="0.35">
      <c r="A1046" s="7" t="str">
        <f>IF(Notes!BY1042="","",Notes!BY1042)</f>
        <v/>
      </c>
      <c r="B1046" s="7" t="str">
        <f>IF(Notes!BZ1042="","",Notes!BZ1042)</f>
        <v/>
      </c>
      <c r="C1046" s="7" t="str">
        <f>IF(Notes!CA1042="","",Notes!CA1042)</f>
        <v/>
      </c>
      <c r="D1046" s="7" t="str">
        <f>IF(Notes!CB1042="","",Notes!CB1042)</f>
        <v/>
      </c>
      <c r="E1046" s="7" t="str">
        <f>IF(Notes!CC1042="","",Notes!CC1042)</f>
        <v/>
      </c>
      <c r="F1046" s="7" t="str">
        <f>IF(Notes!CD1042="","",Notes!CD1042)</f>
        <v/>
      </c>
      <c r="G1046" s="7" t="str">
        <f>IF(Notes!CE1042="","",Notes!CE1042)</f>
        <v/>
      </c>
      <c r="H1046" s="7" t="str">
        <f>IF(Notes!CF1042="","",Notes!CF1042)</f>
        <v/>
      </c>
      <c r="I1046" s="7"/>
      <c r="J1046" s="7"/>
      <c r="K1046" s="7"/>
    </row>
    <row r="1047" spans="1:11" x14ac:dyDescent="0.35">
      <c r="A1047" s="7" t="str">
        <f>IF(Notes!BY1043="","",Notes!BY1043)</f>
        <v/>
      </c>
      <c r="B1047" s="7" t="str">
        <f>IF(Notes!BZ1043="","",Notes!BZ1043)</f>
        <v/>
      </c>
      <c r="C1047" s="7" t="str">
        <f>IF(Notes!CA1043="","",Notes!CA1043)</f>
        <v/>
      </c>
      <c r="D1047" s="7" t="str">
        <f>IF(Notes!CB1043="","",Notes!CB1043)</f>
        <v/>
      </c>
      <c r="E1047" s="7" t="str">
        <f>IF(Notes!CC1043="","",Notes!CC1043)</f>
        <v/>
      </c>
      <c r="F1047" s="7" t="str">
        <f>IF(Notes!CD1043="","",Notes!CD1043)</f>
        <v/>
      </c>
      <c r="G1047" s="7" t="str">
        <f>IF(Notes!CE1043="","",Notes!CE1043)</f>
        <v/>
      </c>
      <c r="H1047" s="7" t="str">
        <f>IF(Notes!CF1043="","",Notes!CF1043)</f>
        <v/>
      </c>
      <c r="I1047" s="7"/>
      <c r="J1047" s="7"/>
      <c r="K1047" s="7"/>
    </row>
    <row r="1048" spans="1:11" x14ac:dyDescent="0.35">
      <c r="A1048" s="7" t="str">
        <f>IF(Notes!BY1044="","",Notes!BY1044)</f>
        <v/>
      </c>
      <c r="B1048" s="7" t="str">
        <f>IF(Notes!BZ1044="","",Notes!BZ1044)</f>
        <v/>
      </c>
      <c r="C1048" s="7" t="str">
        <f>IF(Notes!CA1044="","",Notes!CA1044)</f>
        <v/>
      </c>
      <c r="D1048" s="7" t="str">
        <f>IF(Notes!CB1044="","",Notes!CB1044)</f>
        <v/>
      </c>
      <c r="E1048" s="7" t="str">
        <f>IF(Notes!CC1044="","",Notes!CC1044)</f>
        <v/>
      </c>
      <c r="F1048" s="7" t="str">
        <f>IF(Notes!CD1044="","",Notes!CD1044)</f>
        <v/>
      </c>
      <c r="G1048" s="7" t="str">
        <f>IF(Notes!CE1044="","",Notes!CE1044)</f>
        <v/>
      </c>
      <c r="H1048" s="7" t="str">
        <f>IF(Notes!CF1044="","",Notes!CF1044)</f>
        <v/>
      </c>
      <c r="I1048" s="7"/>
      <c r="J1048" s="7"/>
      <c r="K1048" s="7"/>
    </row>
    <row r="1049" spans="1:11" x14ac:dyDescent="0.35">
      <c r="A1049" s="7" t="str">
        <f>IF(Notes!BY1045="","",Notes!BY1045)</f>
        <v/>
      </c>
      <c r="B1049" s="7" t="str">
        <f>IF(Notes!BZ1045="","",Notes!BZ1045)</f>
        <v/>
      </c>
      <c r="C1049" s="7" t="str">
        <f>IF(Notes!CA1045="","",Notes!CA1045)</f>
        <v/>
      </c>
      <c r="D1049" s="7" t="str">
        <f>IF(Notes!CB1045="","",Notes!CB1045)</f>
        <v/>
      </c>
      <c r="E1049" s="7" t="str">
        <f>IF(Notes!CC1045="","",Notes!CC1045)</f>
        <v/>
      </c>
      <c r="F1049" s="7" t="str">
        <f>IF(Notes!CD1045="","",Notes!CD1045)</f>
        <v/>
      </c>
      <c r="G1049" s="7" t="str">
        <f>IF(Notes!CE1045="","",Notes!CE1045)</f>
        <v/>
      </c>
      <c r="H1049" s="7" t="str">
        <f>IF(Notes!CF1045="","",Notes!CF1045)</f>
        <v/>
      </c>
      <c r="I1049" s="7"/>
      <c r="J1049" s="7"/>
      <c r="K1049" s="7"/>
    </row>
    <row r="1050" spans="1:11" x14ac:dyDescent="0.35">
      <c r="A1050" s="7" t="str">
        <f>IF(Notes!BY1046="","",Notes!BY1046)</f>
        <v/>
      </c>
      <c r="B1050" s="7" t="str">
        <f>IF(Notes!BZ1046="","",Notes!BZ1046)</f>
        <v/>
      </c>
      <c r="C1050" s="7" t="str">
        <f>IF(Notes!CA1046="","",Notes!CA1046)</f>
        <v/>
      </c>
      <c r="D1050" s="7" t="str">
        <f>IF(Notes!CB1046="","",Notes!CB1046)</f>
        <v/>
      </c>
      <c r="E1050" s="7" t="str">
        <f>IF(Notes!CC1046="","",Notes!CC1046)</f>
        <v/>
      </c>
      <c r="F1050" s="7" t="str">
        <f>IF(Notes!CD1046="","",Notes!CD1046)</f>
        <v/>
      </c>
      <c r="G1050" s="7" t="str">
        <f>IF(Notes!CE1046="","",Notes!CE1046)</f>
        <v/>
      </c>
      <c r="H1050" s="7" t="str">
        <f>IF(Notes!CF1046="","",Notes!CF1046)</f>
        <v/>
      </c>
      <c r="I1050" s="7"/>
      <c r="J1050" s="7"/>
      <c r="K1050" s="7"/>
    </row>
    <row r="1051" spans="1:11" x14ac:dyDescent="0.35">
      <c r="A1051" s="7" t="str">
        <f>IF(Notes!BY1047="","",Notes!BY1047)</f>
        <v/>
      </c>
      <c r="B1051" s="7" t="str">
        <f>IF(Notes!BZ1047="","",Notes!BZ1047)</f>
        <v/>
      </c>
      <c r="C1051" s="7" t="str">
        <f>IF(Notes!CA1047="","",Notes!CA1047)</f>
        <v/>
      </c>
      <c r="D1051" s="7" t="str">
        <f>IF(Notes!CB1047="","",Notes!CB1047)</f>
        <v/>
      </c>
      <c r="E1051" s="7" t="str">
        <f>IF(Notes!CC1047="","",Notes!CC1047)</f>
        <v/>
      </c>
      <c r="F1051" s="7" t="str">
        <f>IF(Notes!CD1047="","",Notes!CD1047)</f>
        <v/>
      </c>
      <c r="G1051" s="7" t="str">
        <f>IF(Notes!CE1047="","",Notes!CE1047)</f>
        <v/>
      </c>
      <c r="H1051" s="7" t="str">
        <f>IF(Notes!CF1047="","",Notes!CF1047)</f>
        <v/>
      </c>
      <c r="I1051" s="7"/>
      <c r="J1051" s="7"/>
      <c r="K1051" s="7"/>
    </row>
    <row r="1052" spans="1:11" x14ac:dyDescent="0.35">
      <c r="A1052" s="7" t="str">
        <f>IF(Notes!BY1048="","",Notes!BY1048)</f>
        <v/>
      </c>
      <c r="B1052" s="7" t="str">
        <f>IF(Notes!BZ1048="","",Notes!BZ1048)</f>
        <v/>
      </c>
      <c r="C1052" s="7" t="str">
        <f>IF(Notes!CA1048="","",Notes!CA1048)</f>
        <v/>
      </c>
      <c r="D1052" s="7" t="str">
        <f>IF(Notes!CB1048="","",Notes!CB1048)</f>
        <v/>
      </c>
      <c r="E1052" s="7" t="str">
        <f>IF(Notes!CC1048="","",Notes!CC1048)</f>
        <v/>
      </c>
      <c r="F1052" s="7" t="str">
        <f>IF(Notes!CD1048="","",Notes!CD1048)</f>
        <v/>
      </c>
      <c r="G1052" s="7" t="str">
        <f>IF(Notes!CE1048="","",Notes!CE1048)</f>
        <v/>
      </c>
      <c r="H1052" s="7" t="str">
        <f>IF(Notes!CF1048="","",Notes!CF1048)</f>
        <v/>
      </c>
      <c r="I1052" s="7"/>
      <c r="J1052" s="7"/>
      <c r="K1052" s="7"/>
    </row>
    <row r="1053" spans="1:11" x14ac:dyDescent="0.35">
      <c r="A1053" s="7" t="str">
        <f>IF(Notes!BY1049="","",Notes!BY1049)</f>
        <v/>
      </c>
      <c r="B1053" s="7" t="str">
        <f>IF(Notes!BZ1049="","",Notes!BZ1049)</f>
        <v/>
      </c>
      <c r="C1053" s="7" t="str">
        <f>IF(Notes!CA1049="","",Notes!CA1049)</f>
        <v/>
      </c>
      <c r="D1053" s="7" t="str">
        <f>IF(Notes!CB1049="","",Notes!CB1049)</f>
        <v/>
      </c>
      <c r="E1053" s="7" t="str">
        <f>IF(Notes!CC1049="","",Notes!CC1049)</f>
        <v/>
      </c>
      <c r="F1053" s="7" t="str">
        <f>IF(Notes!CD1049="","",Notes!CD1049)</f>
        <v/>
      </c>
      <c r="G1053" s="7" t="str">
        <f>IF(Notes!CE1049="","",Notes!CE1049)</f>
        <v/>
      </c>
      <c r="H1053" s="7" t="str">
        <f>IF(Notes!CF1049="","",Notes!CF1049)</f>
        <v/>
      </c>
      <c r="I1053" s="7"/>
      <c r="J1053" s="7"/>
      <c r="K1053" s="7"/>
    </row>
    <row r="1054" spans="1:11" x14ac:dyDescent="0.35">
      <c r="A1054" s="7" t="str">
        <f>IF(Notes!BY1050="","",Notes!BY1050)</f>
        <v/>
      </c>
      <c r="B1054" s="7" t="str">
        <f>IF(Notes!BZ1050="","",Notes!BZ1050)</f>
        <v/>
      </c>
      <c r="C1054" s="7" t="str">
        <f>IF(Notes!CA1050="","",Notes!CA1050)</f>
        <v/>
      </c>
      <c r="D1054" s="7" t="str">
        <f>IF(Notes!CB1050="","",Notes!CB1050)</f>
        <v/>
      </c>
      <c r="E1054" s="7" t="str">
        <f>IF(Notes!CC1050="","",Notes!CC1050)</f>
        <v/>
      </c>
      <c r="F1054" s="7" t="str">
        <f>IF(Notes!CD1050="","",Notes!CD1050)</f>
        <v/>
      </c>
      <c r="G1054" s="7" t="str">
        <f>IF(Notes!CE1050="","",Notes!CE1050)</f>
        <v/>
      </c>
      <c r="H1054" s="7" t="str">
        <f>IF(Notes!CF1050="","",Notes!CF1050)</f>
        <v/>
      </c>
      <c r="I1054" s="7"/>
      <c r="J1054" s="7"/>
      <c r="K1054" s="7"/>
    </row>
    <row r="1055" spans="1:11" x14ac:dyDescent="0.35">
      <c r="A1055" s="7" t="str">
        <f>IF(Notes!BY1051="","",Notes!BY1051)</f>
        <v/>
      </c>
      <c r="B1055" s="7" t="str">
        <f>IF(Notes!BZ1051="","",Notes!BZ1051)</f>
        <v/>
      </c>
      <c r="C1055" s="7" t="str">
        <f>IF(Notes!CA1051="","",Notes!CA1051)</f>
        <v/>
      </c>
      <c r="D1055" s="7" t="str">
        <f>IF(Notes!CB1051="","",Notes!CB1051)</f>
        <v/>
      </c>
      <c r="E1055" s="7" t="str">
        <f>IF(Notes!CC1051="","",Notes!CC1051)</f>
        <v/>
      </c>
      <c r="F1055" s="7" t="str">
        <f>IF(Notes!CD1051="","",Notes!CD1051)</f>
        <v/>
      </c>
      <c r="G1055" s="7" t="str">
        <f>IF(Notes!CE1051="","",Notes!CE1051)</f>
        <v/>
      </c>
      <c r="H1055" s="7" t="str">
        <f>IF(Notes!CF1051="","",Notes!CF1051)</f>
        <v/>
      </c>
      <c r="I1055" s="7"/>
      <c r="J1055" s="7"/>
      <c r="K1055" s="7"/>
    </row>
    <row r="1056" spans="1:11" x14ac:dyDescent="0.35">
      <c r="A1056" s="7" t="str">
        <f>IF(Notes!BY1052="","",Notes!BY1052)</f>
        <v/>
      </c>
      <c r="B1056" s="7" t="str">
        <f>IF(Notes!BZ1052="","",Notes!BZ1052)</f>
        <v/>
      </c>
      <c r="C1056" s="7" t="str">
        <f>IF(Notes!CA1052="","",Notes!CA1052)</f>
        <v/>
      </c>
      <c r="D1056" s="7" t="str">
        <f>IF(Notes!CB1052="","",Notes!CB1052)</f>
        <v/>
      </c>
      <c r="E1056" s="7" t="str">
        <f>IF(Notes!CC1052="","",Notes!CC1052)</f>
        <v/>
      </c>
      <c r="F1056" s="7" t="str">
        <f>IF(Notes!CD1052="","",Notes!CD1052)</f>
        <v/>
      </c>
      <c r="G1056" s="7" t="str">
        <f>IF(Notes!CE1052="","",Notes!CE1052)</f>
        <v/>
      </c>
      <c r="H1056" s="7" t="str">
        <f>IF(Notes!CF1052="","",Notes!CF1052)</f>
        <v/>
      </c>
      <c r="I1056" s="7"/>
      <c r="J1056" s="7"/>
      <c r="K1056" s="7"/>
    </row>
    <row r="1057" spans="1:11" x14ac:dyDescent="0.35">
      <c r="A1057" s="7" t="str">
        <f>IF(Notes!BY1053="","",Notes!BY1053)</f>
        <v/>
      </c>
      <c r="B1057" s="7" t="str">
        <f>IF(Notes!BZ1053="","",Notes!BZ1053)</f>
        <v/>
      </c>
      <c r="C1057" s="7" t="str">
        <f>IF(Notes!CA1053="","",Notes!CA1053)</f>
        <v/>
      </c>
      <c r="D1057" s="7" t="str">
        <f>IF(Notes!CB1053="","",Notes!CB1053)</f>
        <v/>
      </c>
      <c r="E1057" s="7" t="str">
        <f>IF(Notes!CC1053="","",Notes!CC1053)</f>
        <v/>
      </c>
      <c r="F1057" s="7" t="str">
        <f>IF(Notes!CD1053="","",Notes!CD1053)</f>
        <v/>
      </c>
      <c r="G1057" s="7" t="str">
        <f>IF(Notes!CE1053="","",Notes!CE1053)</f>
        <v/>
      </c>
      <c r="H1057" s="7" t="str">
        <f>IF(Notes!CF1053="","",Notes!CF1053)</f>
        <v/>
      </c>
      <c r="I1057" s="7"/>
      <c r="J1057" s="7"/>
      <c r="K1057" s="7"/>
    </row>
    <row r="1058" spans="1:11" x14ac:dyDescent="0.35">
      <c r="A1058" s="7" t="str">
        <f>IF(Notes!BY1054="","",Notes!BY1054)</f>
        <v/>
      </c>
      <c r="B1058" s="7" t="str">
        <f>IF(Notes!BZ1054="","",Notes!BZ1054)</f>
        <v/>
      </c>
      <c r="C1058" s="7" t="str">
        <f>IF(Notes!CA1054="","",Notes!CA1054)</f>
        <v/>
      </c>
      <c r="D1058" s="7" t="str">
        <f>IF(Notes!CB1054="","",Notes!CB1054)</f>
        <v/>
      </c>
      <c r="E1058" s="7" t="str">
        <f>IF(Notes!CC1054="","",Notes!CC1054)</f>
        <v/>
      </c>
      <c r="F1058" s="7" t="str">
        <f>IF(Notes!CD1054="","",Notes!CD1054)</f>
        <v/>
      </c>
      <c r="G1058" s="7" t="str">
        <f>IF(Notes!CE1054="","",Notes!CE1054)</f>
        <v/>
      </c>
      <c r="H1058" s="7" t="str">
        <f>IF(Notes!CF1054="","",Notes!CF1054)</f>
        <v/>
      </c>
      <c r="I1058" s="7"/>
      <c r="J1058" s="7"/>
      <c r="K1058" s="7"/>
    </row>
    <row r="1059" spans="1:11" x14ac:dyDescent="0.35">
      <c r="A1059" s="7" t="str">
        <f>IF(Notes!BY1055="","",Notes!BY1055)</f>
        <v/>
      </c>
      <c r="B1059" s="7" t="str">
        <f>IF(Notes!BZ1055="","",Notes!BZ1055)</f>
        <v/>
      </c>
      <c r="C1059" s="7" t="str">
        <f>IF(Notes!CA1055="","",Notes!CA1055)</f>
        <v/>
      </c>
      <c r="D1059" s="7" t="str">
        <f>IF(Notes!CB1055="","",Notes!CB1055)</f>
        <v/>
      </c>
      <c r="E1059" s="7" t="str">
        <f>IF(Notes!CC1055="","",Notes!CC1055)</f>
        <v/>
      </c>
      <c r="F1059" s="7" t="str">
        <f>IF(Notes!CD1055="","",Notes!CD1055)</f>
        <v/>
      </c>
      <c r="G1059" s="7" t="str">
        <f>IF(Notes!CE1055="","",Notes!CE1055)</f>
        <v/>
      </c>
      <c r="H1059" s="7" t="str">
        <f>IF(Notes!CF1055="","",Notes!CF1055)</f>
        <v/>
      </c>
      <c r="I1059" s="7"/>
      <c r="J1059" s="7"/>
      <c r="K1059" s="7"/>
    </row>
    <row r="1060" spans="1:11" x14ac:dyDescent="0.35">
      <c r="A1060" s="7" t="str">
        <f>IF(Notes!BY1056="","",Notes!BY1056)</f>
        <v/>
      </c>
      <c r="B1060" s="7" t="str">
        <f>IF(Notes!BZ1056="","",Notes!BZ1056)</f>
        <v/>
      </c>
      <c r="C1060" s="7" t="str">
        <f>IF(Notes!CA1056="","",Notes!CA1056)</f>
        <v/>
      </c>
      <c r="D1060" s="7" t="str">
        <f>IF(Notes!CB1056="","",Notes!CB1056)</f>
        <v/>
      </c>
      <c r="E1060" s="7" t="str">
        <f>IF(Notes!CC1056="","",Notes!CC1056)</f>
        <v/>
      </c>
      <c r="F1060" s="7" t="str">
        <f>IF(Notes!CD1056="","",Notes!CD1056)</f>
        <v/>
      </c>
      <c r="G1060" s="7" t="str">
        <f>IF(Notes!CE1056="","",Notes!CE1056)</f>
        <v/>
      </c>
      <c r="H1060" s="7" t="str">
        <f>IF(Notes!CF1056="","",Notes!CF1056)</f>
        <v/>
      </c>
      <c r="I1060" s="7"/>
      <c r="J1060" s="7"/>
      <c r="K1060" s="7"/>
    </row>
    <row r="1061" spans="1:11" x14ac:dyDescent="0.35">
      <c r="A1061" s="7" t="str">
        <f>IF(Notes!BY1057="","",Notes!BY1057)</f>
        <v/>
      </c>
      <c r="B1061" s="7" t="str">
        <f>IF(Notes!BZ1057="","",Notes!BZ1057)</f>
        <v/>
      </c>
      <c r="C1061" s="7" t="str">
        <f>IF(Notes!CA1057="","",Notes!CA1057)</f>
        <v/>
      </c>
      <c r="D1061" s="7" t="str">
        <f>IF(Notes!CB1057="","",Notes!CB1057)</f>
        <v/>
      </c>
      <c r="E1061" s="7" t="str">
        <f>IF(Notes!CC1057="","",Notes!CC1057)</f>
        <v/>
      </c>
      <c r="F1061" s="7" t="str">
        <f>IF(Notes!CD1057="","",Notes!CD1057)</f>
        <v/>
      </c>
      <c r="G1061" s="7" t="str">
        <f>IF(Notes!CE1057="","",Notes!CE1057)</f>
        <v/>
      </c>
      <c r="H1061" s="7" t="str">
        <f>IF(Notes!CF1057="","",Notes!CF1057)</f>
        <v/>
      </c>
      <c r="I1061" s="7"/>
      <c r="J1061" s="7"/>
      <c r="K1061" s="7"/>
    </row>
    <row r="1062" spans="1:11" x14ac:dyDescent="0.35">
      <c r="A1062" s="7" t="str">
        <f>IF(Notes!BY1058="","",Notes!BY1058)</f>
        <v/>
      </c>
      <c r="B1062" s="7" t="str">
        <f>IF(Notes!BZ1058="","",Notes!BZ1058)</f>
        <v/>
      </c>
      <c r="C1062" s="7" t="str">
        <f>IF(Notes!CA1058="","",Notes!CA1058)</f>
        <v/>
      </c>
      <c r="D1062" s="7" t="str">
        <f>IF(Notes!CB1058="","",Notes!CB1058)</f>
        <v/>
      </c>
      <c r="E1062" s="7" t="str">
        <f>IF(Notes!CC1058="","",Notes!CC1058)</f>
        <v/>
      </c>
      <c r="F1062" s="7" t="str">
        <f>IF(Notes!CD1058="","",Notes!CD1058)</f>
        <v/>
      </c>
      <c r="G1062" s="7" t="str">
        <f>IF(Notes!CE1058="","",Notes!CE1058)</f>
        <v/>
      </c>
      <c r="H1062" s="7" t="str">
        <f>IF(Notes!CF1058="","",Notes!CF1058)</f>
        <v/>
      </c>
      <c r="I1062" s="7"/>
      <c r="J1062" s="7"/>
      <c r="K1062" s="7"/>
    </row>
    <row r="1063" spans="1:11" x14ac:dyDescent="0.35">
      <c r="A1063" s="7" t="str">
        <f>IF(Notes!BY1059="","",Notes!BY1059)</f>
        <v/>
      </c>
      <c r="B1063" s="7" t="str">
        <f>IF(Notes!BZ1059="","",Notes!BZ1059)</f>
        <v/>
      </c>
      <c r="C1063" s="7" t="str">
        <f>IF(Notes!CA1059="","",Notes!CA1059)</f>
        <v/>
      </c>
      <c r="D1063" s="7" t="str">
        <f>IF(Notes!CB1059="","",Notes!CB1059)</f>
        <v/>
      </c>
      <c r="E1063" s="7" t="str">
        <f>IF(Notes!CC1059="","",Notes!CC1059)</f>
        <v/>
      </c>
      <c r="F1063" s="7" t="str">
        <f>IF(Notes!CD1059="","",Notes!CD1059)</f>
        <v/>
      </c>
      <c r="G1063" s="7" t="str">
        <f>IF(Notes!CE1059="","",Notes!CE1059)</f>
        <v/>
      </c>
      <c r="H1063" s="7" t="str">
        <f>IF(Notes!CF1059="","",Notes!CF1059)</f>
        <v/>
      </c>
      <c r="I1063" s="7"/>
      <c r="J1063" s="7"/>
      <c r="K1063" s="7"/>
    </row>
    <row r="1064" spans="1:11" x14ac:dyDescent="0.35">
      <c r="A1064" s="7" t="str">
        <f>IF(Notes!BY1060="","",Notes!BY1060)</f>
        <v/>
      </c>
      <c r="B1064" s="7" t="str">
        <f>IF(Notes!BZ1060="","",Notes!BZ1060)</f>
        <v/>
      </c>
      <c r="C1064" s="7" t="str">
        <f>IF(Notes!CA1060="","",Notes!CA1060)</f>
        <v/>
      </c>
      <c r="D1064" s="7" t="str">
        <f>IF(Notes!CB1060="","",Notes!CB1060)</f>
        <v/>
      </c>
      <c r="E1064" s="7" t="str">
        <f>IF(Notes!CC1060="","",Notes!CC1060)</f>
        <v/>
      </c>
      <c r="F1064" s="7" t="str">
        <f>IF(Notes!CD1060="","",Notes!CD1060)</f>
        <v/>
      </c>
      <c r="G1064" s="7" t="str">
        <f>IF(Notes!CE1060="","",Notes!CE1060)</f>
        <v/>
      </c>
      <c r="H1064" s="7" t="str">
        <f>IF(Notes!CF1060="","",Notes!CF1060)</f>
        <v/>
      </c>
      <c r="I1064" s="7"/>
      <c r="J1064" s="7"/>
      <c r="K1064" s="7"/>
    </row>
    <row r="1065" spans="1:11" x14ac:dyDescent="0.35">
      <c r="A1065" s="7" t="str">
        <f>IF(Notes!BY1061="","",Notes!BY1061)</f>
        <v/>
      </c>
      <c r="B1065" s="7" t="str">
        <f>IF(Notes!BZ1061="","",Notes!BZ1061)</f>
        <v/>
      </c>
      <c r="C1065" s="7" t="str">
        <f>IF(Notes!CA1061="","",Notes!CA1061)</f>
        <v/>
      </c>
      <c r="D1065" s="7" t="str">
        <f>IF(Notes!CB1061="","",Notes!CB1061)</f>
        <v/>
      </c>
      <c r="E1065" s="7" t="str">
        <f>IF(Notes!CC1061="","",Notes!CC1061)</f>
        <v/>
      </c>
      <c r="F1065" s="7" t="str">
        <f>IF(Notes!CD1061="","",Notes!CD1061)</f>
        <v/>
      </c>
      <c r="G1065" s="7" t="str">
        <f>IF(Notes!CE1061="","",Notes!CE1061)</f>
        <v/>
      </c>
      <c r="H1065" s="7" t="str">
        <f>IF(Notes!CF1061="","",Notes!CF1061)</f>
        <v/>
      </c>
      <c r="I1065" s="7"/>
      <c r="J1065" s="7"/>
      <c r="K1065" s="7"/>
    </row>
    <row r="1066" spans="1:11" x14ac:dyDescent="0.35">
      <c r="A1066" s="7" t="str">
        <f>IF(Notes!BY1062="","",Notes!BY1062)</f>
        <v/>
      </c>
      <c r="B1066" s="7" t="str">
        <f>IF(Notes!BZ1062="","",Notes!BZ1062)</f>
        <v/>
      </c>
      <c r="C1066" s="7" t="str">
        <f>IF(Notes!CA1062="","",Notes!CA1062)</f>
        <v/>
      </c>
      <c r="D1066" s="7" t="str">
        <f>IF(Notes!CB1062="","",Notes!CB1062)</f>
        <v/>
      </c>
      <c r="E1066" s="7" t="str">
        <f>IF(Notes!CC1062="","",Notes!CC1062)</f>
        <v/>
      </c>
      <c r="F1066" s="7" t="str">
        <f>IF(Notes!CD1062="","",Notes!CD1062)</f>
        <v/>
      </c>
      <c r="G1066" s="7" t="str">
        <f>IF(Notes!CE1062="","",Notes!CE1062)</f>
        <v/>
      </c>
      <c r="H1066" s="7" t="str">
        <f>IF(Notes!CF1062="","",Notes!CF1062)</f>
        <v/>
      </c>
      <c r="I1066" s="7"/>
      <c r="J1066" s="7"/>
      <c r="K1066" s="7"/>
    </row>
    <row r="1067" spans="1:11" x14ac:dyDescent="0.35">
      <c r="A1067" s="7" t="str">
        <f>IF(Notes!BY1063="","",Notes!BY1063)</f>
        <v/>
      </c>
      <c r="B1067" s="7" t="str">
        <f>IF(Notes!BZ1063="","",Notes!BZ1063)</f>
        <v/>
      </c>
      <c r="C1067" s="7" t="str">
        <f>IF(Notes!CA1063="","",Notes!CA1063)</f>
        <v/>
      </c>
      <c r="D1067" s="7" t="str">
        <f>IF(Notes!CB1063="","",Notes!CB1063)</f>
        <v/>
      </c>
      <c r="E1067" s="7" t="str">
        <f>IF(Notes!CC1063="","",Notes!CC1063)</f>
        <v/>
      </c>
      <c r="F1067" s="7" t="str">
        <f>IF(Notes!CD1063="","",Notes!CD1063)</f>
        <v/>
      </c>
      <c r="G1067" s="7" t="str">
        <f>IF(Notes!CE1063="","",Notes!CE1063)</f>
        <v/>
      </c>
      <c r="H1067" s="7" t="str">
        <f>IF(Notes!CF1063="","",Notes!CF1063)</f>
        <v/>
      </c>
      <c r="I1067" s="7"/>
      <c r="J1067" s="7"/>
      <c r="K1067" s="7"/>
    </row>
    <row r="1068" spans="1:11" x14ac:dyDescent="0.35">
      <c r="A1068" s="7" t="str">
        <f>IF(Notes!BY1064="","",Notes!BY1064)</f>
        <v/>
      </c>
      <c r="B1068" s="7" t="str">
        <f>IF(Notes!BZ1064="","",Notes!BZ1064)</f>
        <v/>
      </c>
      <c r="C1068" s="7" t="str">
        <f>IF(Notes!CA1064="","",Notes!CA1064)</f>
        <v/>
      </c>
      <c r="D1068" s="7" t="str">
        <f>IF(Notes!CB1064="","",Notes!CB1064)</f>
        <v/>
      </c>
      <c r="E1068" s="7" t="str">
        <f>IF(Notes!CC1064="","",Notes!CC1064)</f>
        <v/>
      </c>
      <c r="F1068" s="7" t="str">
        <f>IF(Notes!CD1064="","",Notes!CD1064)</f>
        <v/>
      </c>
      <c r="G1068" s="7" t="str">
        <f>IF(Notes!CE1064="","",Notes!CE1064)</f>
        <v/>
      </c>
      <c r="H1068" s="7" t="str">
        <f>IF(Notes!CF1064="","",Notes!CF1064)</f>
        <v/>
      </c>
      <c r="I1068" s="7"/>
      <c r="J1068" s="7"/>
      <c r="K1068" s="7"/>
    </row>
    <row r="1069" spans="1:11" x14ac:dyDescent="0.35">
      <c r="A1069" s="7" t="str">
        <f>IF(Notes!BY1065="","",Notes!BY1065)</f>
        <v/>
      </c>
      <c r="B1069" s="7" t="str">
        <f>IF(Notes!BZ1065="","",Notes!BZ1065)</f>
        <v/>
      </c>
      <c r="C1069" s="7" t="str">
        <f>IF(Notes!CA1065="","",Notes!CA1065)</f>
        <v/>
      </c>
      <c r="D1069" s="7" t="str">
        <f>IF(Notes!CB1065="","",Notes!CB1065)</f>
        <v/>
      </c>
      <c r="E1069" s="7" t="str">
        <f>IF(Notes!CC1065="","",Notes!CC1065)</f>
        <v/>
      </c>
      <c r="F1069" s="7" t="str">
        <f>IF(Notes!CD1065="","",Notes!CD1065)</f>
        <v/>
      </c>
      <c r="G1069" s="7" t="str">
        <f>IF(Notes!CE1065="","",Notes!CE1065)</f>
        <v/>
      </c>
      <c r="H1069" s="7" t="str">
        <f>IF(Notes!CF1065="","",Notes!CF1065)</f>
        <v/>
      </c>
      <c r="I1069" s="7"/>
      <c r="J1069" s="7"/>
      <c r="K1069" s="7"/>
    </row>
    <row r="1070" spans="1:11" x14ac:dyDescent="0.35">
      <c r="A1070" s="7" t="str">
        <f>IF(Notes!BY1066="","",Notes!BY1066)</f>
        <v/>
      </c>
      <c r="B1070" s="7" t="str">
        <f>IF(Notes!BZ1066="","",Notes!BZ1066)</f>
        <v/>
      </c>
      <c r="C1070" s="7" t="str">
        <f>IF(Notes!CA1066="","",Notes!CA1066)</f>
        <v/>
      </c>
      <c r="D1070" s="7" t="str">
        <f>IF(Notes!CB1066="","",Notes!CB1066)</f>
        <v/>
      </c>
      <c r="E1070" s="7" t="str">
        <f>IF(Notes!CC1066="","",Notes!CC1066)</f>
        <v/>
      </c>
      <c r="F1070" s="7" t="str">
        <f>IF(Notes!CD1066="","",Notes!CD1066)</f>
        <v/>
      </c>
      <c r="G1070" s="7" t="str">
        <f>IF(Notes!CE1066="","",Notes!CE1066)</f>
        <v/>
      </c>
      <c r="H1070" s="7" t="str">
        <f>IF(Notes!CF1066="","",Notes!CF1066)</f>
        <v/>
      </c>
      <c r="I1070" s="7"/>
      <c r="J1070" s="7"/>
      <c r="K1070" s="7"/>
    </row>
    <row r="1071" spans="1:11" x14ac:dyDescent="0.35">
      <c r="A1071" s="7" t="str">
        <f>IF(Notes!BY1067="","",Notes!BY1067)</f>
        <v/>
      </c>
      <c r="B1071" s="7" t="str">
        <f>IF(Notes!BZ1067="","",Notes!BZ1067)</f>
        <v/>
      </c>
      <c r="C1071" s="7" t="str">
        <f>IF(Notes!CA1067="","",Notes!CA1067)</f>
        <v/>
      </c>
      <c r="D1071" s="7" t="str">
        <f>IF(Notes!CB1067="","",Notes!CB1067)</f>
        <v/>
      </c>
      <c r="E1071" s="7" t="str">
        <f>IF(Notes!CC1067="","",Notes!CC1067)</f>
        <v/>
      </c>
      <c r="F1071" s="7" t="str">
        <f>IF(Notes!CD1067="","",Notes!CD1067)</f>
        <v/>
      </c>
      <c r="G1071" s="7" t="str">
        <f>IF(Notes!CE1067="","",Notes!CE1067)</f>
        <v/>
      </c>
      <c r="H1071" s="7" t="str">
        <f>IF(Notes!CF1067="","",Notes!CF1067)</f>
        <v/>
      </c>
      <c r="I1071" s="7"/>
      <c r="J1071" s="7"/>
      <c r="K1071" s="7"/>
    </row>
    <row r="1072" spans="1:11" x14ac:dyDescent="0.35">
      <c r="A1072" s="7" t="str">
        <f>IF(Notes!BY1068="","",Notes!BY1068)</f>
        <v/>
      </c>
      <c r="B1072" s="7" t="str">
        <f>IF(Notes!BZ1068="","",Notes!BZ1068)</f>
        <v/>
      </c>
      <c r="C1072" s="7" t="str">
        <f>IF(Notes!CA1068="","",Notes!CA1068)</f>
        <v/>
      </c>
      <c r="D1072" s="7" t="str">
        <f>IF(Notes!CB1068="","",Notes!CB1068)</f>
        <v/>
      </c>
      <c r="E1072" s="7" t="str">
        <f>IF(Notes!CC1068="","",Notes!CC1068)</f>
        <v/>
      </c>
      <c r="F1072" s="7" t="str">
        <f>IF(Notes!CD1068="","",Notes!CD1068)</f>
        <v/>
      </c>
      <c r="G1072" s="7" t="str">
        <f>IF(Notes!CE1068="","",Notes!CE1068)</f>
        <v/>
      </c>
      <c r="H1072" s="7" t="str">
        <f>IF(Notes!CF1068="","",Notes!CF1068)</f>
        <v/>
      </c>
      <c r="I1072" s="7"/>
      <c r="J1072" s="7"/>
      <c r="K1072" s="7"/>
    </row>
    <row r="1073" spans="1:11" x14ac:dyDescent="0.35">
      <c r="A1073" s="7" t="str">
        <f>IF(Notes!BY1069="","",Notes!BY1069)</f>
        <v/>
      </c>
      <c r="B1073" s="7" t="str">
        <f>IF(Notes!BZ1069="","",Notes!BZ1069)</f>
        <v/>
      </c>
      <c r="C1073" s="7" t="str">
        <f>IF(Notes!CA1069="","",Notes!CA1069)</f>
        <v/>
      </c>
      <c r="D1073" s="7" t="str">
        <f>IF(Notes!CB1069="","",Notes!CB1069)</f>
        <v/>
      </c>
      <c r="E1073" s="7" t="str">
        <f>IF(Notes!CC1069="","",Notes!CC1069)</f>
        <v/>
      </c>
      <c r="F1073" s="7" t="str">
        <f>IF(Notes!CD1069="","",Notes!CD1069)</f>
        <v/>
      </c>
      <c r="G1073" s="7" t="str">
        <f>IF(Notes!CE1069="","",Notes!CE1069)</f>
        <v/>
      </c>
      <c r="H1073" s="7" t="str">
        <f>IF(Notes!CF1069="","",Notes!CF1069)</f>
        <v/>
      </c>
      <c r="I1073" s="7"/>
      <c r="J1073" s="7"/>
      <c r="K1073" s="7"/>
    </row>
    <row r="1074" spans="1:11" x14ac:dyDescent="0.35">
      <c r="A1074" s="7" t="str">
        <f>IF(Notes!BY1070="","",Notes!BY1070)</f>
        <v/>
      </c>
      <c r="B1074" s="7" t="str">
        <f>IF(Notes!BZ1070="","",Notes!BZ1070)</f>
        <v/>
      </c>
      <c r="C1074" s="7" t="str">
        <f>IF(Notes!CA1070="","",Notes!CA1070)</f>
        <v/>
      </c>
      <c r="D1074" s="7" t="str">
        <f>IF(Notes!CB1070="","",Notes!CB1070)</f>
        <v/>
      </c>
      <c r="E1074" s="7" t="str">
        <f>IF(Notes!CC1070="","",Notes!CC1070)</f>
        <v/>
      </c>
      <c r="F1074" s="7" t="str">
        <f>IF(Notes!CD1070="","",Notes!CD1070)</f>
        <v/>
      </c>
      <c r="G1074" s="7" t="str">
        <f>IF(Notes!CE1070="","",Notes!CE1070)</f>
        <v/>
      </c>
      <c r="H1074" s="7" t="str">
        <f>IF(Notes!CF1070="","",Notes!CF1070)</f>
        <v/>
      </c>
      <c r="I1074" s="7"/>
      <c r="J1074" s="7"/>
      <c r="K1074" s="7"/>
    </row>
    <row r="1075" spans="1:11" x14ac:dyDescent="0.35">
      <c r="A1075" s="7" t="str">
        <f>IF(Notes!BY1071="","",Notes!BY1071)</f>
        <v/>
      </c>
      <c r="B1075" s="7" t="str">
        <f>IF(Notes!BZ1071="","",Notes!BZ1071)</f>
        <v/>
      </c>
      <c r="C1075" s="7" t="str">
        <f>IF(Notes!CA1071="","",Notes!CA1071)</f>
        <v/>
      </c>
      <c r="D1075" s="7" t="str">
        <f>IF(Notes!CB1071="","",Notes!CB1071)</f>
        <v/>
      </c>
      <c r="E1075" s="7" t="str">
        <f>IF(Notes!CC1071="","",Notes!CC1071)</f>
        <v/>
      </c>
      <c r="F1075" s="7" t="str">
        <f>IF(Notes!CD1071="","",Notes!CD1071)</f>
        <v/>
      </c>
      <c r="G1075" s="7" t="str">
        <f>IF(Notes!CE1071="","",Notes!CE1071)</f>
        <v/>
      </c>
      <c r="H1075" s="7" t="str">
        <f>IF(Notes!CF1071="","",Notes!CF1071)</f>
        <v/>
      </c>
      <c r="I1075" s="7"/>
      <c r="J1075" s="7"/>
      <c r="K1075" s="7"/>
    </row>
    <row r="1076" spans="1:11" x14ac:dyDescent="0.35">
      <c r="A1076" s="7" t="str">
        <f>IF(Notes!BY1072="","",Notes!BY1072)</f>
        <v/>
      </c>
      <c r="B1076" s="7" t="str">
        <f>IF(Notes!BZ1072="","",Notes!BZ1072)</f>
        <v/>
      </c>
      <c r="C1076" s="7" t="str">
        <f>IF(Notes!CA1072="","",Notes!CA1072)</f>
        <v/>
      </c>
      <c r="D1076" s="7" t="str">
        <f>IF(Notes!CB1072="","",Notes!CB1072)</f>
        <v/>
      </c>
      <c r="E1076" s="7" t="str">
        <f>IF(Notes!CC1072="","",Notes!CC1072)</f>
        <v/>
      </c>
      <c r="F1076" s="7" t="str">
        <f>IF(Notes!CD1072="","",Notes!CD1072)</f>
        <v/>
      </c>
      <c r="G1076" s="7" t="str">
        <f>IF(Notes!CE1072="","",Notes!CE1072)</f>
        <v/>
      </c>
      <c r="H1076" s="7" t="str">
        <f>IF(Notes!CF1072="","",Notes!CF1072)</f>
        <v/>
      </c>
      <c r="I1076" s="7"/>
      <c r="J1076" s="7"/>
      <c r="K1076" s="7"/>
    </row>
    <row r="1077" spans="1:11" x14ac:dyDescent="0.35">
      <c r="A1077" s="7" t="str">
        <f>IF(Notes!BY1073="","",Notes!BY1073)</f>
        <v/>
      </c>
      <c r="B1077" s="7" t="str">
        <f>IF(Notes!BZ1073="","",Notes!BZ1073)</f>
        <v/>
      </c>
      <c r="C1077" s="7" t="str">
        <f>IF(Notes!CA1073="","",Notes!CA1073)</f>
        <v/>
      </c>
      <c r="D1077" s="7" t="str">
        <f>IF(Notes!CB1073="","",Notes!CB1073)</f>
        <v/>
      </c>
      <c r="E1077" s="7" t="str">
        <f>IF(Notes!CC1073="","",Notes!CC1073)</f>
        <v/>
      </c>
      <c r="F1077" s="7" t="str">
        <f>IF(Notes!CD1073="","",Notes!CD1073)</f>
        <v/>
      </c>
      <c r="G1077" s="7" t="str">
        <f>IF(Notes!CE1073="","",Notes!CE1073)</f>
        <v/>
      </c>
      <c r="H1077" s="7" t="str">
        <f>IF(Notes!CF1073="","",Notes!CF1073)</f>
        <v/>
      </c>
      <c r="I1077" s="7"/>
      <c r="J1077" s="7"/>
      <c r="K1077" s="7"/>
    </row>
    <row r="1078" spans="1:11" x14ac:dyDescent="0.35">
      <c r="A1078" s="7" t="str">
        <f>IF(Notes!BY1074="","",Notes!BY1074)</f>
        <v/>
      </c>
      <c r="B1078" s="7" t="str">
        <f>IF(Notes!BZ1074="","",Notes!BZ1074)</f>
        <v/>
      </c>
      <c r="C1078" s="7" t="str">
        <f>IF(Notes!CA1074="","",Notes!CA1074)</f>
        <v/>
      </c>
      <c r="D1078" s="7" t="str">
        <f>IF(Notes!CB1074="","",Notes!CB1074)</f>
        <v/>
      </c>
      <c r="E1078" s="7" t="str">
        <f>IF(Notes!CC1074="","",Notes!CC1074)</f>
        <v/>
      </c>
      <c r="F1078" s="7" t="str">
        <f>IF(Notes!CD1074="","",Notes!CD1074)</f>
        <v/>
      </c>
      <c r="G1078" s="7" t="str">
        <f>IF(Notes!CE1074="","",Notes!CE1074)</f>
        <v/>
      </c>
      <c r="H1078" s="7" t="str">
        <f>IF(Notes!CF1074="","",Notes!CF1074)</f>
        <v/>
      </c>
      <c r="I1078" s="7"/>
      <c r="J1078" s="7"/>
      <c r="K1078" s="7"/>
    </row>
    <row r="1079" spans="1:11" x14ac:dyDescent="0.35">
      <c r="A1079" s="7" t="str">
        <f>IF(Notes!BY1075="","",Notes!BY1075)</f>
        <v/>
      </c>
      <c r="B1079" s="7" t="str">
        <f>IF(Notes!BZ1075="","",Notes!BZ1075)</f>
        <v/>
      </c>
      <c r="C1079" s="7" t="str">
        <f>IF(Notes!CA1075="","",Notes!CA1075)</f>
        <v/>
      </c>
      <c r="D1079" s="7" t="str">
        <f>IF(Notes!CB1075="","",Notes!CB1075)</f>
        <v/>
      </c>
      <c r="E1079" s="7" t="str">
        <f>IF(Notes!CC1075="","",Notes!CC1075)</f>
        <v/>
      </c>
      <c r="F1079" s="7" t="str">
        <f>IF(Notes!CD1075="","",Notes!CD1075)</f>
        <v/>
      </c>
      <c r="G1079" s="7" t="str">
        <f>IF(Notes!CE1075="","",Notes!CE1075)</f>
        <v/>
      </c>
      <c r="H1079" s="7" t="str">
        <f>IF(Notes!CF1075="","",Notes!CF1075)</f>
        <v/>
      </c>
      <c r="I1079" s="7"/>
      <c r="J1079" s="7"/>
      <c r="K1079" s="7"/>
    </row>
    <row r="1080" spans="1:11" x14ac:dyDescent="0.35">
      <c r="A1080" s="7" t="str">
        <f>IF(Notes!BY1076="","",Notes!BY1076)</f>
        <v/>
      </c>
      <c r="B1080" s="7" t="str">
        <f>IF(Notes!BZ1076="","",Notes!BZ1076)</f>
        <v/>
      </c>
      <c r="C1080" s="7" t="str">
        <f>IF(Notes!CA1076="","",Notes!CA1076)</f>
        <v/>
      </c>
      <c r="D1080" s="7" t="str">
        <f>IF(Notes!CB1076="","",Notes!CB1076)</f>
        <v/>
      </c>
      <c r="E1080" s="7" t="str">
        <f>IF(Notes!CC1076="","",Notes!CC1076)</f>
        <v/>
      </c>
      <c r="F1080" s="7" t="str">
        <f>IF(Notes!CD1076="","",Notes!CD1076)</f>
        <v/>
      </c>
      <c r="G1080" s="7" t="str">
        <f>IF(Notes!CE1076="","",Notes!CE1076)</f>
        <v/>
      </c>
      <c r="H1080" s="7" t="str">
        <f>IF(Notes!CF1076="","",Notes!CF1076)</f>
        <v/>
      </c>
      <c r="I1080" s="7"/>
      <c r="J1080" s="7"/>
      <c r="K1080" s="7"/>
    </row>
    <row r="1081" spans="1:11" x14ac:dyDescent="0.35">
      <c r="A1081" s="7" t="str">
        <f>IF(Notes!BY1077="","",Notes!BY1077)</f>
        <v/>
      </c>
      <c r="B1081" s="7" t="str">
        <f>IF(Notes!BZ1077="","",Notes!BZ1077)</f>
        <v/>
      </c>
      <c r="C1081" s="7" t="str">
        <f>IF(Notes!CA1077="","",Notes!CA1077)</f>
        <v/>
      </c>
      <c r="D1081" s="7" t="str">
        <f>IF(Notes!CB1077="","",Notes!CB1077)</f>
        <v/>
      </c>
      <c r="E1081" s="7" t="str">
        <f>IF(Notes!CC1077="","",Notes!CC1077)</f>
        <v/>
      </c>
      <c r="F1081" s="7" t="str">
        <f>IF(Notes!CD1077="","",Notes!CD1077)</f>
        <v/>
      </c>
      <c r="G1081" s="7" t="str">
        <f>IF(Notes!CE1077="","",Notes!CE1077)</f>
        <v/>
      </c>
      <c r="H1081" s="7" t="str">
        <f>IF(Notes!CF1077="","",Notes!CF1077)</f>
        <v/>
      </c>
      <c r="I1081" s="7"/>
      <c r="J1081" s="7"/>
      <c r="K1081" s="7"/>
    </row>
    <row r="1082" spans="1:11" x14ac:dyDescent="0.35">
      <c r="A1082" s="7" t="str">
        <f>IF(Notes!BY1078="","",Notes!BY1078)</f>
        <v/>
      </c>
      <c r="B1082" s="7" t="str">
        <f>IF(Notes!BZ1078="","",Notes!BZ1078)</f>
        <v/>
      </c>
      <c r="C1082" s="7" t="str">
        <f>IF(Notes!CA1078="","",Notes!CA1078)</f>
        <v/>
      </c>
      <c r="D1082" s="7" t="str">
        <f>IF(Notes!CB1078="","",Notes!CB1078)</f>
        <v/>
      </c>
      <c r="E1082" s="7" t="str">
        <f>IF(Notes!CC1078="","",Notes!CC1078)</f>
        <v/>
      </c>
      <c r="F1082" s="7" t="str">
        <f>IF(Notes!CD1078="","",Notes!CD1078)</f>
        <v/>
      </c>
      <c r="G1082" s="7" t="str">
        <f>IF(Notes!CE1078="","",Notes!CE1078)</f>
        <v/>
      </c>
      <c r="H1082" s="7" t="str">
        <f>IF(Notes!CF1078="","",Notes!CF1078)</f>
        <v/>
      </c>
      <c r="I1082" s="7"/>
      <c r="J1082" s="7"/>
      <c r="K1082" s="7"/>
    </row>
    <row r="1083" spans="1:11" x14ac:dyDescent="0.35">
      <c r="A1083" s="7" t="str">
        <f>IF(Notes!BY1079="","",Notes!BY1079)</f>
        <v/>
      </c>
      <c r="B1083" s="7" t="str">
        <f>IF(Notes!BZ1079="","",Notes!BZ1079)</f>
        <v/>
      </c>
      <c r="C1083" s="7" t="str">
        <f>IF(Notes!CA1079="","",Notes!CA1079)</f>
        <v/>
      </c>
      <c r="D1083" s="7" t="str">
        <f>IF(Notes!CB1079="","",Notes!CB1079)</f>
        <v/>
      </c>
      <c r="E1083" s="7" t="str">
        <f>IF(Notes!CC1079="","",Notes!CC1079)</f>
        <v/>
      </c>
      <c r="F1083" s="7" t="str">
        <f>IF(Notes!CD1079="","",Notes!CD1079)</f>
        <v/>
      </c>
      <c r="G1083" s="7" t="str">
        <f>IF(Notes!CE1079="","",Notes!CE1079)</f>
        <v/>
      </c>
      <c r="H1083" s="7" t="str">
        <f>IF(Notes!CF1079="","",Notes!CF1079)</f>
        <v/>
      </c>
      <c r="I1083" s="7"/>
      <c r="J1083" s="7"/>
      <c r="K1083" s="7"/>
    </row>
    <row r="1084" spans="1:11" x14ac:dyDescent="0.35">
      <c r="A1084" s="7" t="str">
        <f>IF(Notes!BY1080="","",Notes!BY1080)</f>
        <v/>
      </c>
      <c r="B1084" s="7" t="str">
        <f>IF(Notes!BZ1080="","",Notes!BZ1080)</f>
        <v/>
      </c>
      <c r="C1084" s="7" t="str">
        <f>IF(Notes!CA1080="","",Notes!CA1080)</f>
        <v/>
      </c>
      <c r="D1084" s="7" t="str">
        <f>IF(Notes!CB1080="","",Notes!CB1080)</f>
        <v/>
      </c>
      <c r="E1084" s="7" t="str">
        <f>IF(Notes!CC1080="","",Notes!CC1080)</f>
        <v/>
      </c>
      <c r="F1084" s="7" t="str">
        <f>IF(Notes!CD1080="","",Notes!CD1080)</f>
        <v/>
      </c>
      <c r="G1084" s="7" t="str">
        <f>IF(Notes!CE1080="","",Notes!CE1080)</f>
        <v/>
      </c>
      <c r="H1084" s="7" t="str">
        <f>IF(Notes!CF1080="","",Notes!CF1080)</f>
        <v/>
      </c>
      <c r="I1084" s="7"/>
      <c r="J1084" s="7"/>
      <c r="K1084" s="7"/>
    </row>
    <row r="1085" spans="1:11" x14ac:dyDescent="0.35">
      <c r="A1085" s="7" t="str">
        <f>IF(Notes!BY1081="","",Notes!BY1081)</f>
        <v/>
      </c>
      <c r="B1085" s="7" t="str">
        <f>IF(Notes!BZ1081="","",Notes!BZ1081)</f>
        <v/>
      </c>
      <c r="C1085" s="7" t="str">
        <f>IF(Notes!CA1081="","",Notes!CA1081)</f>
        <v/>
      </c>
      <c r="D1085" s="7" t="str">
        <f>IF(Notes!CB1081="","",Notes!CB1081)</f>
        <v/>
      </c>
      <c r="E1085" s="7" t="str">
        <f>IF(Notes!CC1081="","",Notes!CC1081)</f>
        <v/>
      </c>
      <c r="F1085" s="7" t="str">
        <f>IF(Notes!CD1081="","",Notes!CD1081)</f>
        <v/>
      </c>
      <c r="G1085" s="7" t="str">
        <f>IF(Notes!CE1081="","",Notes!CE1081)</f>
        <v/>
      </c>
      <c r="H1085" s="7" t="str">
        <f>IF(Notes!CF1081="","",Notes!CF1081)</f>
        <v/>
      </c>
      <c r="I1085" s="7"/>
      <c r="J1085" s="7"/>
      <c r="K1085" s="7"/>
    </row>
    <row r="1086" spans="1:11" x14ac:dyDescent="0.35">
      <c r="A1086" s="7" t="str">
        <f>IF(Notes!BY1082="","",Notes!BY1082)</f>
        <v/>
      </c>
      <c r="B1086" s="7" t="str">
        <f>IF(Notes!BZ1082="","",Notes!BZ1082)</f>
        <v/>
      </c>
      <c r="C1086" s="7" t="str">
        <f>IF(Notes!CA1082="","",Notes!CA1082)</f>
        <v/>
      </c>
      <c r="D1086" s="7" t="str">
        <f>IF(Notes!CB1082="","",Notes!CB1082)</f>
        <v/>
      </c>
      <c r="E1086" s="7" t="str">
        <f>IF(Notes!CC1082="","",Notes!CC1082)</f>
        <v/>
      </c>
      <c r="F1086" s="7" t="str">
        <f>IF(Notes!CD1082="","",Notes!CD1082)</f>
        <v/>
      </c>
      <c r="G1086" s="7" t="str">
        <f>IF(Notes!CE1082="","",Notes!CE1082)</f>
        <v/>
      </c>
      <c r="H1086" s="7" t="str">
        <f>IF(Notes!CF1082="","",Notes!CF1082)</f>
        <v/>
      </c>
      <c r="I1086" s="7"/>
      <c r="J1086" s="7"/>
      <c r="K1086" s="7"/>
    </row>
    <row r="1087" spans="1:11" x14ac:dyDescent="0.35">
      <c r="A1087" s="7" t="str">
        <f>IF(Notes!BY1083="","",Notes!BY1083)</f>
        <v/>
      </c>
      <c r="B1087" s="7" t="str">
        <f>IF(Notes!BZ1083="","",Notes!BZ1083)</f>
        <v/>
      </c>
      <c r="C1087" s="7" t="str">
        <f>IF(Notes!CA1083="","",Notes!CA1083)</f>
        <v/>
      </c>
      <c r="D1087" s="7" t="str">
        <f>IF(Notes!CB1083="","",Notes!CB1083)</f>
        <v/>
      </c>
      <c r="E1087" s="7" t="str">
        <f>IF(Notes!CC1083="","",Notes!CC1083)</f>
        <v/>
      </c>
      <c r="F1087" s="7" t="str">
        <f>IF(Notes!CD1083="","",Notes!CD1083)</f>
        <v/>
      </c>
      <c r="G1087" s="7" t="str">
        <f>IF(Notes!CE1083="","",Notes!CE1083)</f>
        <v/>
      </c>
      <c r="H1087" s="7" t="str">
        <f>IF(Notes!CF1083="","",Notes!CF1083)</f>
        <v/>
      </c>
      <c r="I1087" s="7"/>
      <c r="J1087" s="7"/>
      <c r="K1087" s="7"/>
    </row>
    <row r="1088" spans="1:11" x14ac:dyDescent="0.35">
      <c r="A1088" s="7" t="str">
        <f>IF(Notes!BY1084="","",Notes!BY1084)</f>
        <v/>
      </c>
      <c r="B1088" s="7" t="str">
        <f>IF(Notes!BZ1084="","",Notes!BZ1084)</f>
        <v/>
      </c>
      <c r="C1088" s="7" t="str">
        <f>IF(Notes!CA1084="","",Notes!CA1084)</f>
        <v/>
      </c>
      <c r="D1088" s="7" t="str">
        <f>IF(Notes!CB1084="","",Notes!CB1084)</f>
        <v/>
      </c>
      <c r="E1088" s="7" t="str">
        <f>IF(Notes!CC1084="","",Notes!CC1084)</f>
        <v/>
      </c>
      <c r="F1088" s="7" t="str">
        <f>IF(Notes!CD1084="","",Notes!CD1084)</f>
        <v/>
      </c>
      <c r="G1088" s="7" t="str">
        <f>IF(Notes!CE1084="","",Notes!CE1084)</f>
        <v/>
      </c>
      <c r="H1088" s="7" t="str">
        <f>IF(Notes!CF1084="","",Notes!CF1084)</f>
        <v/>
      </c>
      <c r="I1088" s="7"/>
      <c r="J1088" s="7"/>
      <c r="K1088" s="7"/>
    </row>
    <row r="1089" spans="1:11" x14ac:dyDescent="0.35">
      <c r="A1089" s="7" t="str">
        <f>IF(Notes!BY1085="","",Notes!BY1085)</f>
        <v/>
      </c>
      <c r="B1089" s="7" t="str">
        <f>IF(Notes!BZ1085="","",Notes!BZ1085)</f>
        <v/>
      </c>
      <c r="C1089" s="7" t="str">
        <f>IF(Notes!CA1085="","",Notes!CA1085)</f>
        <v/>
      </c>
      <c r="D1089" s="7" t="str">
        <f>IF(Notes!CB1085="","",Notes!CB1085)</f>
        <v/>
      </c>
      <c r="E1089" s="7" t="str">
        <f>IF(Notes!CC1085="","",Notes!CC1085)</f>
        <v/>
      </c>
      <c r="F1089" s="7" t="str">
        <f>IF(Notes!CD1085="","",Notes!CD1085)</f>
        <v/>
      </c>
      <c r="G1089" s="7" t="str">
        <f>IF(Notes!CE1085="","",Notes!CE1085)</f>
        <v/>
      </c>
      <c r="H1089" s="7" t="str">
        <f>IF(Notes!CF1085="","",Notes!CF1085)</f>
        <v/>
      </c>
      <c r="I1089" s="7"/>
      <c r="J1089" s="7"/>
      <c r="K1089" s="7"/>
    </row>
    <row r="1090" spans="1:11" x14ac:dyDescent="0.35">
      <c r="A1090" s="7" t="str">
        <f>IF(Notes!BY1086="","",Notes!BY1086)</f>
        <v/>
      </c>
      <c r="B1090" s="7" t="str">
        <f>IF(Notes!BZ1086="","",Notes!BZ1086)</f>
        <v/>
      </c>
      <c r="C1090" s="7" t="str">
        <f>IF(Notes!CA1086="","",Notes!CA1086)</f>
        <v/>
      </c>
      <c r="D1090" s="7" t="str">
        <f>IF(Notes!CB1086="","",Notes!CB1086)</f>
        <v/>
      </c>
      <c r="E1090" s="7" t="str">
        <f>IF(Notes!CC1086="","",Notes!CC1086)</f>
        <v/>
      </c>
      <c r="F1090" s="7" t="str">
        <f>IF(Notes!CD1086="","",Notes!CD1086)</f>
        <v/>
      </c>
      <c r="G1090" s="7" t="str">
        <f>IF(Notes!CE1086="","",Notes!CE1086)</f>
        <v/>
      </c>
      <c r="H1090" s="7" t="str">
        <f>IF(Notes!CF1086="","",Notes!CF1086)</f>
        <v/>
      </c>
      <c r="I1090" s="7"/>
      <c r="J1090" s="7"/>
      <c r="K1090" s="7"/>
    </row>
    <row r="1091" spans="1:11" x14ac:dyDescent="0.35">
      <c r="A1091" s="7" t="str">
        <f>IF(Notes!BY1087="","",Notes!BY1087)</f>
        <v/>
      </c>
      <c r="B1091" s="7" t="str">
        <f>IF(Notes!BZ1087="","",Notes!BZ1087)</f>
        <v/>
      </c>
      <c r="C1091" s="7" t="str">
        <f>IF(Notes!CA1087="","",Notes!CA1087)</f>
        <v/>
      </c>
      <c r="D1091" s="7" t="str">
        <f>IF(Notes!CB1087="","",Notes!CB1087)</f>
        <v/>
      </c>
      <c r="E1091" s="7" t="str">
        <f>IF(Notes!CC1087="","",Notes!CC1087)</f>
        <v/>
      </c>
      <c r="F1091" s="7" t="str">
        <f>IF(Notes!CD1087="","",Notes!CD1087)</f>
        <v/>
      </c>
      <c r="G1091" s="7" t="str">
        <f>IF(Notes!CE1087="","",Notes!CE1087)</f>
        <v/>
      </c>
      <c r="H1091" s="7" t="str">
        <f>IF(Notes!CF1087="","",Notes!CF1087)</f>
        <v/>
      </c>
      <c r="I1091" s="7"/>
      <c r="J1091" s="7"/>
      <c r="K1091" s="7"/>
    </row>
    <row r="1092" spans="1:11" x14ac:dyDescent="0.35">
      <c r="A1092" s="7" t="str">
        <f>IF(Notes!BY1088="","",Notes!BY1088)</f>
        <v/>
      </c>
      <c r="B1092" s="7" t="str">
        <f>IF(Notes!BZ1088="","",Notes!BZ1088)</f>
        <v/>
      </c>
      <c r="C1092" s="7" t="str">
        <f>IF(Notes!CA1088="","",Notes!CA1088)</f>
        <v/>
      </c>
      <c r="D1092" s="7" t="str">
        <f>IF(Notes!CB1088="","",Notes!CB1088)</f>
        <v/>
      </c>
      <c r="E1092" s="7" t="str">
        <f>IF(Notes!CC1088="","",Notes!CC1088)</f>
        <v/>
      </c>
      <c r="F1092" s="7" t="str">
        <f>IF(Notes!CD1088="","",Notes!CD1088)</f>
        <v/>
      </c>
      <c r="G1092" s="7" t="str">
        <f>IF(Notes!CE1088="","",Notes!CE1088)</f>
        <v/>
      </c>
      <c r="H1092" s="7" t="str">
        <f>IF(Notes!CF1088="","",Notes!CF1088)</f>
        <v/>
      </c>
      <c r="I1092" s="7"/>
      <c r="J1092" s="7"/>
      <c r="K1092" s="7"/>
    </row>
    <row r="1093" spans="1:11" x14ac:dyDescent="0.35">
      <c r="A1093" s="7" t="str">
        <f>IF(Notes!BY1089="","",Notes!BY1089)</f>
        <v/>
      </c>
      <c r="B1093" s="7" t="str">
        <f>IF(Notes!BZ1089="","",Notes!BZ1089)</f>
        <v/>
      </c>
      <c r="C1093" s="7" t="str">
        <f>IF(Notes!CA1089="","",Notes!CA1089)</f>
        <v/>
      </c>
      <c r="D1093" s="7" t="str">
        <f>IF(Notes!CB1089="","",Notes!CB1089)</f>
        <v/>
      </c>
      <c r="E1093" s="7" t="str">
        <f>IF(Notes!CC1089="","",Notes!CC1089)</f>
        <v/>
      </c>
      <c r="F1093" s="7" t="str">
        <f>IF(Notes!CD1089="","",Notes!CD1089)</f>
        <v/>
      </c>
      <c r="G1093" s="7" t="str">
        <f>IF(Notes!CE1089="","",Notes!CE1089)</f>
        <v/>
      </c>
      <c r="H1093" s="7" t="str">
        <f>IF(Notes!CF1089="","",Notes!CF1089)</f>
        <v/>
      </c>
      <c r="I1093" s="7"/>
      <c r="J1093" s="7"/>
      <c r="K1093" s="7"/>
    </row>
    <row r="1094" spans="1:11" x14ac:dyDescent="0.35">
      <c r="A1094" s="7" t="str">
        <f>IF(Notes!BY1090="","",Notes!BY1090)</f>
        <v/>
      </c>
      <c r="B1094" s="7" t="str">
        <f>IF(Notes!BZ1090="","",Notes!BZ1090)</f>
        <v/>
      </c>
      <c r="C1094" s="7" t="str">
        <f>IF(Notes!CA1090="","",Notes!CA1090)</f>
        <v/>
      </c>
      <c r="D1094" s="7" t="str">
        <f>IF(Notes!CB1090="","",Notes!CB1090)</f>
        <v/>
      </c>
      <c r="E1094" s="7" t="str">
        <f>IF(Notes!CC1090="","",Notes!CC1090)</f>
        <v/>
      </c>
      <c r="F1094" s="7" t="str">
        <f>IF(Notes!CD1090="","",Notes!CD1090)</f>
        <v/>
      </c>
      <c r="G1094" s="7" t="str">
        <f>IF(Notes!CE1090="","",Notes!CE1090)</f>
        <v/>
      </c>
      <c r="H1094" s="7" t="str">
        <f>IF(Notes!CF1090="","",Notes!CF1090)</f>
        <v/>
      </c>
      <c r="I1094" s="7"/>
      <c r="J1094" s="7"/>
      <c r="K1094" s="7"/>
    </row>
    <row r="1095" spans="1:11" x14ac:dyDescent="0.35">
      <c r="A1095" s="7" t="str">
        <f>IF(Notes!BY1091="","",Notes!BY1091)</f>
        <v/>
      </c>
      <c r="B1095" s="7" t="str">
        <f>IF(Notes!BZ1091="","",Notes!BZ1091)</f>
        <v/>
      </c>
      <c r="C1095" s="7" t="str">
        <f>IF(Notes!CA1091="","",Notes!CA1091)</f>
        <v/>
      </c>
      <c r="D1095" s="7" t="str">
        <f>IF(Notes!CB1091="","",Notes!CB1091)</f>
        <v/>
      </c>
      <c r="E1095" s="7" t="str">
        <f>IF(Notes!CC1091="","",Notes!CC1091)</f>
        <v/>
      </c>
      <c r="F1095" s="7" t="str">
        <f>IF(Notes!CD1091="","",Notes!CD1091)</f>
        <v/>
      </c>
      <c r="G1095" s="7" t="str">
        <f>IF(Notes!CE1091="","",Notes!CE1091)</f>
        <v/>
      </c>
      <c r="H1095" s="7" t="str">
        <f>IF(Notes!CF1091="","",Notes!CF1091)</f>
        <v/>
      </c>
      <c r="I1095" s="7"/>
      <c r="J1095" s="7"/>
      <c r="K1095" s="7"/>
    </row>
    <row r="1096" spans="1:11" x14ac:dyDescent="0.35">
      <c r="A1096" s="7" t="str">
        <f>IF(Notes!BY1092="","",Notes!BY1092)</f>
        <v/>
      </c>
      <c r="B1096" s="7" t="str">
        <f>IF(Notes!BZ1092="","",Notes!BZ1092)</f>
        <v/>
      </c>
      <c r="C1096" s="7" t="str">
        <f>IF(Notes!CA1092="","",Notes!CA1092)</f>
        <v/>
      </c>
      <c r="D1096" s="7" t="str">
        <f>IF(Notes!CB1092="","",Notes!CB1092)</f>
        <v/>
      </c>
      <c r="E1096" s="7" t="str">
        <f>IF(Notes!CC1092="","",Notes!CC1092)</f>
        <v/>
      </c>
      <c r="F1096" s="7" t="str">
        <f>IF(Notes!CD1092="","",Notes!CD1092)</f>
        <v/>
      </c>
      <c r="G1096" s="7" t="str">
        <f>IF(Notes!CE1092="","",Notes!CE1092)</f>
        <v/>
      </c>
      <c r="H1096" s="7" t="str">
        <f>IF(Notes!CF1092="","",Notes!CF1092)</f>
        <v/>
      </c>
      <c r="I1096" s="7"/>
      <c r="J1096" s="7"/>
      <c r="K1096" s="7"/>
    </row>
    <row r="1097" spans="1:11" x14ac:dyDescent="0.35">
      <c r="A1097" s="7" t="str">
        <f>IF(Notes!BY1093="","",Notes!BY1093)</f>
        <v/>
      </c>
      <c r="B1097" s="7" t="str">
        <f>IF(Notes!BZ1093="","",Notes!BZ1093)</f>
        <v/>
      </c>
      <c r="C1097" s="7" t="str">
        <f>IF(Notes!CA1093="","",Notes!CA1093)</f>
        <v/>
      </c>
      <c r="D1097" s="7" t="str">
        <f>IF(Notes!CB1093="","",Notes!CB1093)</f>
        <v/>
      </c>
      <c r="E1097" s="7" t="str">
        <f>IF(Notes!CC1093="","",Notes!CC1093)</f>
        <v/>
      </c>
      <c r="F1097" s="7" t="str">
        <f>IF(Notes!CD1093="","",Notes!CD1093)</f>
        <v/>
      </c>
      <c r="G1097" s="7" t="str">
        <f>IF(Notes!CE1093="","",Notes!CE1093)</f>
        <v/>
      </c>
      <c r="H1097" s="7" t="str">
        <f>IF(Notes!CF1093="","",Notes!CF1093)</f>
        <v/>
      </c>
      <c r="I1097" s="7"/>
      <c r="J1097" s="7"/>
      <c r="K1097" s="7"/>
    </row>
    <row r="1098" spans="1:11" x14ac:dyDescent="0.35">
      <c r="A1098" s="7" t="str">
        <f>IF(Notes!BY1094="","",Notes!BY1094)</f>
        <v/>
      </c>
      <c r="B1098" s="7" t="str">
        <f>IF(Notes!BZ1094="","",Notes!BZ1094)</f>
        <v/>
      </c>
      <c r="C1098" s="7" t="str">
        <f>IF(Notes!CA1094="","",Notes!CA1094)</f>
        <v/>
      </c>
      <c r="D1098" s="7" t="str">
        <f>IF(Notes!CB1094="","",Notes!CB1094)</f>
        <v/>
      </c>
      <c r="E1098" s="7" t="str">
        <f>IF(Notes!CC1094="","",Notes!CC1094)</f>
        <v/>
      </c>
      <c r="F1098" s="7" t="str">
        <f>IF(Notes!CD1094="","",Notes!CD1094)</f>
        <v/>
      </c>
      <c r="G1098" s="7" t="str">
        <f>IF(Notes!CE1094="","",Notes!CE1094)</f>
        <v/>
      </c>
      <c r="H1098" s="7" t="str">
        <f>IF(Notes!CF1094="","",Notes!CF1094)</f>
        <v/>
      </c>
      <c r="I1098" s="7"/>
      <c r="J1098" s="7"/>
      <c r="K1098" s="7"/>
    </row>
    <row r="1099" spans="1:11" x14ac:dyDescent="0.35">
      <c r="A1099" s="7" t="str">
        <f>IF(Notes!BY1095="","",Notes!BY1095)</f>
        <v/>
      </c>
      <c r="B1099" s="7" t="str">
        <f>IF(Notes!BZ1095="","",Notes!BZ1095)</f>
        <v/>
      </c>
      <c r="C1099" s="7" t="str">
        <f>IF(Notes!CA1095="","",Notes!CA1095)</f>
        <v/>
      </c>
      <c r="D1099" s="7" t="str">
        <f>IF(Notes!CB1095="","",Notes!CB1095)</f>
        <v/>
      </c>
      <c r="E1099" s="7" t="str">
        <f>IF(Notes!CC1095="","",Notes!CC1095)</f>
        <v/>
      </c>
      <c r="F1099" s="7" t="str">
        <f>IF(Notes!CD1095="","",Notes!CD1095)</f>
        <v/>
      </c>
      <c r="G1099" s="7" t="str">
        <f>IF(Notes!CE1095="","",Notes!CE1095)</f>
        <v/>
      </c>
      <c r="H1099" s="7" t="str">
        <f>IF(Notes!CF1095="","",Notes!CF1095)</f>
        <v/>
      </c>
      <c r="I1099" s="7"/>
      <c r="J1099" s="7"/>
      <c r="K1099" s="7"/>
    </row>
    <row r="1100" spans="1:11" x14ac:dyDescent="0.35">
      <c r="A1100" s="7" t="str">
        <f>IF(Notes!BY1096="","",Notes!BY1096)</f>
        <v/>
      </c>
      <c r="B1100" s="7" t="str">
        <f>IF(Notes!BZ1096="","",Notes!BZ1096)</f>
        <v/>
      </c>
      <c r="C1100" s="7" t="str">
        <f>IF(Notes!CA1096="","",Notes!CA1096)</f>
        <v/>
      </c>
      <c r="D1100" s="7" t="str">
        <f>IF(Notes!CB1096="","",Notes!CB1096)</f>
        <v/>
      </c>
      <c r="E1100" s="7" t="str">
        <f>IF(Notes!CC1096="","",Notes!CC1096)</f>
        <v/>
      </c>
      <c r="F1100" s="7" t="str">
        <f>IF(Notes!CD1096="","",Notes!CD1096)</f>
        <v/>
      </c>
      <c r="G1100" s="7" t="str">
        <f>IF(Notes!CE1096="","",Notes!CE1096)</f>
        <v/>
      </c>
      <c r="H1100" s="7" t="str">
        <f>IF(Notes!CF1096="","",Notes!CF1096)</f>
        <v/>
      </c>
      <c r="I1100" s="7"/>
      <c r="J1100" s="7"/>
      <c r="K1100" s="7"/>
    </row>
    <row r="1101" spans="1:11" x14ac:dyDescent="0.35">
      <c r="A1101" s="7" t="str">
        <f>IF(Notes!BY1097="","",Notes!BY1097)</f>
        <v/>
      </c>
      <c r="B1101" s="7" t="str">
        <f>IF(Notes!BZ1097="","",Notes!BZ1097)</f>
        <v/>
      </c>
      <c r="C1101" s="7" t="str">
        <f>IF(Notes!CA1097="","",Notes!CA1097)</f>
        <v/>
      </c>
      <c r="D1101" s="7" t="str">
        <f>IF(Notes!CB1097="","",Notes!CB1097)</f>
        <v/>
      </c>
      <c r="E1101" s="7" t="str">
        <f>IF(Notes!CC1097="","",Notes!CC1097)</f>
        <v/>
      </c>
      <c r="F1101" s="7" t="str">
        <f>IF(Notes!CD1097="","",Notes!CD1097)</f>
        <v/>
      </c>
      <c r="G1101" s="7" t="str">
        <f>IF(Notes!CE1097="","",Notes!CE1097)</f>
        <v/>
      </c>
      <c r="H1101" s="7" t="str">
        <f>IF(Notes!CF1097="","",Notes!CF1097)</f>
        <v/>
      </c>
      <c r="I1101" s="7"/>
      <c r="J1101" s="7"/>
      <c r="K1101" s="7"/>
    </row>
    <row r="1102" spans="1:11" x14ac:dyDescent="0.35">
      <c r="A1102" s="7" t="str">
        <f>IF(Notes!BY1098="","",Notes!BY1098)</f>
        <v/>
      </c>
      <c r="B1102" s="7" t="str">
        <f>IF(Notes!BZ1098="","",Notes!BZ1098)</f>
        <v/>
      </c>
      <c r="C1102" s="7" t="str">
        <f>IF(Notes!CA1098="","",Notes!CA1098)</f>
        <v/>
      </c>
      <c r="D1102" s="7" t="str">
        <f>IF(Notes!CB1098="","",Notes!CB1098)</f>
        <v/>
      </c>
      <c r="E1102" s="7" t="str">
        <f>IF(Notes!CC1098="","",Notes!CC1098)</f>
        <v/>
      </c>
      <c r="F1102" s="7" t="str">
        <f>IF(Notes!CD1098="","",Notes!CD1098)</f>
        <v/>
      </c>
      <c r="G1102" s="7" t="str">
        <f>IF(Notes!CE1098="","",Notes!CE1098)</f>
        <v/>
      </c>
      <c r="H1102" s="7" t="str">
        <f>IF(Notes!CF1098="","",Notes!CF1098)</f>
        <v/>
      </c>
      <c r="I1102" s="7"/>
      <c r="J1102" s="7"/>
      <c r="K1102" s="7"/>
    </row>
    <row r="1103" spans="1:11" x14ac:dyDescent="0.35">
      <c r="A1103" s="7" t="str">
        <f>IF(Notes!BY1099="","",Notes!BY1099)</f>
        <v/>
      </c>
      <c r="B1103" s="7" t="str">
        <f>IF(Notes!BZ1099="","",Notes!BZ1099)</f>
        <v/>
      </c>
      <c r="C1103" s="7" t="str">
        <f>IF(Notes!CA1099="","",Notes!CA1099)</f>
        <v/>
      </c>
      <c r="D1103" s="7" t="str">
        <f>IF(Notes!CB1099="","",Notes!CB1099)</f>
        <v/>
      </c>
      <c r="E1103" s="7" t="str">
        <f>IF(Notes!CC1099="","",Notes!CC1099)</f>
        <v/>
      </c>
      <c r="F1103" s="7" t="str">
        <f>IF(Notes!CD1099="","",Notes!CD1099)</f>
        <v/>
      </c>
      <c r="G1103" s="7" t="str">
        <f>IF(Notes!CE1099="","",Notes!CE1099)</f>
        <v/>
      </c>
      <c r="H1103" s="7" t="str">
        <f>IF(Notes!CF1099="","",Notes!CF1099)</f>
        <v/>
      </c>
      <c r="I1103" s="7"/>
      <c r="J1103" s="7"/>
      <c r="K1103" s="7"/>
    </row>
    <row r="1104" spans="1:11" x14ac:dyDescent="0.35">
      <c r="A1104" s="7" t="str">
        <f>IF(Notes!BY1100="","",Notes!BY1100)</f>
        <v/>
      </c>
      <c r="B1104" s="7" t="str">
        <f>IF(Notes!BZ1100="","",Notes!BZ1100)</f>
        <v/>
      </c>
      <c r="C1104" s="7" t="str">
        <f>IF(Notes!CA1100="","",Notes!CA1100)</f>
        <v/>
      </c>
      <c r="D1104" s="7" t="str">
        <f>IF(Notes!CB1100="","",Notes!CB1100)</f>
        <v/>
      </c>
      <c r="E1104" s="7" t="str">
        <f>IF(Notes!CC1100="","",Notes!CC1100)</f>
        <v/>
      </c>
      <c r="F1104" s="7" t="str">
        <f>IF(Notes!CD1100="","",Notes!CD1100)</f>
        <v/>
      </c>
      <c r="G1104" s="7" t="str">
        <f>IF(Notes!CE1100="","",Notes!CE1100)</f>
        <v/>
      </c>
      <c r="H1104" s="7" t="str">
        <f>IF(Notes!CF1100="","",Notes!CF1100)</f>
        <v/>
      </c>
      <c r="I1104" s="7"/>
      <c r="J1104" s="7"/>
      <c r="K1104" s="7"/>
    </row>
    <row r="1105" spans="1:11" x14ac:dyDescent="0.35">
      <c r="A1105" s="7" t="str">
        <f>IF(Notes!BY1101="","",Notes!BY1101)</f>
        <v/>
      </c>
      <c r="B1105" s="7" t="str">
        <f>IF(Notes!BZ1101="","",Notes!BZ1101)</f>
        <v/>
      </c>
      <c r="C1105" s="7" t="str">
        <f>IF(Notes!CA1101="","",Notes!CA1101)</f>
        <v/>
      </c>
      <c r="D1105" s="7" t="str">
        <f>IF(Notes!CB1101="","",Notes!CB1101)</f>
        <v/>
      </c>
      <c r="E1105" s="7" t="str">
        <f>IF(Notes!CC1101="","",Notes!CC1101)</f>
        <v/>
      </c>
      <c r="F1105" s="7" t="str">
        <f>IF(Notes!CD1101="","",Notes!CD1101)</f>
        <v/>
      </c>
      <c r="G1105" s="7" t="str">
        <f>IF(Notes!CE1101="","",Notes!CE1101)</f>
        <v/>
      </c>
      <c r="H1105" s="7" t="str">
        <f>IF(Notes!CF1101="","",Notes!CF1101)</f>
        <v/>
      </c>
      <c r="I1105" s="7"/>
      <c r="J1105" s="7"/>
      <c r="K1105" s="7"/>
    </row>
    <row r="1106" spans="1:11" x14ac:dyDescent="0.35">
      <c r="A1106" s="7" t="str">
        <f>IF(Notes!BY1102="","",Notes!BY1102)</f>
        <v/>
      </c>
      <c r="B1106" s="7" t="str">
        <f>IF(Notes!BZ1102="","",Notes!BZ1102)</f>
        <v/>
      </c>
      <c r="C1106" s="7" t="str">
        <f>IF(Notes!CA1102="","",Notes!CA1102)</f>
        <v/>
      </c>
      <c r="D1106" s="7" t="str">
        <f>IF(Notes!CB1102="","",Notes!CB1102)</f>
        <v/>
      </c>
      <c r="E1106" s="7" t="str">
        <f>IF(Notes!CC1102="","",Notes!CC1102)</f>
        <v/>
      </c>
      <c r="F1106" s="7" t="str">
        <f>IF(Notes!CD1102="","",Notes!CD1102)</f>
        <v/>
      </c>
      <c r="G1106" s="7" t="str">
        <f>IF(Notes!CE1102="","",Notes!CE1102)</f>
        <v/>
      </c>
      <c r="H1106" s="7" t="str">
        <f>IF(Notes!CF1102="","",Notes!CF1102)</f>
        <v/>
      </c>
      <c r="I1106" s="7"/>
      <c r="J1106" s="7"/>
      <c r="K1106" s="7"/>
    </row>
    <row r="1107" spans="1:11" x14ac:dyDescent="0.35">
      <c r="A1107" s="7" t="str">
        <f>IF(Notes!BY1103="","",Notes!BY1103)</f>
        <v/>
      </c>
      <c r="B1107" s="7" t="str">
        <f>IF(Notes!BZ1103="","",Notes!BZ1103)</f>
        <v/>
      </c>
      <c r="C1107" s="7" t="str">
        <f>IF(Notes!CA1103="","",Notes!CA1103)</f>
        <v/>
      </c>
      <c r="D1107" s="7" t="str">
        <f>IF(Notes!CB1103="","",Notes!CB1103)</f>
        <v/>
      </c>
      <c r="E1107" s="7" t="str">
        <f>IF(Notes!CC1103="","",Notes!CC1103)</f>
        <v/>
      </c>
      <c r="F1107" s="7" t="str">
        <f>IF(Notes!CD1103="","",Notes!CD1103)</f>
        <v/>
      </c>
      <c r="G1107" s="7" t="str">
        <f>IF(Notes!CE1103="","",Notes!CE1103)</f>
        <v/>
      </c>
      <c r="H1107" s="7" t="str">
        <f>IF(Notes!CF1103="","",Notes!CF1103)</f>
        <v/>
      </c>
      <c r="I1107" s="7"/>
      <c r="J1107" s="7"/>
      <c r="K1107" s="7"/>
    </row>
    <row r="1108" spans="1:11" x14ac:dyDescent="0.35">
      <c r="A1108" s="7" t="str">
        <f>IF(Notes!BY1104="","",Notes!BY1104)</f>
        <v/>
      </c>
      <c r="B1108" s="7" t="str">
        <f>IF(Notes!BZ1104="","",Notes!BZ1104)</f>
        <v/>
      </c>
      <c r="C1108" s="7" t="str">
        <f>IF(Notes!CA1104="","",Notes!CA1104)</f>
        <v/>
      </c>
      <c r="D1108" s="7" t="str">
        <f>IF(Notes!CB1104="","",Notes!CB1104)</f>
        <v/>
      </c>
      <c r="E1108" s="7" t="str">
        <f>IF(Notes!CC1104="","",Notes!CC1104)</f>
        <v/>
      </c>
      <c r="F1108" s="7" t="str">
        <f>IF(Notes!CD1104="","",Notes!CD1104)</f>
        <v/>
      </c>
      <c r="G1108" s="7" t="str">
        <f>IF(Notes!CE1104="","",Notes!CE1104)</f>
        <v/>
      </c>
      <c r="H1108" s="7" t="str">
        <f>IF(Notes!CF1104="","",Notes!CF1104)</f>
        <v/>
      </c>
      <c r="I1108" s="7"/>
      <c r="J1108" s="7"/>
      <c r="K1108" s="7"/>
    </row>
    <row r="1109" spans="1:11" x14ac:dyDescent="0.35">
      <c r="A1109" s="7" t="str">
        <f>IF(Notes!BY1105="","",Notes!BY1105)</f>
        <v/>
      </c>
      <c r="B1109" s="7" t="str">
        <f>IF(Notes!BZ1105="","",Notes!BZ1105)</f>
        <v/>
      </c>
      <c r="C1109" s="7" t="str">
        <f>IF(Notes!CA1105="","",Notes!CA1105)</f>
        <v/>
      </c>
      <c r="D1109" s="7" t="str">
        <f>IF(Notes!CB1105="","",Notes!CB1105)</f>
        <v/>
      </c>
      <c r="E1109" s="7" t="str">
        <f>IF(Notes!CC1105="","",Notes!CC1105)</f>
        <v/>
      </c>
      <c r="F1109" s="7" t="str">
        <f>IF(Notes!CD1105="","",Notes!CD1105)</f>
        <v/>
      </c>
      <c r="G1109" s="7" t="str">
        <f>IF(Notes!CE1105="","",Notes!CE1105)</f>
        <v/>
      </c>
      <c r="H1109" s="7" t="str">
        <f>IF(Notes!CF1105="","",Notes!CF1105)</f>
        <v/>
      </c>
      <c r="I1109" s="7"/>
      <c r="J1109" s="7"/>
      <c r="K1109" s="7"/>
    </row>
    <row r="1110" spans="1:11" x14ac:dyDescent="0.35">
      <c r="A1110" s="7" t="str">
        <f>IF(Notes!BY1106="","",Notes!BY1106)</f>
        <v/>
      </c>
      <c r="B1110" s="7" t="str">
        <f>IF(Notes!BZ1106="","",Notes!BZ1106)</f>
        <v/>
      </c>
      <c r="C1110" s="7" t="str">
        <f>IF(Notes!CA1106="","",Notes!CA1106)</f>
        <v/>
      </c>
      <c r="D1110" s="7" t="str">
        <f>IF(Notes!CB1106="","",Notes!CB1106)</f>
        <v/>
      </c>
      <c r="E1110" s="7" t="str">
        <f>IF(Notes!CC1106="","",Notes!CC1106)</f>
        <v/>
      </c>
      <c r="F1110" s="7" t="str">
        <f>IF(Notes!CD1106="","",Notes!CD1106)</f>
        <v/>
      </c>
      <c r="G1110" s="7" t="str">
        <f>IF(Notes!CE1106="","",Notes!CE1106)</f>
        <v/>
      </c>
      <c r="H1110" s="7" t="str">
        <f>IF(Notes!CF1106="","",Notes!CF1106)</f>
        <v/>
      </c>
      <c r="I1110" s="7"/>
      <c r="J1110" s="7"/>
      <c r="K1110" s="7"/>
    </row>
    <row r="1111" spans="1:11" x14ac:dyDescent="0.35">
      <c r="A1111" s="7" t="str">
        <f>IF(Notes!BY1107="","",Notes!BY1107)</f>
        <v/>
      </c>
      <c r="B1111" s="7" t="str">
        <f>IF(Notes!BZ1107="","",Notes!BZ1107)</f>
        <v/>
      </c>
      <c r="C1111" s="7" t="str">
        <f>IF(Notes!CA1107="","",Notes!CA1107)</f>
        <v/>
      </c>
      <c r="D1111" s="7" t="str">
        <f>IF(Notes!CB1107="","",Notes!CB1107)</f>
        <v/>
      </c>
      <c r="E1111" s="7" t="str">
        <f>IF(Notes!CC1107="","",Notes!CC1107)</f>
        <v/>
      </c>
      <c r="F1111" s="7" t="str">
        <f>IF(Notes!CD1107="","",Notes!CD1107)</f>
        <v/>
      </c>
      <c r="G1111" s="7" t="str">
        <f>IF(Notes!CE1107="","",Notes!CE1107)</f>
        <v/>
      </c>
      <c r="H1111" s="7" t="str">
        <f>IF(Notes!CF1107="","",Notes!CF1107)</f>
        <v/>
      </c>
      <c r="I1111" s="7"/>
      <c r="J1111" s="7"/>
      <c r="K1111" s="7"/>
    </row>
    <row r="1112" spans="1:11" x14ac:dyDescent="0.35">
      <c r="A1112" s="7" t="str">
        <f>IF(Notes!BY1108="","",Notes!BY1108)</f>
        <v/>
      </c>
      <c r="B1112" s="7" t="str">
        <f>IF(Notes!BZ1108="","",Notes!BZ1108)</f>
        <v/>
      </c>
      <c r="C1112" s="7" t="str">
        <f>IF(Notes!CA1108="","",Notes!CA1108)</f>
        <v/>
      </c>
      <c r="D1112" s="7" t="str">
        <f>IF(Notes!CB1108="","",Notes!CB1108)</f>
        <v/>
      </c>
      <c r="E1112" s="7" t="str">
        <f>IF(Notes!CC1108="","",Notes!CC1108)</f>
        <v/>
      </c>
      <c r="F1112" s="7" t="str">
        <f>IF(Notes!CD1108="","",Notes!CD1108)</f>
        <v/>
      </c>
      <c r="G1112" s="7" t="str">
        <f>IF(Notes!CE1108="","",Notes!CE1108)</f>
        <v/>
      </c>
      <c r="H1112" s="7" t="str">
        <f>IF(Notes!CF1108="","",Notes!CF1108)</f>
        <v/>
      </c>
      <c r="I1112" s="7"/>
      <c r="J1112" s="7"/>
      <c r="K1112" s="7"/>
    </row>
    <row r="1113" spans="1:11" x14ac:dyDescent="0.35">
      <c r="A1113" s="7" t="str">
        <f>IF(Notes!BY1109="","",Notes!BY1109)</f>
        <v/>
      </c>
      <c r="B1113" s="7" t="str">
        <f>IF(Notes!BZ1109="","",Notes!BZ1109)</f>
        <v/>
      </c>
      <c r="C1113" s="7" t="str">
        <f>IF(Notes!CA1109="","",Notes!CA1109)</f>
        <v/>
      </c>
      <c r="D1113" s="7" t="str">
        <f>IF(Notes!CB1109="","",Notes!CB1109)</f>
        <v/>
      </c>
      <c r="E1113" s="7" t="str">
        <f>IF(Notes!CC1109="","",Notes!CC1109)</f>
        <v/>
      </c>
      <c r="F1113" s="7" t="str">
        <f>IF(Notes!CD1109="","",Notes!CD1109)</f>
        <v/>
      </c>
      <c r="G1113" s="7" t="str">
        <f>IF(Notes!CE1109="","",Notes!CE1109)</f>
        <v/>
      </c>
      <c r="H1113" s="7" t="str">
        <f>IF(Notes!CF1109="","",Notes!CF1109)</f>
        <v/>
      </c>
      <c r="I1113" s="7"/>
      <c r="J1113" s="7"/>
      <c r="K1113" s="7"/>
    </row>
    <row r="1114" spans="1:11" x14ac:dyDescent="0.35">
      <c r="A1114" s="7" t="str">
        <f>IF(Notes!BY1110="","",Notes!BY1110)</f>
        <v/>
      </c>
      <c r="B1114" s="7" t="str">
        <f>IF(Notes!BZ1110="","",Notes!BZ1110)</f>
        <v/>
      </c>
      <c r="C1114" s="7" t="str">
        <f>IF(Notes!CA1110="","",Notes!CA1110)</f>
        <v/>
      </c>
      <c r="D1114" s="7" t="str">
        <f>IF(Notes!CB1110="","",Notes!CB1110)</f>
        <v/>
      </c>
      <c r="E1114" s="7" t="str">
        <f>IF(Notes!CC1110="","",Notes!CC1110)</f>
        <v/>
      </c>
      <c r="F1114" s="7" t="str">
        <f>IF(Notes!CD1110="","",Notes!CD1110)</f>
        <v/>
      </c>
      <c r="G1114" s="7" t="str">
        <f>IF(Notes!CE1110="","",Notes!CE1110)</f>
        <v/>
      </c>
      <c r="H1114" s="7" t="str">
        <f>IF(Notes!CF1110="","",Notes!CF1110)</f>
        <v/>
      </c>
      <c r="I1114" s="7"/>
      <c r="J1114" s="7"/>
      <c r="K1114" s="7"/>
    </row>
    <row r="1115" spans="1:11" x14ac:dyDescent="0.35">
      <c r="A1115" s="7" t="str">
        <f>IF(Notes!BY1111="","",Notes!BY1111)</f>
        <v/>
      </c>
      <c r="B1115" s="7" t="str">
        <f>IF(Notes!BZ1111="","",Notes!BZ1111)</f>
        <v/>
      </c>
      <c r="C1115" s="7" t="str">
        <f>IF(Notes!CA1111="","",Notes!CA1111)</f>
        <v/>
      </c>
      <c r="D1115" s="7" t="str">
        <f>IF(Notes!CB1111="","",Notes!CB1111)</f>
        <v/>
      </c>
      <c r="E1115" s="7" t="str">
        <f>IF(Notes!CC1111="","",Notes!CC1111)</f>
        <v/>
      </c>
      <c r="F1115" s="7" t="str">
        <f>IF(Notes!CD1111="","",Notes!CD1111)</f>
        <v/>
      </c>
      <c r="G1115" s="7" t="str">
        <f>IF(Notes!CE1111="","",Notes!CE1111)</f>
        <v/>
      </c>
      <c r="H1115" s="7" t="str">
        <f>IF(Notes!CF1111="","",Notes!CF1111)</f>
        <v/>
      </c>
      <c r="I1115" s="7"/>
      <c r="J1115" s="7"/>
      <c r="K1115" s="7"/>
    </row>
    <row r="1116" spans="1:11" x14ac:dyDescent="0.35">
      <c r="A1116" s="7" t="str">
        <f>IF(Notes!BY1112="","",Notes!BY1112)</f>
        <v/>
      </c>
      <c r="B1116" s="7" t="str">
        <f>IF(Notes!BZ1112="","",Notes!BZ1112)</f>
        <v/>
      </c>
      <c r="C1116" s="7" t="str">
        <f>IF(Notes!CA1112="","",Notes!CA1112)</f>
        <v/>
      </c>
      <c r="D1116" s="7" t="str">
        <f>IF(Notes!CB1112="","",Notes!CB1112)</f>
        <v/>
      </c>
      <c r="E1116" s="7" t="str">
        <f>IF(Notes!CC1112="","",Notes!CC1112)</f>
        <v/>
      </c>
      <c r="F1116" s="7" t="str">
        <f>IF(Notes!CD1112="","",Notes!CD1112)</f>
        <v/>
      </c>
      <c r="G1116" s="7" t="str">
        <f>IF(Notes!CE1112="","",Notes!CE1112)</f>
        <v/>
      </c>
      <c r="H1116" s="7" t="str">
        <f>IF(Notes!CF1112="","",Notes!CF1112)</f>
        <v/>
      </c>
      <c r="I1116" s="7"/>
      <c r="J1116" s="7"/>
      <c r="K1116" s="7"/>
    </row>
    <row r="1117" spans="1:11" x14ac:dyDescent="0.35">
      <c r="A1117" s="7" t="str">
        <f>IF(Notes!BY1113="","",Notes!BY1113)</f>
        <v/>
      </c>
      <c r="B1117" s="7" t="str">
        <f>IF(Notes!BZ1113="","",Notes!BZ1113)</f>
        <v/>
      </c>
      <c r="C1117" s="7" t="str">
        <f>IF(Notes!CA1113="","",Notes!CA1113)</f>
        <v/>
      </c>
      <c r="D1117" s="7" t="str">
        <f>IF(Notes!CB1113="","",Notes!CB1113)</f>
        <v/>
      </c>
      <c r="E1117" s="7" t="str">
        <f>IF(Notes!CC1113="","",Notes!CC1113)</f>
        <v/>
      </c>
      <c r="F1117" s="7" t="str">
        <f>IF(Notes!CD1113="","",Notes!CD1113)</f>
        <v/>
      </c>
      <c r="G1117" s="7" t="str">
        <f>IF(Notes!CE1113="","",Notes!CE1113)</f>
        <v/>
      </c>
      <c r="H1117" s="7" t="str">
        <f>IF(Notes!CF1113="","",Notes!CF1113)</f>
        <v/>
      </c>
      <c r="I1117" s="7"/>
      <c r="J1117" s="7"/>
      <c r="K1117" s="7"/>
    </row>
    <row r="1118" spans="1:11" x14ac:dyDescent="0.35">
      <c r="A1118" s="7" t="str">
        <f>IF(Notes!BY1114="","",Notes!BY1114)</f>
        <v/>
      </c>
      <c r="B1118" s="7" t="str">
        <f>IF(Notes!BZ1114="","",Notes!BZ1114)</f>
        <v/>
      </c>
      <c r="C1118" s="7" t="str">
        <f>IF(Notes!CA1114="","",Notes!CA1114)</f>
        <v/>
      </c>
      <c r="D1118" s="7" t="str">
        <f>IF(Notes!CB1114="","",Notes!CB1114)</f>
        <v/>
      </c>
      <c r="E1118" s="7" t="str">
        <f>IF(Notes!CC1114="","",Notes!CC1114)</f>
        <v/>
      </c>
      <c r="F1118" s="7" t="str">
        <f>IF(Notes!CD1114="","",Notes!CD1114)</f>
        <v/>
      </c>
      <c r="G1118" s="7" t="str">
        <f>IF(Notes!CE1114="","",Notes!CE1114)</f>
        <v/>
      </c>
      <c r="H1118" s="7" t="str">
        <f>IF(Notes!CF1114="","",Notes!CF1114)</f>
        <v/>
      </c>
      <c r="I1118" s="7"/>
      <c r="J1118" s="7"/>
      <c r="K1118" s="7"/>
    </row>
    <row r="1119" spans="1:11" x14ac:dyDescent="0.35">
      <c r="A1119" s="7" t="str">
        <f>IF(Notes!BY1115="","",Notes!BY1115)</f>
        <v/>
      </c>
      <c r="B1119" s="7" t="str">
        <f>IF(Notes!BZ1115="","",Notes!BZ1115)</f>
        <v/>
      </c>
      <c r="C1119" s="7" t="str">
        <f>IF(Notes!CA1115="","",Notes!CA1115)</f>
        <v/>
      </c>
      <c r="D1119" s="7" t="str">
        <f>IF(Notes!CB1115="","",Notes!CB1115)</f>
        <v/>
      </c>
      <c r="E1119" s="7" t="str">
        <f>IF(Notes!CC1115="","",Notes!CC1115)</f>
        <v/>
      </c>
      <c r="F1119" s="7" t="str">
        <f>IF(Notes!CD1115="","",Notes!CD1115)</f>
        <v/>
      </c>
      <c r="G1119" s="7" t="str">
        <f>IF(Notes!CE1115="","",Notes!CE1115)</f>
        <v/>
      </c>
      <c r="H1119" s="7" t="str">
        <f>IF(Notes!CF1115="","",Notes!CF1115)</f>
        <v/>
      </c>
      <c r="I1119" s="7"/>
      <c r="J1119" s="7"/>
      <c r="K1119" s="7"/>
    </row>
    <row r="1120" spans="1:11" x14ac:dyDescent="0.35">
      <c r="A1120" s="7" t="str">
        <f>IF(Notes!BY1116="","",Notes!BY1116)</f>
        <v/>
      </c>
      <c r="B1120" s="7" t="str">
        <f>IF(Notes!BZ1116="","",Notes!BZ1116)</f>
        <v/>
      </c>
      <c r="C1120" s="7" t="str">
        <f>IF(Notes!CA1116="","",Notes!CA1116)</f>
        <v/>
      </c>
      <c r="D1120" s="7" t="str">
        <f>IF(Notes!CB1116="","",Notes!CB1116)</f>
        <v/>
      </c>
      <c r="E1120" s="7" t="str">
        <f>IF(Notes!CC1116="","",Notes!CC1116)</f>
        <v/>
      </c>
      <c r="F1120" s="7" t="str">
        <f>IF(Notes!CD1116="","",Notes!CD1116)</f>
        <v/>
      </c>
      <c r="G1120" s="7" t="str">
        <f>IF(Notes!CE1116="","",Notes!CE1116)</f>
        <v/>
      </c>
      <c r="H1120" s="7" t="str">
        <f>IF(Notes!CF1116="","",Notes!CF1116)</f>
        <v/>
      </c>
      <c r="I1120" s="7"/>
      <c r="J1120" s="7"/>
      <c r="K1120" s="7"/>
    </row>
    <row r="1121" spans="1:11" x14ac:dyDescent="0.35">
      <c r="A1121" s="7" t="str">
        <f>IF(Notes!BY1117="","",Notes!BY1117)</f>
        <v/>
      </c>
      <c r="B1121" s="7" t="str">
        <f>IF(Notes!BZ1117="","",Notes!BZ1117)</f>
        <v/>
      </c>
      <c r="C1121" s="7" t="str">
        <f>IF(Notes!CA1117="","",Notes!CA1117)</f>
        <v/>
      </c>
      <c r="D1121" s="7" t="str">
        <f>IF(Notes!CB1117="","",Notes!CB1117)</f>
        <v/>
      </c>
      <c r="E1121" s="7" t="str">
        <f>IF(Notes!CC1117="","",Notes!CC1117)</f>
        <v/>
      </c>
      <c r="F1121" s="7" t="str">
        <f>IF(Notes!CD1117="","",Notes!CD1117)</f>
        <v/>
      </c>
      <c r="G1121" s="7" t="str">
        <f>IF(Notes!CE1117="","",Notes!CE1117)</f>
        <v/>
      </c>
      <c r="H1121" s="7" t="str">
        <f>IF(Notes!CF1117="","",Notes!CF1117)</f>
        <v/>
      </c>
      <c r="I1121" s="7"/>
      <c r="J1121" s="7"/>
      <c r="K1121" s="7"/>
    </row>
    <row r="1122" spans="1:11" x14ac:dyDescent="0.35">
      <c r="A1122" s="7" t="str">
        <f>IF(Notes!BY1118="","",Notes!BY1118)</f>
        <v/>
      </c>
      <c r="B1122" s="7" t="str">
        <f>IF(Notes!BZ1118="","",Notes!BZ1118)</f>
        <v/>
      </c>
      <c r="C1122" s="7" t="str">
        <f>IF(Notes!CA1118="","",Notes!CA1118)</f>
        <v/>
      </c>
      <c r="D1122" s="7" t="str">
        <f>IF(Notes!CB1118="","",Notes!CB1118)</f>
        <v/>
      </c>
      <c r="E1122" s="7" t="str">
        <f>IF(Notes!CC1118="","",Notes!CC1118)</f>
        <v/>
      </c>
      <c r="F1122" s="7" t="str">
        <f>IF(Notes!CD1118="","",Notes!CD1118)</f>
        <v/>
      </c>
      <c r="G1122" s="7" t="str">
        <f>IF(Notes!CE1118="","",Notes!CE1118)</f>
        <v/>
      </c>
      <c r="H1122" s="7" t="str">
        <f>IF(Notes!CF1118="","",Notes!CF1118)</f>
        <v/>
      </c>
      <c r="I1122" s="7"/>
      <c r="J1122" s="7"/>
      <c r="K1122" s="7"/>
    </row>
    <row r="1123" spans="1:11" x14ac:dyDescent="0.35">
      <c r="A1123" s="7" t="str">
        <f>IF(Notes!BY1119="","",Notes!BY1119)</f>
        <v/>
      </c>
      <c r="B1123" s="7" t="str">
        <f>IF(Notes!BZ1119="","",Notes!BZ1119)</f>
        <v/>
      </c>
      <c r="C1123" s="7" t="str">
        <f>IF(Notes!CA1119="","",Notes!CA1119)</f>
        <v/>
      </c>
      <c r="D1123" s="7" t="str">
        <f>IF(Notes!CB1119="","",Notes!CB1119)</f>
        <v/>
      </c>
      <c r="E1123" s="7" t="str">
        <f>IF(Notes!CC1119="","",Notes!CC1119)</f>
        <v/>
      </c>
      <c r="F1123" s="7" t="str">
        <f>IF(Notes!CD1119="","",Notes!CD1119)</f>
        <v/>
      </c>
      <c r="G1123" s="7" t="str">
        <f>IF(Notes!CE1119="","",Notes!CE1119)</f>
        <v/>
      </c>
      <c r="H1123" s="7" t="str">
        <f>IF(Notes!CF1119="","",Notes!CF1119)</f>
        <v/>
      </c>
      <c r="I1123" s="7"/>
      <c r="J1123" s="7"/>
      <c r="K1123" s="7"/>
    </row>
    <row r="1124" spans="1:11" x14ac:dyDescent="0.35">
      <c r="A1124" s="7" t="str">
        <f>IF(Notes!BY1120="","",Notes!BY1120)</f>
        <v/>
      </c>
      <c r="B1124" s="7" t="str">
        <f>IF(Notes!BZ1120="","",Notes!BZ1120)</f>
        <v/>
      </c>
      <c r="C1124" s="7" t="str">
        <f>IF(Notes!CA1120="","",Notes!CA1120)</f>
        <v/>
      </c>
      <c r="D1124" s="7" t="str">
        <f>IF(Notes!CB1120="","",Notes!CB1120)</f>
        <v/>
      </c>
      <c r="E1124" s="7" t="str">
        <f>IF(Notes!CC1120="","",Notes!CC1120)</f>
        <v/>
      </c>
      <c r="F1124" s="7" t="str">
        <f>IF(Notes!CD1120="","",Notes!CD1120)</f>
        <v/>
      </c>
      <c r="G1124" s="7" t="str">
        <f>IF(Notes!CE1120="","",Notes!CE1120)</f>
        <v/>
      </c>
      <c r="H1124" s="7" t="str">
        <f>IF(Notes!CF1120="","",Notes!CF1120)</f>
        <v/>
      </c>
      <c r="I1124" s="7"/>
      <c r="J1124" s="7"/>
      <c r="K1124" s="7"/>
    </row>
    <row r="1125" spans="1:11" x14ac:dyDescent="0.35">
      <c r="A1125" s="7" t="str">
        <f>IF(Notes!BY1121="","",Notes!BY1121)</f>
        <v/>
      </c>
      <c r="B1125" s="7" t="str">
        <f>IF(Notes!BZ1121="","",Notes!BZ1121)</f>
        <v/>
      </c>
      <c r="C1125" s="7" t="str">
        <f>IF(Notes!CA1121="","",Notes!CA1121)</f>
        <v/>
      </c>
      <c r="D1125" s="7" t="str">
        <f>IF(Notes!CB1121="","",Notes!CB1121)</f>
        <v/>
      </c>
      <c r="E1125" s="7" t="str">
        <f>IF(Notes!CC1121="","",Notes!CC1121)</f>
        <v/>
      </c>
      <c r="F1125" s="7" t="str">
        <f>IF(Notes!CD1121="","",Notes!CD1121)</f>
        <v/>
      </c>
      <c r="G1125" s="7" t="str">
        <f>IF(Notes!CE1121="","",Notes!CE1121)</f>
        <v/>
      </c>
      <c r="H1125" s="7" t="str">
        <f>IF(Notes!CF1121="","",Notes!CF1121)</f>
        <v/>
      </c>
      <c r="I1125" s="7"/>
      <c r="J1125" s="7"/>
      <c r="K1125" s="7"/>
    </row>
    <row r="1126" spans="1:11" x14ac:dyDescent="0.35">
      <c r="A1126" s="7" t="str">
        <f>IF(Notes!BY1122="","",Notes!BY1122)</f>
        <v/>
      </c>
      <c r="B1126" s="7" t="str">
        <f>IF(Notes!BZ1122="","",Notes!BZ1122)</f>
        <v/>
      </c>
      <c r="C1126" s="7" t="str">
        <f>IF(Notes!CA1122="","",Notes!CA1122)</f>
        <v/>
      </c>
      <c r="D1126" s="7" t="str">
        <f>IF(Notes!CB1122="","",Notes!CB1122)</f>
        <v/>
      </c>
      <c r="E1126" s="7" t="str">
        <f>IF(Notes!CC1122="","",Notes!CC1122)</f>
        <v/>
      </c>
      <c r="F1126" s="7" t="str">
        <f>IF(Notes!CD1122="","",Notes!CD1122)</f>
        <v/>
      </c>
      <c r="G1126" s="7" t="str">
        <f>IF(Notes!CE1122="","",Notes!CE1122)</f>
        <v/>
      </c>
      <c r="H1126" s="7" t="str">
        <f>IF(Notes!CF1122="","",Notes!CF1122)</f>
        <v/>
      </c>
      <c r="I1126" s="7"/>
      <c r="J1126" s="7"/>
      <c r="K1126" s="7"/>
    </row>
    <row r="1127" spans="1:11" x14ac:dyDescent="0.35">
      <c r="A1127" s="7" t="str">
        <f>IF(Notes!BY1123="","",Notes!BY1123)</f>
        <v/>
      </c>
      <c r="B1127" s="7" t="str">
        <f>IF(Notes!BZ1123="","",Notes!BZ1123)</f>
        <v/>
      </c>
      <c r="C1127" s="7" t="str">
        <f>IF(Notes!CA1123="","",Notes!CA1123)</f>
        <v/>
      </c>
      <c r="D1127" s="7" t="str">
        <f>IF(Notes!CB1123="","",Notes!CB1123)</f>
        <v/>
      </c>
      <c r="E1127" s="7" t="str">
        <f>IF(Notes!CC1123="","",Notes!CC1123)</f>
        <v/>
      </c>
      <c r="F1127" s="7" t="str">
        <f>IF(Notes!CD1123="","",Notes!CD1123)</f>
        <v/>
      </c>
      <c r="G1127" s="7" t="str">
        <f>IF(Notes!CE1123="","",Notes!CE1123)</f>
        <v/>
      </c>
      <c r="H1127" s="7" t="str">
        <f>IF(Notes!CF1123="","",Notes!CF1123)</f>
        <v/>
      </c>
      <c r="I1127" s="7"/>
      <c r="J1127" s="7"/>
      <c r="K1127" s="7"/>
    </row>
    <row r="1128" spans="1:11" x14ac:dyDescent="0.35">
      <c r="A1128" s="7" t="str">
        <f>IF(Notes!BY1124="","",Notes!BY1124)</f>
        <v/>
      </c>
      <c r="B1128" s="7" t="str">
        <f>IF(Notes!BZ1124="","",Notes!BZ1124)</f>
        <v/>
      </c>
      <c r="C1128" s="7" t="str">
        <f>IF(Notes!CA1124="","",Notes!CA1124)</f>
        <v/>
      </c>
      <c r="D1128" s="7" t="str">
        <f>IF(Notes!CB1124="","",Notes!CB1124)</f>
        <v/>
      </c>
      <c r="E1128" s="7" t="str">
        <f>IF(Notes!CC1124="","",Notes!CC1124)</f>
        <v/>
      </c>
      <c r="F1128" s="7" t="str">
        <f>IF(Notes!CD1124="","",Notes!CD1124)</f>
        <v/>
      </c>
      <c r="G1128" s="7" t="str">
        <f>IF(Notes!CE1124="","",Notes!CE1124)</f>
        <v/>
      </c>
      <c r="H1128" s="7" t="str">
        <f>IF(Notes!CF1124="","",Notes!CF1124)</f>
        <v/>
      </c>
      <c r="I1128" s="7"/>
      <c r="J1128" s="7"/>
      <c r="K1128" s="7"/>
    </row>
    <row r="1129" spans="1:11" x14ac:dyDescent="0.35">
      <c r="A1129" s="7" t="str">
        <f>IF(Notes!BY1125="","",Notes!BY1125)</f>
        <v/>
      </c>
      <c r="B1129" s="7" t="str">
        <f>IF(Notes!BZ1125="","",Notes!BZ1125)</f>
        <v/>
      </c>
      <c r="C1129" s="7" t="str">
        <f>IF(Notes!CA1125="","",Notes!CA1125)</f>
        <v/>
      </c>
      <c r="D1129" s="7" t="str">
        <f>IF(Notes!CB1125="","",Notes!CB1125)</f>
        <v/>
      </c>
      <c r="E1129" s="7" t="str">
        <f>IF(Notes!CC1125="","",Notes!CC1125)</f>
        <v/>
      </c>
      <c r="F1129" s="7" t="str">
        <f>IF(Notes!CD1125="","",Notes!CD1125)</f>
        <v/>
      </c>
      <c r="G1129" s="7" t="str">
        <f>IF(Notes!CE1125="","",Notes!CE1125)</f>
        <v/>
      </c>
      <c r="H1129" s="7" t="str">
        <f>IF(Notes!CF1125="","",Notes!CF1125)</f>
        <v/>
      </c>
      <c r="I1129" s="7"/>
      <c r="J1129" s="7"/>
      <c r="K1129" s="7"/>
    </row>
    <row r="1130" spans="1:11" x14ac:dyDescent="0.35">
      <c r="A1130" s="7" t="str">
        <f>IF(Notes!BY1126="","",Notes!BY1126)</f>
        <v/>
      </c>
      <c r="B1130" s="7" t="str">
        <f>IF(Notes!BZ1126="","",Notes!BZ1126)</f>
        <v/>
      </c>
      <c r="C1130" s="7" t="str">
        <f>IF(Notes!CA1126="","",Notes!CA1126)</f>
        <v/>
      </c>
      <c r="D1130" s="7" t="str">
        <f>IF(Notes!CB1126="","",Notes!CB1126)</f>
        <v/>
      </c>
      <c r="E1130" s="7" t="str">
        <f>IF(Notes!CC1126="","",Notes!CC1126)</f>
        <v/>
      </c>
      <c r="F1130" s="7" t="str">
        <f>IF(Notes!CD1126="","",Notes!CD1126)</f>
        <v/>
      </c>
      <c r="G1130" s="7" t="str">
        <f>IF(Notes!CE1126="","",Notes!CE1126)</f>
        <v/>
      </c>
      <c r="H1130" s="7" t="str">
        <f>IF(Notes!CF1126="","",Notes!CF1126)</f>
        <v/>
      </c>
      <c r="I1130" s="7"/>
      <c r="J1130" s="7"/>
      <c r="K1130" s="7"/>
    </row>
    <row r="1131" spans="1:11" x14ac:dyDescent="0.35">
      <c r="A1131" s="7" t="str">
        <f>IF(Notes!BY1127="","",Notes!BY1127)</f>
        <v/>
      </c>
      <c r="B1131" s="7" t="str">
        <f>IF(Notes!BZ1127="","",Notes!BZ1127)</f>
        <v/>
      </c>
      <c r="C1131" s="7" t="str">
        <f>IF(Notes!CA1127="","",Notes!CA1127)</f>
        <v/>
      </c>
      <c r="D1131" s="7" t="str">
        <f>IF(Notes!CB1127="","",Notes!CB1127)</f>
        <v/>
      </c>
      <c r="E1131" s="7" t="str">
        <f>IF(Notes!CC1127="","",Notes!CC1127)</f>
        <v/>
      </c>
      <c r="F1131" s="7" t="str">
        <f>IF(Notes!CD1127="","",Notes!CD1127)</f>
        <v/>
      </c>
      <c r="G1131" s="7" t="str">
        <f>IF(Notes!CE1127="","",Notes!CE1127)</f>
        <v/>
      </c>
      <c r="H1131" s="7" t="str">
        <f>IF(Notes!CF1127="","",Notes!CF1127)</f>
        <v/>
      </c>
      <c r="I1131" s="7"/>
      <c r="J1131" s="7"/>
      <c r="K1131" s="7"/>
    </row>
    <row r="1132" spans="1:11" x14ac:dyDescent="0.35">
      <c r="A1132" s="7" t="str">
        <f>IF(Notes!BY1128="","",Notes!BY1128)</f>
        <v/>
      </c>
      <c r="B1132" s="7" t="str">
        <f>IF(Notes!BZ1128="","",Notes!BZ1128)</f>
        <v/>
      </c>
      <c r="C1132" s="7" t="str">
        <f>IF(Notes!CA1128="","",Notes!CA1128)</f>
        <v/>
      </c>
      <c r="D1132" s="7" t="str">
        <f>IF(Notes!CB1128="","",Notes!CB1128)</f>
        <v/>
      </c>
      <c r="E1132" s="7" t="str">
        <f>IF(Notes!CC1128="","",Notes!CC1128)</f>
        <v/>
      </c>
      <c r="F1132" s="7" t="str">
        <f>IF(Notes!CD1128="","",Notes!CD1128)</f>
        <v/>
      </c>
      <c r="G1132" s="7" t="str">
        <f>IF(Notes!CE1128="","",Notes!CE1128)</f>
        <v/>
      </c>
      <c r="H1132" s="7" t="str">
        <f>IF(Notes!CF1128="","",Notes!CF1128)</f>
        <v/>
      </c>
      <c r="I1132" s="7"/>
      <c r="J1132" s="7"/>
      <c r="K1132" s="7"/>
    </row>
    <row r="1133" spans="1:11" x14ac:dyDescent="0.35">
      <c r="A1133" s="7" t="str">
        <f>IF(Notes!BY1129="","",Notes!BY1129)</f>
        <v/>
      </c>
      <c r="B1133" s="7" t="str">
        <f>IF(Notes!BZ1129="","",Notes!BZ1129)</f>
        <v/>
      </c>
      <c r="C1133" s="7" t="str">
        <f>IF(Notes!CA1129="","",Notes!CA1129)</f>
        <v/>
      </c>
      <c r="D1133" s="7" t="str">
        <f>IF(Notes!CB1129="","",Notes!CB1129)</f>
        <v/>
      </c>
      <c r="E1133" s="7" t="str">
        <f>IF(Notes!CC1129="","",Notes!CC1129)</f>
        <v/>
      </c>
      <c r="F1133" s="7" t="str">
        <f>IF(Notes!CD1129="","",Notes!CD1129)</f>
        <v/>
      </c>
      <c r="G1133" s="7" t="str">
        <f>IF(Notes!CE1129="","",Notes!CE1129)</f>
        <v/>
      </c>
      <c r="H1133" s="7" t="str">
        <f>IF(Notes!CF1129="","",Notes!CF1129)</f>
        <v/>
      </c>
      <c r="I1133" s="7"/>
      <c r="J1133" s="7"/>
      <c r="K1133" s="7"/>
    </row>
    <row r="1134" spans="1:11" x14ac:dyDescent="0.35">
      <c r="A1134" s="7" t="str">
        <f>IF(Notes!BY1130="","",Notes!BY1130)</f>
        <v/>
      </c>
      <c r="B1134" s="7" t="str">
        <f>IF(Notes!BZ1130="","",Notes!BZ1130)</f>
        <v/>
      </c>
      <c r="C1134" s="7" t="str">
        <f>IF(Notes!CA1130="","",Notes!CA1130)</f>
        <v/>
      </c>
      <c r="D1134" s="7" t="str">
        <f>IF(Notes!CB1130="","",Notes!CB1130)</f>
        <v/>
      </c>
      <c r="E1134" s="7" t="str">
        <f>IF(Notes!CC1130="","",Notes!CC1130)</f>
        <v/>
      </c>
      <c r="F1134" s="7" t="str">
        <f>IF(Notes!CD1130="","",Notes!CD1130)</f>
        <v/>
      </c>
      <c r="G1134" s="7" t="str">
        <f>IF(Notes!CE1130="","",Notes!CE1130)</f>
        <v/>
      </c>
      <c r="H1134" s="7" t="str">
        <f>IF(Notes!CF1130="","",Notes!CF1130)</f>
        <v/>
      </c>
      <c r="I1134" s="7"/>
      <c r="J1134" s="7"/>
      <c r="K1134" s="7"/>
    </row>
    <row r="1135" spans="1:11" x14ac:dyDescent="0.35">
      <c r="A1135" s="7" t="str">
        <f>IF(Notes!BY1131="","",Notes!BY1131)</f>
        <v/>
      </c>
      <c r="B1135" s="7" t="str">
        <f>IF(Notes!BZ1131="","",Notes!BZ1131)</f>
        <v/>
      </c>
      <c r="C1135" s="7" t="str">
        <f>IF(Notes!CA1131="","",Notes!CA1131)</f>
        <v/>
      </c>
      <c r="D1135" s="7" t="str">
        <f>IF(Notes!CB1131="","",Notes!CB1131)</f>
        <v/>
      </c>
      <c r="E1135" s="7" t="str">
        <f>IF(Notes!CC1131="","",Notes!CC1131)</f>
        <v/>
      </c>
      <c r="F1135" s="7" t="str">
        <f>IF(Notes!CD1131="","",Notes!CD1131)</f>
        <v/>
      </c>
      <c r="G1135" s="7" t="str">
        <f>IF(Notes!CE1131="","",Notes!CE1131)</f>
        <v/>
      </c>
      <c r="H1135" s="7" t="str">
        <f>IF(Notes!CF1131="","",Notes!CF1131)</f>
        <v/>
      </c>
      <c r="I1135" s="7"/>
      <c r="J1135" s="7"/>
      <c r="K1135" s="7"/>
    </row>
    <row r="1136" spans="1:11" x14ac:dyDescent="0.35">
      <c r="A1136" s="7" t="str">
        <f>IF(Notes!BY1132="","",Notes!BY1132)</f>
        <v/>
      </c>
      <c r="B1136" s="7" t="str">
        <f>IF(Notes!BZ1132="","",Notes!BZ1132)</f>
        <v/>
      </c>
      <c r="C1136" s="7" t="str">
        <f>IF(Notes!CA1132="","",Notes!CA1132)</f>
        <v/>
      </c>
      <c r="D1136" s="7" t="str">
        <f>IF(Notes!CB1132="","",Notes!CB1132)</f>
        <v/>
      </c>
      <c r="E1136" s="7" t="str">
        <f>IF(Notes!CC1132="","",Notes!CC1132)</f>
        <v/>
      </c>
      <c r="F1136" s="7" t="str">
        <f>IF(Notes!CD1132="","",Notes!CD1132)</f>
        <v/>
      </c>
      <c r="G1136" s="7" t="str">
        <f>IF(Notes!CE1132="","",Notes!CE1132)</f>
        <v/>
      </c>
      <c r="H1136" s="7" t="str">
        <f>IF(Notes!CF1132="","",Notes!CF1132)</f>
        <v/>
      </c>
      <c r="I1136" s="7"/>
      <c r="J1136" s="7"/>
      <c r="K1136" s="7"/>
    </row>
    <row r="1137" spans="1:11" x14ac:dyDescent="0.35">
      <c r="A1137" s="7" t="str">
        <f>IF(Notes!BY1133="","",Notes!BY1133)</f>
        <v/>
      </c>
      <c r="B1137" s="7" t="str">
        <f>IF(Notes!BZ1133="","",Notes!BZ1133)</f>
        <v/>
      </c>
      <c r="C1137" s="7" t="str">
        <f>IF(Notes!CA1133="","",Notes!CA1133)</f>
        <v/>
      </c>
      <c r="D1137" s="7" t="str">
        <f>IF(Notes!CB1133="","",Notes!CB1133)</f>
        <v/>
      </c>
      <c r="E1137" s="7" t="str">
        <f>IF(Notes!CC1133="","",Notes!CC1133)</f>
        <v/>
      </c>
      <c r="F1137" s="7" t="str">
        <f>IF(Notes!CD1133="","",Notes!CD1133)</f>
        <v/>
      </c>
      <c r="G1137" s="7" t="str">
        <f>IF(Notes!CE1133="","",Notes!CE1133)</f>
        <v/>
      </c>
      <c r="H1137" s="7" t="str">
        <f>IF(Notes!CF1133="","",Notes!CF1133)</f>
        <v/>
      </c>
      <c r="I1137" s="7"/>
      <c r="J1137" s="7"/>
      <c r="K1137" s="7"/>
    </row>
    <row r="1138" spans="1:11" x14ac:dyDescent="0.35">
      <c r="A1138" s="7" t="str">
        <f>IF(Notes!BY1134="","",Notes!BY1134)</f>
        <v/>
      </c>
      <c r="B1138" s="7" t="str">
        <f>IF(Notes!BZ1134="","",Notes!BZ1134)</f>
        <v/>
      </c>
      <c r="C1138" s="7" t="str">
        <f>IF(Notes!CA1134="","",Notes!CA1134)</f>
        <v/>
      </c>
      <c r="D1138" s="7" t="str">
        <f>IF(Notes!CB1134="","",Notes!CB1134)</f>
        <v/>
      </c>
      <c r="E1138" s="7" t="str">
        <f>IF(Notes!CC1134="","",Notes!CC1134)</f>
        <v/>
      </c>
      <c r="F1138" s="7" t="str">
        <f>IF(Notes!CD1134="","",Notes!CD1134)</f>
        <v/>
      </c>
      <c r="G1138" s="7" t="str">
        <f>IF(Notes!CE1134="","",Notes!CE1134)</f>
        <v/>
      </c>
      <c r="H1138" s="7" t="str">
        <f>IF(Notes!CF1134="","",Notes!CF1134)</f>
        <v/>
      </c>
      <c r="I1138" s="7"/>
      <c r="J1138" s="7"/>
      <c r="K1138" s="7"/>
    </row>
    <row r="1139" spans="1:11" x14ac:dyDescent="0.35">
      <c r="A1139" s="7" t="str">
        <f>IF(Notes!BY1135="","",Notes!BY1135)</f>
        <v/>
      </c>
      <c r="B1139" s="7" t="str">
        <f>IF(Notes!BZ1135="","",Notes!BZ1135)</f>
        <v/>
      </c>
      <c r="C1139" s="7" t="str">
        <f>IF(Notes!CA1135="","",Notes!CA1135)</f>
        <v/>
      </c>
      <c r="D1139" s="7" t="str">
        <f>IF(Notes!CB1135="","",Notes!CB1135)</f>
        <v/>
      </c>
      <c r="E1139" s="7" t="str">
        <f>IF(Notes!CC1135="","",Notes!CC1135)</f>
        <v/>
      </c>
      <c r="F1139" s="7" t="str">
        <f>IF(Notes!CD1135="","",Notes!CD1135)</f>
        <v/>
      </c>
      <c r="G1139" s="7" t="str">
        <f>IF(Notes!CE1135="","",Notes!CE1135)</f>
        <v/>
      </c>
      <c r="H1139" s="7" t="str">
        <f>IF(Notes!CF1135="","",Notes!CF1135)</f>
        <v/>
      </c>
      <c r="I1139" s="7"/>
      <c r="J1139" s="7"/>
      <c r="K1139" s="7"/>
    </row>
    <row r="1140" spans="1:11" x14ac:dyDescent="0.35">
      <c r="A1140" s="7" t="str">
        <f>IF(Notes!BY1136="","",Notes!BY1136)</f>
        <v/>
      </c>
      <c r="B1140" s="7" t="str">
        <f>IF(Notes!BZ1136="","",Notes!BZ1136)</f>
        <v/>
      </c>
      <c r="C1140" s="7" t="str">
        <f>IF(Notes!CA1136="","",Notes!CA1136)</f>
        <v/>
      </c>
      <c r="D1140" s="7" t="str">
        <f>IF(Notes!CB1136="","",Notes!CB1136)</f>
        <v/>
      </c>
      <c r="E1140" s="7" t="str">
        <f>IF(Notes!CC1136="","",Notes!CC1136)</f>
        <v/>
      </c>
      <c r="F1140" s="7" t="str">
        <f>IF(Notes!CD1136="","",Notes!CD1136)</f>
        <v/>
      </c>
      <c r="G1140" s="7" t="str">
        <f>IF(Notes!CE1136="","",Notes!CE1136)</f>
        <v/>
      </c>
      <c r="H1140" s="7" t="str">
        <f>IF(Notes!CF1136="","",Notes!CF1136)</f>
        <v/>
      </c>
      <c r="I1140" s="7"/>
      <c r="J1140" s="7"/>
      <c r="K1140" s="7"/>
    </row>
    <row r="1141" spans="1:11" x14ac:dyDescent="0.35">
      <c r="A1141" s="7" t="str">
        <f>IF(Notes!BY1137="","",Notes!BY1137)</f>
        <v/>
      </c>
      <c r="B1141" s="7" t="str">
        <f>IF(Notes!BZ1137="","",Notes!BZ1137)</f>
        <v/>
      </c>
      <c r="C1141" s="7" t="str">
        <f>IF(Notes!CA1137="","",Notes!CA1137)</f>
        <v/>
      </c>
      <c r="D1141" s="7" t="str">
        <f>IF(Notes!CB1137="","",Notes!CB1137)</f>
        <v/>
      </c>
      <c r="E1141" s="7" t="str">
        <f>IF(Notes!CC1137="","",Notes!CC1137)</f>
        <v/>
      </c>
      <c r="F1141" s="7" t="str">
        <f>IF(Notes!CD1137="","",Notes!CD1137)</f>
        <v/>
      </c>
      <c r="G1141" s="7" t="str">
        <f>IF(Notes!CE1137="","",Notes!CE1137)</f>
        <v/>
      </c>
      <c r="H1141" s="7" t="str">
        <f>IF(Notes!CF1137="","",Notes!CF1137)</f>
        <v/>
      </c>
      <c r="I1141" s="7"/>
      <c r="J1141" s="7"/>
      <c r="K1141" s="7"/>
    </row>
    <row r="1142" spans="1:11" x14ac:dyDescent="0.35">
      <c r="A1142" s="7" t="str">
        <f>IF(Notes!BY1138="","",Notes!BY1138)</f>
        <v/>
      </c>
      <c r="B1142" s="7" t="str">
        <f>IF(Notes!BZ1138="","",Notes!BZ1138)</f>
        <v/>
      </c>
      <c r="C1142" s="7" t="str">
        <f>IF(Notes!CA1138="","",Notes!CA1138)</f>
        <v/>
      </c>
      <c r="D1142" s="7" t="str">
        <f>IF(Notes!CB1138="","",Notes!CB1138)</f>
        <v/>
      </c>
      <c r="E1142" s="7" t="str">
        <f>IF(Notes!CC1138="","",Notes!CC1138)</f>
        <v/>
      </c>
      <c r="F1142" s="7" t="str">
        <f>IF(Notes!CD1138="","",Notes!CD1138)</f>
        <v/>
      </c>
      <c r="G1142" s="7" t="str">
        <f>IF(Notes!CE1138="","",Notes!CE1138)</f>
        <v/>
      </c>
      <c r="H1142" s="7" t="str">
        <f>IF(Notes!CF1138="","",Notes!CF1138)</f>
        <v/>
      </c>
      <c r="I1142" s="7"/>
      <c r="J1142" s="7"/>
      <c r="K1142" s="7"/>
    </row>
    <row r="1143" spans="1:11" x14ac:dyDescent="0.35">
      <c r="A1143" s="7" t="str">
        <f>IF(Notes!BY1139="","",Notes!BY1139)</f>
        <v/>
      </c>
      <c r="B1143" s="7" t="str">
        <f>IF(Notes!BZ1139="","",Notes!BZ1139)</f>
        <v/>
      </c>
      <c r="C1143" s="7" t="str">
        <f>IF(Notes!CA1139="","",Notes!CA1139)</f>
        <v/>
      </c>
      <c r="D1143" s="7" t="str">
        <f>IF(Notes!CB1139="","",Notes!CB1139)</f>
        <v/>
      </c>
      <c r="E1143" s="7" t="str">
        <f>IF(Notes!CC1139="","",Notes!CC1139)</f>
        <v/>
      </c>
      <c r="F1143" s="7" t="str">
        <f>IF(Notes!CD1139="","",Notes!CD1139)</f>
        <v/>
      </c>
      <c r="G1143" s="7" t="str">
        <f>IF(Notes!CE1139="","",Notes!CE1139)</f>
        <v/>
      </c>
      <c r="H1143" s="7" t="str">
        <f>IF(Notes!CF1139="","",Notes!CF1139)</f>
        <v/>
      </c>
      <c r="I1143" s="7"/>
      <c r="J1143" s="7"/>
      <c r="K1143" s="7"/>
    </row>
    <row r="1144" spans="1:11" x14ac:dyDescent="0.35">
      <c r="A1144" s="7" t="str">
        <f>IF(Notes!BY1140="","",Notes!BY1140)</f>
        <v/>
      </c>
      <c r="B1144" s="7" t="str">
        <f>IF(Notes!BZ1140="","",Notes!BZ1140)</f>
        <v/>
      </c>
      <c r="C1144" s="7" t="str">
        <f>IF(Notes!CA1140="","",Notes!CA1140)</f>
        <v/>
      </c>
      <c r="D1144" s="7" t="str">
        <f>IF(Notes!CB1140="","",Notes!CB1140)</f>
        <v/>
      </c>
      <c r="E1144" s="7" t="str">
        <f>IF(Notes!CC1140="","",Notes!CC1140)</f>
        <v/>
      </c>
      <c r="F1144" s="7" t="str">
        <f>IF(Notes!CD1140="","",Notes!CD1140)</f>
        <v/>
      </c>
      <c r="G1144" s="7" t="str">
        <f>IF(Notes!CE1140="","",Notes!CE1140)</f>
        <v/>
      </c>
      <c r="H1144" s="7" t="str">
        <f>IF(Notes!CF1140="","",Notes!CF1140)</f>
        <v/>
      </c>
      <c r="I1144" s="7"/>
      <c r="J1144" s="7"/>
      <c r="K1144" s="7"/>
    </row>
    <row r="1145" spans="1:11" x14ac:dyDescent="0.35">
      <c r="A1145" s="7" t="str">
        <f>IF(Notes!BY1141="","",Notes!BY1141)</f>
        <v/>
      </c>
      <c r="B1145" s="7" t="str">
        <f>IF(Notes!BZ1141="","",Notes!BZ1141)</f>
        <v/>
      </c>
      <c r="C1145" s="7" t="str">
        <f>IF(Notes!CA1141="","",Notes!CA1141)</f>
        <v/>
      </c>
      <c r="D1145" s="7" t="str">
        <f>IF(Notes!CB1141="","",Notes!CB1141)</f>
        <v/>
      </c>
      <c r="E1145" s="7" t="str">
        <f>IF(Notes!CC1141="","",Notes!CC1141)</f>
        <v/>
      </c>
      <c r="F1145" s="7" t="str">
        <f>IF(Notes!CD1141="","",Notes!CD1141)</f>
        <v/>
      </c>
      <c r="G1145" s="7" t="str">
        <f>IF(Notes!CE1141="","",Notes!CE1141)</f>
        <v/>
      </c>
      <c r="H1145" s="7" t="str">
        <f>IF(Notes!CF1141="","",Notes!CF1141)</f>
        <v/>
      </c>
      <c r="I1145" s="7"/>
      <c r="J1145" s="7"/>
      <c r="K1145" s="7"/>
    </row>
    <row r="1146" spans="1:11" x14ac:dyDescent="0.35">
      <c r="A1146" s="7" t="str">
        <f>IF(Notes!BY1142="","",Notes!BY1142)</f>
        <v/>
      </c>
      <c r="B1146" s="7" t="str">
        <f>IF(Notes!BZ1142="","",Notes!BZ1142)</f>
        <v/>
      </c>
      <c r="C1146" s="7" t="str">
        <f>IF(Notes!CA1142="","",Notes!CA1142)</f>
        <v/>
      </c>
      <c r="D1146" s="7" t="str">
        <f>IF(Notes!CB1142="","",Notes!CB1142)</f>
        <v/>
      </c>
      <c r="E1146" s="7" t="str">
        <f>IF(Notes!CC1142="","",Notes!CC1142)</f>
        <v/>
      </c>
      <c r="F1146" s="7" t="str">
        <f>IF(Notes!CD1142="","",Notes!CD1142)</f>
        <v/>
      </c>
      <c r="G1146" s="7" t="str">
        <f>IF(Notes!CE1142="","",Notes!CE1142)</f>
        <v/>
      </c>
      <c r="H1146" s="7" t="str">
        <f>IF(Notes!CF1142="","",Notes!CF1142)</f>
        <v/>
      </c>
      <c r="I1146" s="7"/>
      <c r="J1146" s="7"/>
      <c r="K1146" s="7"/>
    </row>
    <row r="1147" spans="1:11" x14ac:dyDescent="0.35">
      <c r="A1147" s="7" t="str">
        <f>IF(Notes!BY1143="","",Notes!BY1143)</f>
        <v/>
      </c>
      <c r="B1147" s="7" t="str">
        <f>IF(Notes!BZ1143="","",Notes!BZ1143)</f>
        <v/>
      </c>
      <c r="C1147" s="7" t="str">
        <f>IF(Notes!CA1143="","",Notes!CA1143)</f>
        <v/>
      </c>
      <c r="D1147" s="7" t="str">
        <f>IF(Notes!CB1143="","",Notes!CB1143)</f>
        <v/>
      </c>
      <c r="E1147" s="7" t="str">
        <f>IF(Notes!CC1143="","",Notes!CC1143)</f>
        <v/>
      </c>
      <c r="F1147" s="7" t="str">
        <f>IF(Notes!CD1143="","",Notes!CD1143)</f>
        <v/>
      </c>
      <c r="G1147" s="7" t="str">
        <f>IF(Notes!CE1143="","",Notes!CE1143)</f>
        <v/>
      </c>
      <c r="H1147" s="7" t="str">
        <f>IF(Notes!CF1143="","",Notes!CF1143)</f>
        <v/>
      </c>
      <c r="I1147" s="7"/>
      <c r="J1147" s="7"/>
      <c r="K1147" s="7"/>
    </row>
    <row r="1148" spans="1:11" x14ac:dyDescent="0.35">
      <c r="A1148" s="7" t="str">
        <f>IF(Notes!BY1144="","",Notes!BY1144)</f>
        <v/>
      </c>
      <c r="B1148" s="7" t="str">
        <f>IF(Notes!BZ1144="","",Notes!BZ1144)</f>
        <v/>
      </c>
      <c r="C1148" s="7" t="str">
        <f>IF(Notes!CA1144="","",Notes!CA1144)</f>
        <v/>
      </c>
      <c r="D1148" s="7" t="str">
        <f>IF(Notes!CB1144="","",Notes!CB1144)</f>
        <v/>
      </c>
      <c r="E1148" s="7" t="str">
        <f>IF(Notes!CC1144="","",Notes!CC1144)</f>
        <v/>
      </c>
      <c r="F1148" s="7" t="str">
        <f>IF(Notes!CD1144="","",Notes!CD1144)</f>
        <v/>
      </c>
      <c r="G1148" s="7" t="str">
        <f>IF(Notes!CE1144="","",Notes!CE1144)</f>
        <v/>
      </c>
      <c r="H1148" s="7" t="str">
        <f>IF(Notes!CF1144="","",Notes!CF1144)</f>
        <v/>
      </c>
      <c r="I1148" s="7"/>
      <c r="J1148" s="7"/>
      <c r="K1148" s="7"/>
    </row>
    <row r="1149" spans="1:11" x14ac:dyDescent="0.35">
      <c r="A1149" s="7" t="str">
        <f>IF(Notes!BY1145="","",Notes!BY1145)</f>
        <v/>
      </c>
      <c r="B1149" s="7" t="str">
        <f>IF(Notes!BZ1145="","",Notes!BZ1145)</f>
        <v/>
      </c>
      <c r="C1149" s="7" t="str">
        <f>IF(Notes!CA1145="","",Notes!CA1145)</f>
        <v/>
      </c>
      <c r="D1149" s="7" t="str">
        <f>IF(Notes!CB1145="","",Notes!CB1145)</f>
        <v/>
      </c>
      <c r="E1149" s="7" t="str">
        <f>IF(Notes!CC1145="","",Notes!CC1145)</f>
        <v/>
      </c>
      <c r="F1149" s="7" t="str">
        <f>IF(Notes!CD1145="","",Notes!CD1145)</f>
        <v/>
      </c>
      <c r="G1149" s="7" t="str">
        <f>IF(Notes!CE1145="","",Notes!CE1145)</f>
        <v/>
      </c>
      <c r="H1149" s="7" t="str">
        <f>IF(Notes!CF1145="","",Notes!CF1145)</f>
        <v/>
      </c>
      <c r="I1149" s="7"/>
      <c r="J1149" s="7"/>
      <c r="K1149" s="7"/>
    </row>
    <row r="1150" spans="1:11" x14ac:dyDescent="0.35">
      <c r="A1150" s="7" t="str">
        <f>IF(Notes!BY1146="","",Notes!BY1146)</f>
        <v/>
      </c>
      <c r="B1150" s="7" t="str">
        <f>IF(Notes!BZ1146="","",Notes!BZ1146)</f>
        <v/>
      </c>
      <c r="C1150" s="7" t="str">
        <f>IF(Notes!CA1146="","",Notes!CA1146)</f>
        <v/>
      </c>
      <c r="D1150" s="7" t="str">
        <f>IF(Notes!CB1146="","",Notes!CB1146)</f>
        <v/>
      </c>
      <c r="E1150" s="7" t="str">
        <f>IF(Notes!CC1146="","",Notes!CC1146)</f>
        <v/>
      </c>
      <c r="F1150" s="7" t="str">
        <f>IF(Notes!CD1146="","",Notes!CD1146)</f>
        <v/>
      </c>
      <c r="G1150" s="7" t="str">
        <f>IF(Notes!CE1146="","",Notes!CE1146)</f>
        <v/>
      </c>
      <c r="H1150" s="7" t="str">
        <f>IF(Notes!CF1146="","",Notes!CF1146)</f>
        <v/>
      </c>
      <c r="I1150" s="7"/>
      <c r="J1150" s="7"/>
      <c r="K1150" s="7"/>
    </row>
    <row r="1151" spans="1:11" x14ac:dyDescent="0.35">
      <c r="A1151" s="7" t="str">
        <f>IF(Notes!BY1147="","",Notes!BY1147)</f>
        <v/>
      </c>
      <c r="B1151" s="7" t="str">
        <f>IF(Notes!BZ1147="","",Notes!BZ1147)</f>
        <v/>
      </c>
      <c r="C1151" s="7" t="str">
        <f>IF(Notes!CA1147="","",Notes!CA1147)</f>
        <v/>
      </c>
      <c r="D1151" s="7" t="str">
        <f>IF(Notes!CB1147="","",Notes!CB1147)</f>
        <v/>
      </c>
      <c r="E1151" s="7" t="str">
        <f>IF(Notes!CC1147="","",Notes!CC1147)</f>
        <v/>
      </c>
      <c r="F1151" s="7" t="str">
        <f>IF(Notes!CD1147="","",Notes!CD1147)</f>
        <v/>
      </c>
      <c r="G1151" s="7" t="str">
        <f>IF(Notes!CE1147="","",Notes!CE1147)</f>
        <v/>
      </c>
      <c r="H1151" s="7" t="str">
        <f>IF(Notes!CF1147="","",Notes!CF1147)</f>
        <v/>
      </c>
      <c r="I1151" s="7"/>
      <c r="J1151" s="7"/>
      <c r="K1151" s="7"/>
    </row>
    <row r="1152" spans="1:11" x14ac:dyDescent="0.35">
      <c r="A1152" s="7" t="str">
        <f>IF(Notes!BY1148="","",Notes!BY1148)</f>
        <v/>
      </c>
      <c r="B1152" s="7" t="str">
        <f>IF(Notes!BZ1148="","",Notes!BZ1148)</f>
        <v/>
      </c>
      <c r="C1152" s="7" t="str">
        <f>IF(Notes!CA1148="","",Notes!CA1148)</f>
        <v/>
      </c>
      <c r="D1152" s="7" t="str">
        <f>IF(Notes!CB1148="","",Notes!CB1148)</f>
        <v/>
      </c>
      <c r="E1152" s="7" t="str">
        <f>IF(Notes!CC1148="","",Notes!CC1148)</f>
        <v/>
      </c>
      <c r="F1152" s="7" t="str">
        <f>IF(Notes!CD1148="","",Notes!CD1148)</f>
        <v/>
      </c>
      <c r="G1152" s="7" t="str">
        <f>IF(Notes!CE1148="","",Notes!CE1148)</f>
        <v/>
      </c>
      <c r="H1152" s="7" t="str">
        <f>IF(Notes!CF1148="","",Notes!CF1148)</f>
        <v/>
      </c>
      <c r="I1152" s="7"/>
      <c r="J1152" s="7"/>
      <c r="K1152" s="7"/>
    </row>
    <row r="1153" spans="1:11" x14ac:dyDescent="0.35">
      <c r="A1153" s="7" t="str">
        <f>IF(Notes!BY1149="","",Notes!BY1149)</f>
        <v/>
      </c>
      <c r="B1153" s="7" t="str">
        <f>IF(Notes!BZ1149="","",Notes!BZ1149)</f>
        <v/>
      </c>
      <c r="C1153" s="7" t="str">
        <f>IF(Notes!CA1149="","",Notes!CA1149)</f>
        <v/>
      </c>
      <c r="D1153" s="7" t="str">
        <f>IF(Notes!CB1149="","",Notes!CB1149)</f>
        <v/>
      </c>
      <c r="E1153" s="7" t="str">
        <f>IF(Notes!CC1149="","",Notes!CC1149)</f>
        <v/>
      </c>
      <c r="F1153" s="7" t="str">
        <f>IF(Notes!CD1149="","",Notes!CD1149)</f>
        <v/>
      </c>
      <c r="G1153" s="7" t="str">
        <f>IF(Notes!CE1149="","",Notes!CE1149)</f>
        <v/>
      </c>
      <c r="H1153" s="7" t="str">
        <f>IF(Notes!CF1149="","",Notes!CF1149)</f>
        <v/>
      </c>
      <c r="I1153" s="7"/>
      <c r="J1153" s="7"/>
      <c r="K1153" s="7"/>
    </row>
    <row r="1154" spans="1:11" x14ac:dyDescent="0.35">
      <c r="A1154" s="7" t="str">
        <f>IF(Notes!BY1150="","",Notes!BY1150)</f>
        <v/>
      </c>
      <c r="B1154" s="7" t="str">
        <f>IF(Notes!BZ1150="","",Notes!BZ1150)</f>
        <v/>
      </c>
      <c r="C1154" s="7" t="str">
        <f>IF(Notes!CA1150="","",Notes!CA1150)</f>
        <v/>
      </c>
      <c r="D1154" s="7" t="str">
        <f>IF(Notes!CB1150="","",Notes!CB1150)</f>
        <v/>
      </c>
      <c r="E1154" s="7" t="str">
        <f>IF(Notes!CC1150="","",Notes!CC1150)</f>
        <v/>
      </c>
      <c r="F1154" s="7" t="str">
        <f>IF(Notes!CD1150="","",Notes!CD1150)</f>
        <v/>
      </c>
      <c r="G1154" s="7" t="str">
        <f>IF(Notes!CE1150="","",Notes!CE1150)</f>
        <v/>
      </c>
      <c r="H1154" s="7" t="str">
        <f>IF(Notes!CF1150="","",Notes!CF1150)</f>
        <v/>
      </c>
      <c r="I1154" s="7"/>
      <c r="J1154" s="7"/>
      <c r="K1154" s="7"/>
    </row>
    <row r="1155" spans="1:11" x14ac:dyDescent="0.35">
      <c r="A1155" s="7" t="str">
        <f>IF(Notes!BY1151="","",Notes!BY1151)</f>
        <v/>
      </c>
      <c r="B1155" s="7" t="str">
        <f>IF(Notes!BZ1151="","",Notes!BZ1151)</f>
        <v/>
      </c>
      <c r="C1155" s="7" t="str">
        <f>IF(Notes!CA1151="","",Notes!CA1151)</f>
        <v/>
      </c>
      <c r="D1155" s="7" t="str">
        <f>IF(Notes!CB1151="","",Notes!CB1151)</f>
        <v/>
      </c>
      <c r="E1155" s="7" t="str">
        <f>IF(Notes!CC1151="","",Notes!CC1151)</f>
        <v/>
      </c>
      <c r="F1155" s="7" t="str">
        <f>IF(Notes!CD1151="","",Notes!CD1151)</f>
        <v/>
      </c>
      <c r="G1155" s="7" t="str">
        <f>IF(Notes!CE1151="","",Notes!CE1151)</f>
        <v/>
      </c>
      <c r="H1155" s="7" t="str">
        <f>IF(Notes!CF1151="","",Notes!CF1151)</f>
        <v/>
      </c>
      <c r="I1155" s="7"/>
      <c r="J1155" s="7"/>
      <c r="K1155" s="7"/>
    </row>
    <row r="1156" spans="1:11" x14ac:dyDescent="0.35">
      <c r="A1156" s="7" t="str">
        <f>IF(Notes!BY1152="","",Notes!BY1152)</f>
        <v/>
      </c>
      <c r="B1156" s="7" t="str">
        <f>IF(Notes!BZ1152="","",Notes!BZ1152)</f>
        <v/>
      </c>
      <c r="C1156" s="7" t="str">
        <f>IF(Notes!CA1152="","",Notes!CA1152)</f>
        <v/>
      </c>
      <c r="D1156" s="7" t="str">
        <f>IF(Notes!CB1152="","",Notes!CB1152)</f>
        <v/>
      </c>
      <c r="E1156" s="7" t="str">
        <f>IF(Notes!CC1152="","",Notes!CC1152)</f>
        <v/>
      </c>
      <c r="F1156" s="7" t="str">
        <f>IF(Notes!CD1152="","",Notes!CD1152)</f>
        <v/>
      </c>
      <c r="G1156" s="7" t="str">
        <f>IF(Notes!CE1152="","",Notes!CE1152)</f>
        <v/>
      </c>
      <c r="H1156" s="7" t="str">
        <f>IF(Notes!CF1152="","",Notes!CF1152)</f>
        <v/>
      </c>
      <c r="I1156" s="7"/>
      <c r="J1156" s="7"/>
      <c r="K1156" s="7"/>
    </row>
    <row r="1157" spans="1:11" x14ac:dyDescent="0.35">
      <c r="A1157" s="7" t="str">
        <f>IF(Notes!BY1153="","",Notes!BY1153)</f>
        <v/>
      </c>
      <c r="B1157" s="7" t="str">
        <f>IF(Notes!BZ1153="","",Notes!BZ1153)</f>
        <v/>
      </c>
      <c r="C1157" s="7" t="str">
        <f>IF(Notes!CA1153="","",Notes!CA1153)</f>
        <v/>
      </c>
      <c r="D1157" s="7" t="str">
        <f>IF(Notes!CB1153="","",Notes!CB1153)</f>
        <v/>
      </c>
      <c r="E1157" s="7" t="str">
        <f>IF(Notes!CC1153="","",Notes!CC1153)</f>
        <v/>
      </c>
      <c r="F1157" s="7" t="str">
        <f>IF(Notes!CD1153="","",Notes!CD1153)</f>
        <v/>
      </c>
      <c r="G1157" s="7" t="str">
        <f>IF(Notes!CE1153="","",Notes!CE1153)</f>
        <v/>
      </c>
      <c r="H1157" s="7" t="str">
        <f>IF(Notes!CF1153="","",Notes!CF1153)</f>
        <v/>
      </c>
      <c r="I1157" s="7"/>
      <c r="J1157" s="7"/>
      <c r="K1157" s="7"/>
    </row>
    <row r="1158" spans="1:11" x14ac:dyDescent="0.35">
      <c r="A1158" s="7" t="str">
        <f>IF(Notes!BY1154="","",Notes!BY1154)</f>
        <v/>
      </c>
      <c r="B1158" s="7" t="str">
        <f>IF(Notes!BZ1154="","",Notes!BZ1154)</f>
        <v/>
      </c>
      <c r="C1158" s="7" t="str">
        <f>IF(Notes!CA1154="","",Notes!CA1154)</f>
        <v/>
      </c>
      <c r="D1158" s="7" t="str">
        <f>IF(Notes!CB1154="","",Notes!CB1154)</f>
        <v/>
      </c>
      <c r="E1158" s="7" t="str">
        <f>IF(Notes!CC1154="","",Notes!CC1154)</f>
        <v/>
      </c>
      <c r="F1158" s="7" t="str">
        <f>IF(Notes!CD1154="","",Notes!CD1154)</f>
        <v/>
      </c>
      <c r="G1158" s="7" t="str">
        <f>IF(Notes!CE1154="","",Notes!CE1154)</f>
        <v/>
      </c>
      <c r="H1158" s="7" t="str">
        <f>IF(Notes!CF1154="","",Notes!CF1154)</f>
        <v/>
      </c>
      <c r="I1158" s="7"/>
      <c r="J1158" s="7"/>
      <c r="K1158" s="7"/>
    </row>
    <row r="1159" spans="1:11" x14ac:dyDescent="0.35">
      <c r="A1159" s="7" t="str">
        <f>IF(Notes!BY1155="","",Notes!BY1155)</f>
        <v/>
      </c>
      <c r="B1159" s="7" t="str">
        <f>IF(Notes!BZ1155="","",Notes!BZ1155)</f>
        <v/>
      </c>
      <c r="C1159" s="7" t="str">
        <f>IF(Notes!CA1155="","",Notes!CA1155)</f>
        <v/>
      </c>
      <c r="D1159" s="7" t="str">
        <f>IF(Notes!CB1155="","",Notes!CB1155)</f>
        <v/>
      </c>
      <c r="E1159" s="7" t="str">
        <f>IF(Notes!CC1155="","",Notes!CC1155)</f>
        <v/>
      </c>
      <c r="F1159" s="7" t="str">
        <f>IF(Notes!CD1155="","",Notes!CD1155)</f>
        <v/>
      </c>
      <c r="G1159" s="7" t="str">
        <f>IF(Notes!CE1155="","",Notes!CE1155)</f>
        <v/>
      </c>
      <c r="H1159" s="7" t="str">
        <f>IF(Notes!CF1155="","",Notes!CF1155)</f>
        <v/>
      </c>
      <c r="I1159" s="7"/>
      <c r="J1159" s="7"/>
      <c r="K1159" s="7"/>
    </row>
    <row r="1160" spans="1:11" x14ac:dyDescent="0.35">
      <c r="A1160" s="7" t="str">
        <f>IF(Notes!BY1156="","",Notes!BY1156)</f>
        <v/>
      </c>
      <c r="B1160" s="7" t="str">
        <f>IF(Notes!BZ1156="","",Notes!BZ1156)</f>
        <v/>
      </c>
      <c r="C1160" s="7" t="str">
        <f>IF(Notes!CA1156="","",Notes!CA1156)</f>
        <v/>
      </c>
      <c r="D1160" s="7" t="str">
        <f>IF(Notes!CB1156="","",Notes!CB1156)</f>
        <v/>
      </c>
      <c r="E1160" s="7" t="str">
        <f>IF(Notes!CC1156="","",Notes!CC1156)</f>
        <v/>
      </c>
      <c r="F1160" s="7" t="str">
        <f>IF(Notes!CD1156="","",Notes!CD1156)</f>
        <v/>
      </c>
      <c r="G1160" s="7" t="str">
        <f>IF(Notes!CE1156="","",Notes!CE1156)</f>
        <v/>
      </c>
      <c r="H1160" s="7" t="str">
        <f>IF(Notes!CF1156="","",Notes!CF1156)</f>
        <v/>
      </c>
      <c r="I1160" s="7"/>
      <c r="J1160" s="7"/>
      <c r="K1160" s="7"/>
    </row>
    <row r="1161" spans="1:11" x14ac:dyDescent="0.35">
      <c r="A1161" s="7" t="str">
        <f>IF(Notes!BY1157="","",Notes!BY1157)</f>
        <v/>
      </c>
      <c r="B1161" s="7" t="str">
        <f>IF(Notes!BZ1157="","",Notes!BZ1157)</f>
        <v/>
      </c>
      <c r="C1161" s="7" t="str">
        <f>IF(Notes!CA1157="","",Notes!CA1157)</f>
        <v/>
      </c>
      <c r="D1161" s="7" t="str">
        <f>IF(Notes!CB1157="","",Notes!CB1157)</f>
        <v/>
      </c>
      <c r="E1161" s="7" t="str">
        <f>IF(Notes!CC1157="","",Notes!CC1157)</f>
        <v/>
      </c>
      <c r="F1161" s="7" t="str">
        <f>IF(Notes!CD1157="","",Notes!CD1157)</f>
        <v/>
      </c>
      <c r="G1161" s="7" t="str">
        <f>IF(Notes!CE1157="","",Notes!CE1157)</f>
        <v/>
      </c>
      <c r="H1161" s="7" t="str">
        <f>IF(Notes!CF1157="","",Notes!CF1157)</f>
        <v/>
      </c>
      <c r="I1161" s="7"/>
      <c r="J1161" s="7"/>
      <c r="K1161" s="7"/>
    </row>
    <row r="1162" spans="1:11" x14ac:dyDescent="0.35">
      <c r="A1162" s="7" t="str">
        <f>IF(Notes!BY1158="","",Notes!BY1158)</f>
        <v/>
      </c>
      <c r="B1162" s="7" t="str">
        <f>IF(Notes!BZ1158="","",Notes!BZ1158)</f>
        <v/>
      </c>
      <c r="C1162" s="7" t="str">
        <f>IF(Notes!CA1158="","",Notes!CA1158)</f>
        <v/>
      </c>
      <c r="D1162" s="7" t="str">
        <f>IF(Notes!CB1158="","",Notes!CB1158)</f>
        <v/>
      </c>
      <c r="E1162" s="7" t="str">
        <f>IF(Notes!CC1158="","",Notes!CC1158)</f>
        <v/>
      </c>
      <c r="F1162" s="7" t="str">
        <f>IF(Notes!CD1158="","",Notes!CD1158)</f>
        <v/>
      </c>
      <c r="G1162" s="7" t="str">
        <f>IF(Notes!CE1158="","",Notes!CE1158)</f>
        <v/>
      </c>
      <c r="H1162" s="7" t="str">
        <f>IF(Notes!CF1158="","",Notes!CF1158)</f>
        <v/>
      </c>
      <c r="I1162" s="7"/>
      <c r="J1162" s="7"/>
      <c r="K1162" s="7"/>
    </row>
    <row r="1163" spans="1:11" x14ac:dyDescent="0.35">
      <c r="A1163" s="7" t="str">
        <f>IF(Notes!BY1159="","",Notes!BY1159)</f>
        <v/>
      </c>
      <c r="B1163" s="7" t="str">
        <f>IF(Notes!BZ1159="","",Notes!BZ1159)</f>
        <v/>
      </c>
      <c r="C1163" s="7" t="str">
        <f>IF(Notes!CA1159="","",Notes!CA1159)</f>
        <v/>
      </c>
      <c r="D1163" s="7" t="str">
        <f>IF(Notes!CB1159="","",Notes!CB1159)</f>
        <v/>
      </c>
      <c r="E1163" s="7" t="str">
        <f>IF(Notes!CC1159="","",Notes!CC1159)</f>
        <v/>
      </c>
      <c r="F1163" s="7" t="str">
        <f>IF(Notes!CD1159="","",Notes!CD1159)</f>
        <v/>
      </c>
      <c r="G1163" s="7" t="str">
        <f>IF(Notes!CE1159="","",Notes!CE1159)</f>
        <v/>
      </c>
      <c r="H1163" s="7" t="str">
        <f>IF(Notes!CF1159="","",Notes!CF1159)</f>
        <v/>
      </c>
      <c r="I1163" s="7"/>
      <c r="J1163" s="7"/>
      <c r="K1163" s="7"/>
    </row>
    <row r="1164" spans="1:11" x14ac:dyDescent="0.35">
      <c r="A1164" s="7" t="str">
        <f>IF(Notes!BY1160="","",Notes!BY1160)</f>
        <v/>
      </c>
      <c r="B1164" s="7" t="str">
        <f>IF(Notes!BZ1160="","",Notes!BZ1160)</f>
        <v/>
      </c>
      <c r="C1164" s="7" t="str">
        <f>IF(Notes!CA1160="","",Notes!CA1160)</f>
        <v/>
      </c>
      <c r="D1164" s="7" t="str">
        <f>IF(Notes!CB1160="","",Notes!CB1160)</f>
        <v/>
      </c>
      <c r="E1164" s="7" t="str">
        <f>IF(Notes!CC1160="","",Notes!CC1160)</f>
        <v/>
      </c>
      <c r="F1164" s="7" t="str">
        <f>IF(Notes!CD1160="","",Notes!CD1160)</f>
        <v/>
      </c>
      <c r="G1164" s="7" t="str">
        <f>IF(Notes!CE1160="","",Notes!CE1160)</f>
        <v/>
      </c>
      <c r="H1164" s="7" t="str">
        <f>IF(Notes!CF1160="","",Notes!CF1160)</f>
        <v/>
      </c>
      <c r="I1164" s="7"/>
      <c r="J1164" s="7"/>
      <c r="K1164" s="7"/>
    </row>
    <row r="1165" spans="1:11" x14ac:dyDescent="0.35">
      <c r="A1165" s="7" t="str">
        <f>IF(Notes!BY1161="","",Notes!BY1161)</f>
        <v/>
      </c>
      <c r="B1165" s="7" t="str">
        <f>IF(Notes!BZ1161="","",Notes!BZ1161)</f>
        <v/>
      </c>
      <c r="C1165" s="7" t="str">
        <f>IF(Notes!CA1161="","",Notes!CA1161)</f>
        <v/>
      </c>
      <c r="D1165" s="7" t="str">
        <f>IF(Notes!CB1161="","",Notes!CB1161)</f>
        <v/>
      </c>
      <c r="E1165" s="7" t="str">
        <f>IF(Notes!CC1161="","",Notes!CC1161)</f>
        <v/>
      </c>
      <c r="F1165" s="7" t="str">
        <f>IF(Notes!CD1161="","",Notes!CD1161)</f>
        <v/>
      </c>
      <c r="G1165" s="7" t="str">
        <f>IF(Notes!CE1161="","",Notes!CE1161)</f>
        <v/>
      </c>
      <c r="H1165" s="7" t="str">
        <f>IF(Notes!CF1161="","",Notes!CF1161)</f>
        <v/>
      </c>
      <c r="I1165" s="7"/>
      <c r="J1165" s="7"/>
      <c r="K1165" s="7"/>
    </row>
    <row r="1166" spans="1:11" x14ac:dyDescent="0.35">
      <c r="A1166" s="7" t="str">
        <f>IF(Notes!BY1162="","",Notes!BY1162)</f>
        <v/>
      </c>
      <c r="B1166" s="7" t="str">
        <f>IF(Notes!BZ1162="","",Notes!BZ1162)</f>
        <v/>
      </c>
      <c r="C1166" s="7" t="str">
        <f>IF(Notes!CA1162="","",Notes!CA1162)</f>
        <v/>
      </c>
      <c r="D1166" s="7" t="str">
        <f>IF(Notes!CB1162="","",Notes!CB1162)</f>
        <v/>
      </c>
      <c r="E1166" s="7" t="str">
        <f>IF(Notes!CC1162="","",Notes!CC1162)</f>
        <v/>
      </c>
      <c r="F1166" s="7" t="str">
        <f>IF(Notes!CD1162="","",Notes!CD1162)</f>
        <v/>
      </c>
      <c r="G1166" s="7" t="str">
        <f>IF(Notes!CE1162="","",Notes!CE1162)</f>
        <v/>
      </c>
      <c r="H1166" s="7" t="str">
        <f>IF(Notes!CF1162="","",Notes!CF1162)</f>
        <v/>
      </c>
      <c r="I1166" s="7"/>
      <c r="J1166" s="7"/>
      <c r="K1166" s="7"/>
    </row>
    <row r="1167" spans="1:11" x14ac:dyDescent="0.35">
      <c r="A1167" s="7" t="str">
        <f>IF(Notes!BY1163="","",Notes!BY1163)</f>
        <v/>
      </c>
      <c r="B1167" s="7" t="str">
        <f>IF(Notes!BZ1163="","",Notes!BZ1163)</f>
        <v/>
      </c>
      <c r="C1167" s="7" t="str">
        <f>IF(Notes!CA1163="","",Notes!CA1163)</f>
        <v/>
      </c>
      <c r="D1167" s="7" t="str">
        <f>IF(Notes!CB1163="","",Notes!CB1163)</f>
        <v/>
      </c>
      <c r="E1167" s="7" t="str">
        <f>IF(Notes!CC1163="","",Notes!CC1163)</f>
        <v/>
      </c>
      <c r="F1167" s="7" t="str">
        <f>IF(Notes!CD1163="","",Notes!CD1163)</f>
        <v/>
      </c>
      <c r="G1167" s="7" t="str">
        <f>IF(Notes!CE1163="","",Notes!CE1163)</f>
        <v/>
      </c>
      <c r="H1167" s="7" t="str">
        <f>IF(Notes!CF1163="","",Notes!CF1163)</f>
        <v/>
      </c>
      <c r="I1167" s="7"/>
      <c r="J1167" s="7"/>
      <c r="K1167" s="7"/>
    </row>
    <row r="1168" spans="1:11" x14ac:dyDescent="0.35">
      <c r="A1168" s="7" t="str">
        <f>IF(Notes!BY1164="","",Notes!BY1164)</f>
        <v/>
      </c>
      <c r="B1168" s="7" t="str">
        <f>IF(Notes!BZ1164="","",Notes!BZ1164)</f>
        <v/>
      </c>
      <c r="C1168" s="7" t="str">
        <f>IF(Notes!CA1164="","",Notes!CA1164)</f>
        <v/>
      </c>
      <c r="D1168" s="7" t="str">
        <f>IF(Notes!CB1164="","",Notes!CB1164)</f>
        <v/>
      </c>
      <c r="E1168" s="7" t="str">
        <f>IF(Notes!CC1164="","",Notes!CC1164)</f>
        <v/>
      </c>
      <c r="F1168" s="7" t="str">
        <f>IF(Notes!CD1164="","",Notes!CD1164)</f>
        <v/>
      </c>
      <c r="G1168" s="7" t="str">
        <f>IF(Notes!CE1164="","",Notes!CE1164)</f>
        <v/>
      </c>
      <c r="H1168" s="7" t="str">
        <f>IF(Notes!CF1164="","",Notes!CF1164)</f>
        <v/>
      </c>
      <c r="I1168" s="7"/>
      <c r="J1168" s="7"/>
      <c r="K1168" s="7"/>
    </row>
    <row r="1169" spans="1:11" x14ac:dyDescent="0.35">
      <c r="A1169" s="7" t="str">
        <f>IF(Notes!BY1165="","",Notes!BY1165)</f>
        <v/>
      </c>
      <c r="B1169" s="7" t="str">
        <f>IF(Notes!BZ1165="","",Notes!BZ1165)</f>
        <v/>
      </c>
      <c r="C1169" s="7" t="str">
        <f>IF(Notes!CA1165="","",Notes!CA1165)</f>
        <v/>
      </c>
      <c r="D1169" s="7" t="str">
        <f>IF(Notes!CB1165="","",Notes!CB1165)</f>
        <v/>
      </c>
      <c r="E1169" s="7" t="str">
        <f>IF(Notes!CC1165="","",Notes!CC1165)</f>
        <v/>
      </c>
      <c r="F1169" s="7" t="str">
        <f>IF(Notes!CD1165="","",Notes!CD1165)</f>
        <v/>
      </c>
      <c r="G1169" s="7" t="str">
        <f>IF(Notes!CE1165="","",Notes!CE1165)</f>
        <v/>
      </c>
      <c r="H1169" s="7" t="str">
        <f>IF(Notes!CF1165="","",Notes!CF1165)</f>
        <v/>
      </c>
      <c r="I1169" s="7"/>
      <c r="J1169" s="7"/>
      <c r="K1169" s="7"/>
    </row>
    <row r="1170" spans="1:11" x14ac:dyDescent="0.35">
      <c r="A1170" s="7" t="str">
        <f>IF(Notes!BY1166="","",Notes!BY1166)</f>
        <v/>
      </c>
      <c r="B1170" s="7" t="str">
        <f>IF(Notes!BZ1166="","",Notes!BZ1166)</f>
        <v/>
      </c>
      <c r="C1170" s="7" t="str">
        <f>IF(Notes!CA1166="","",Notes!CA1166)</f>
        <v/>
      </c>
      <c r="D1170" s="7" t="str">
        <f>IF(Notes!CB1166="","",Notes!CB1166)</f>
        <v/>
      </c>
      <c r="E1170" s="7" t="str">
        <f>IF(Notes!CC1166="","",Notes!CC1166)</f>
        <v/>
      </c>
      <c r="F1170" s="7" t="str">
        <f>IF(Notes!CD1166="","",Notes!CD1166)</f>
        <v/>
      </c>
      <c r="G1170" s="7" t="str">
        <f>IF(Notes!CE1166="","",Notes!CE1166)</f>
        <v/>
      </c>
      <c r="H1170" s="7" t="str">
        <f>IF(Notes!CF1166="","",Notes!CF1166)</f>
        <v/>
      </c>
      <c r="I1170" s="7"/>
      <c r="J1170" s="7"/>
      <c r="K1170" s="7"/>
    </row>
    <row r="1171" spans="1:11" x14ac:dyDescent="0.35">
      <c r="A1171" s="7" t="str">
        <f>IF(Notes!BY1167="","",Notes!BY1167)</f>
        <v/>
      </c>
      <c r="B1171" s="7" t="str">
        <f>IF(Notes!BZ1167="","",Notes!BZ1167)</f>
        <v/>
      </c>
      <c r="C1171" s="7" t="str">
        <f>IF(Notes!CA1167="","",Notes!CA1167)</f>
        <v/>
      </c>
      <c r="D1171" s="7" t="str">
        <f>IF(Notes!CB1167="","",Notes!CB1167)</f>
        <v/>
      </c>
      <c r="E1171" s="7" t="str">
        <f>IF(Notes!CC1167="","",Notes!CC1167)</f>
        <v/>
      </c>
      <c r="F1171" s="7" t="str">
        <f>IF(Notes!CD1167="","",Notes!CD1167)</f>
        <v/>
      </c>
      <c r="G1171" s="7" t="str">
        <f>IF(Notes!CE1167="","",Notes!CE1167)</f>
        <v/>
      </c>
      <c r="H1171" s="7" t="str">
        <f>IF(Notes!CF1167="","",Notes!CF1167)</f>
        <v/>
      </c>
      <c r="I1171" s="7"/>
      <c r="J1171" s="7"/>
      <c r="K1171" s="7"/>
    </row>
    <row r="1172" spans="1:11" x14ac:dyDescent="0.35">
      <c r="A1172" s="7" t="str">
        <f>IF(Notes!BY1168="","",Notes!BY1168)</f>
        <v/>
      </c>
      <c r="B1172" s="7" t="str">
        <f>IF(Notes!BZ1168="","",Notes!BZ1168)</f>
        <v/>
      </c>
      <c r="C1172" s="7" t="str">
        <f>IF(Notes!CA1168="","",Notes!CA1168)</f>
        <v/>
      </c>
      <c r="D1172" s="7" t="str">
        <f>IF(Notes!CB1168="","",Notes!CB1168)</f>
        <v/>
      </c>
      <c r="E1172" s="7" t="str">
        <f>IF(Notes!CC1168="","",Notes!CC1168)</f>
        <v/>
      </c>
      <c r="F1172" s="7" t="str">
        <f>IF(Notes!CD1168="","",Notes!CD1168)</f>
        <v/>
      </c>
      <c r="G1172" s="7" t="str">
        <f>IF(Notes!CE1168="","",Notes!CE1168)</f>
        <v/>
      </c>
      <c r="H1172" s="7" t="str">
        <f>IF(Notes!CF1168="","",Notes!CF1168)</f>
        <v/>
      </c>
      <c r="I1172" s="7"/>
      <c r="J1172" s="7"/>
      <c r="K1172" s="7"/>
    </row>
    <row r="1173" spans="1:11" x14ac:dyDescent="0.35">
      <c r="A1173" s="7" t="str">
        <f>IF(Notes!BY1169="","",Notes!BY1169)</f>
        <v/>
      </c>
      <c r="B1173" s="7" t="str">
        <f>IF(Notes!BZ1169="","",Notes!BZ1169)</f>
        <v/>
      </c>
      <c r="C1173" s="7" t="str">
        <f>IF(Notes!CA1169="","",Notes!CA1169)</f>
        <v/>
      </c>
      <c r="D1173" s="7" t="str">
        <f>IF(Notes!CB1169="","",Notes!CB1169)</f>
        <v/>
      </c>
      <c r="E1173" s="7" t="str">
        <f>IF(Notes!CC1169="","",Notes!CC1169)</f>
        <v/>
      </c>
      <c r="F1173" s="7" t="str">
        <f>IF(Notes!CD1169="","",Notes!CD1169)</f>
        <v/>
      </c>
      <c r="G1173" s="7" t="str">
        <f>IF(Notes!CE1169="","",Notes!CE1169)</f>
        <v/>
      </c>
      <c r="H1173" s="7" t="str">
        <f>IF(Notes!CF1169="","",Notes!CF1169)</f>
        <v/>
      </c>
      <c r="I1173" s="7"/>
      <c r="J1173" s="7"/>
      <c r="K1173" s="7"/>
    </row>
    <row r="1174" spans="1:11" x14ac:dyDescent="0.35">
      <c r="A1174" s="7" t="str">
        <f>IF(Notes!BY1170="","",Notes!BY1170)</f>
        <v/>
      </c>
      <c r="B1174" s="7" t="str">
        <f>IF(Notes!BZ1170="","",Notes!BZ1170)</f>
        <v/>
      </c>
      <c r="C1174" s="7" t="str">
        <f>IF(Notes!CA1170="","",Notes!CA1170)</f>
        <v/>
      </c>
      <c r="D1174" s="7" t="str">
        <f>IF(Notes!CB1170="","",Notes!CB1170)</f>
        <v/>
      </c>
      <c r="E1174" s="7" t="str">
        <f>IF(Notes!CC1170="","",Notes!CC1170)</f>
        <v/>
      </c>
      <c r="F1174" s="7" t="str">
        <f>IF(Notes!CD1170="","",Notes!CD1170)</f>
        <v/>
      </c>
      <c r="G1174" s="7" t="str">
        <f>IF(Notes!CE1170="","",Notes!CE1170)</f>
        <v/>
      </c>
      <c r="H1174" s="7" t="str">
        <f>IF(Notes!CF1170="","",Notes!CF1170)</f>
        <v/>
      </c>
      <c r="I1174" s="7"/>
      <c r="J1174" s="7"/>
      <c r="K1174" s="7"/>
    </row>
    <row r="1175" spans="1:11" x14ac:dyDescent="0.35">
      <c r="A1175" s="7" t="str">
        <f>IF(Notes!BY1171="","",Notes!BY1171)</f>
        <v/>
      </c>
      <c r="B1175" s="7" t="str">
        <f>IF(Notes!BZ1171="","",Notes!BZ1171)</f>
        <v/>
      </c>
      <c r="C1175" s="7" t="str">
        <f>IF(Notes!CA1171="","",Notes!CA1171)</f>
        <v/>
      </c>
      <c r="D1175" s="7" t="str">
        <f>IF(Notes!CB1171="","",Notes!CB1171)</f>
        <v/>
      </c>
      <c r="E1175" s="7" t="str">
        <f>IF(Notes!CC1171="","",Notes!CC1171)</f>
        <v/>
      </c>
      <c r="F1175" s="7" t="str">
        <f>IF(Notes!CD1171="","",Notes!CD1171)</f>
        <v/>
      </c>
      <c r="G1175" s="7" t="str">
        <f>IF(Notes!CE1171="","",Notes!CE1171)</f>
        <v/>
      </c>
      <c r="H1175" s="7" t="str">
        <f>IF(Notes!CF1171="","",Notes!CF1171)</f>
        <v/>
      </c>
      <c r="I1175" s="7"/>
      <c r="J1175" s="7"/>
      <c r="K1175" s="7"/>
    </row>
    <row r="1176" spans="1:11" x14ac:dyDescent="0.35">
      <c r="A1176" s="7" t="str">
        <f>IF(Notes!BY1172="","",Notes!BY1172)</f>
        <v/>
      </c>
      <c r="B1176" s="7" t="str">
        <f>IF(Notes!BZ1172="","",Notes!BZ1172)</f>
        <v/>
      </c>
      <c r="C1176" s="7" t="str">
        <f>IF(Notes!CA1172="","",Notes!CA1172)</f>
        <v/>
      </c>
      <c r="D1176" s="7" t="str">
        <f>IF(Notes!CB1172="","",Notes!CB1172)</f>
        <v/>
      </c>
      <c r="E1176" s="7" t="str">
        <f>IF(Notes!CC1172="","",Notes!CC1172)</f>
        <v/>
      </c>
      <c r="F1176" s="7" t="str">
        <f>IF(Notes!CD1172="","",Notes!CD1172)</f>
        <v/>
      </c>
      <c r="G1176" s="7" t="str">
        <f>IF(Notes!CE1172="","",Notes!CE1172)</f>
        <v/>
      </c>
      <c r="H1176" s="7" t="str">
        <f>IF(Notes!CF1172="","",Notes!CF1172)</f>
        <v/>
      </c>
      <c r="I1176" s="7"/>
      <c r="J1176" s="7"/>
      <c r="K1176" s="7"/>
    </row>
    <row r="1177" spans="1:11" x14ac:dyDescent="0.35">
      <c r="A1177" s="7" t="str">
        <f>IF(Notes!BY1173="","",Notes!BY1173)</f>
        <v/>
      </c>
      <c r="B1177" s="7" t="str">
        <f>IF(Notes!BZ1173="","",Notes!BZ1173)</f>
        <v/>
      </c>
      <c r="C1177" s="7" t="str">
        <f>IF(Notes!CA1173="","",Notes!CA1173)</f>
        <v/>
      </c>
      <c r="D1177" s="7" t="str">
        <f>IF(Notes!CB1173="","",Notes!CB1173)</f>
        <v/>
      </c>
      <c r="E1177" s="7" t="str">
        <f>IF(Notes!CC1173="","",Notes!CC1173)</f>
        <v/>
      </c>
      <c r="F1177" s="7" t="str">
        <f>IF(Notes!CD1173="","",Notes!CD1173)</f>
        <v/>
      </c>
      <c r="G1177" s="7" t="str">
        <f>IF(Notes!CE1173="","",Notes!CE1173)</f>
        <v/>
      </c>
      <c r="H1177" s="7" t="str">
        <f>IF(Notes!CF1173="","",Notes!CF1173)</f>
        <v/>
      </c>
      <c r="I1177" s="7"/>
      <c r="J1177" s="7"/>
      <c r="K1177" s="7"/>
    </row>
    <row r="1178" spans="1:11" x14ac:dyDescent="0.35">
      <c r="A1178" s="7" t="str">
        <f>IF(Notes!BY1174="","",Notes!BY1174)</f>
        <v/>
      </c>
      <c r="B1178" s="7" t="str">
        <f>IF(Notes!BZ1174="","",Notes!BZ1174)</f>
        <v/>
      </c>
      <c r="C1178" s="7" t="str">
        <f>IF(Notes!CA1174="","",Notes!CA1174)</f>
        <v/>
      </c>
      <c r="D1178" s="7" t="str">
        <f>IF(Notes!CB1174="","",Notes!CB1174)</f>
        <v/>
      </c>
      <c r="E1178" s="7" t="str">
        <f>IF(Notes!CC1174="","",Notes!CC1174)</f>
        <v/>
      </c>
      <c r="F1178" s="7" t="str">
        <f>IF(Notes!CD1174="","",Notes!CD1174)</f>
        <v/>
      </c>
      <c r="G1178" s="7" t="str">
        <f>IF(Notes!CE1174="","",Notes!CE1174)</f>
        <v/>
      </c>
      <c r="H1178" s="7" t="str">
        <f>IF(Notes!CF1174="","",Notes!CF1174)</f>
        <v/>
      </c>
      <c r="I1178" s="7"/>
      <c r="J1178" s="7"/>
      <c r="K1178" s="7"/>
    </row>
    <row r="1179" spans="1:11" x14ac:dyDescent="0.35">
      <c r="A1179" s="7" t="str">
        <f>IF(Notes!BY1175="","",Notes!BY1175)</f>
        <v/>
      </c>
      <c r="B1179" s="7" t="str">
        <f>IF(Notes!BZ1175="","",Notes!BZ1175)</f>
        <v/>
      </c>
      <c r="C1179" s="7" t="str">
        <f>IF(Notes!CA1175="","",Notes!CA1175)</f>
        <v/>
      </c>
      <c r="D1179" s="7" t="str">
        <f>IF(Notes!CB1175="","",Notes!CB1175)</f>
        <v/>
      </c>
      <c r="E1179" s="7" t="str">
        <f>IF(Notes!CC1175="","",Notes!CC1175)</f>
        <v/>
      </c>
      <c r="F1179" s="7" t="str">
        <f>IF(Notes!CD1175="","",Notes!CD1175)</f>
        <v/>
      </c>
      <c r="G1179" s="7" t="str">
        <f>IF(Notes!CE1175="","",Notes!CE1175)</f>
        <v/>
      </c>
      <c r="H1179" s="7" t="str">
        <f>IF(Notes!CF1175="","",Notes!CF1175)</f>
        <v/>
      </c>
      <c r="I1179" s="7"/>
      <c r="J1179" s="7"/>
      <c r="K1179" s="7"/>
    </row>
    <row r="1180" spans="1:11" x14ac:dyDescent="0.35">
      <c r="A1180" s="7" t="str">
        <f>IF(Notes!BY1176="","",Notes!BY1176)</f>
        <v/>
      </c>
      <c r="B1180" s="7" t="str">
        <f>IF(Notes!BZ1176="","",Notes!BZ1176)</f>
        <v/>
      </c>
      <c r="C1180" s="7" t="str">
        <f>IF(Notes!CA1176="","",Notes!CA1176)</f>
        <v/>
      </c>
      <c r="D1180" s="7" t="str">
        <f>IF(Notes!CB1176="","",Notes!CB1176)</f>
        <v/>
      </c>
      <c r="E1180" s="7" t="str">
        <f>IF(Notes!CC1176="","",Notes!CC1176)</f>
        <v/>
      </c>
      <c r="F1180" s="7" t="str">
        <f>IF(Notes!CD1176="","",Notes!CD1176)</f>
        <v/>
      </c>
      <c r="G1180" s="7" t="str">
        <f>IF(Notes!CE1176="","",Notes!CE1176)</f>
        <v/>
      </c>
      <c r="H1180" s="7" t="str">
        <f>IF(Notes!CF1176="","",Notes!CF1176)</f>
        <v/>
      </c>
      <c r="I1180" s="7"/>
      <c r="J1180" s="7"/>
      <c r="K1180" s="7"/>
    </row>
    <row r="1181" spans="1:11" x14ac:dyDescent="0.35">
      <c r="A1181" s="7" t="str">
        <f>IF(Notes!BY1177="","",Notes!BY1177)</f>
        <v/>
      </c>
      <c r="B1181" s="7" t="str">
        <f>IF(Notes!BZ1177="","",Notes!BZ1177)</f>
        <v/>
      </c>
      <c r="C1181" s="7" t="str">
        <f>IF(Notes!CA1177="","",Notes!CA1177)</f>
        <v/>
      </c>
      <c r="D1181" s="7" t="str">
        <f>IF(Notes!CB1177="","",Notes!CB1177)</f>
        <v/>
      </c>
      <c r="E1181" s="7" t="str">
        <f>IF(Notes!CC1177="","",Notes!CC1177)</f>
        <v/>
      </c>
      <c r="F1181" s="7" t="str">
        <f>IF(Notes!CD1177="","",Notes!CD1177)</f>
        <v/>
      </c>
      <c r="G1181" s="7" t="str">
        <f>IF(Notes!CE1177="","",Notes!CE1177)</f>
        <v/>
      </c>
      <c r="H1181" s="7" t="str">
        <f>IF(Notes!CF1177="","",Notes!CF1177)</f>
        <v/>
      </c>
      <c r="I1181" s="7"/>
      <c r="J1181" s="7"/>
      <c r="K1181" s="7"/>
    </row>
    <row r="1182" spans="1:11" x14ac:dyDescent="0.35">
      <c r="A1182" s="7" t="str">
        <f>IF(Notes!BY1178="","",Notes!BY1178)</f>
        <v/>
      </c>
      <c r="B1182" s="7" t="str">
        <f>IF(Notes!BZ1178="","",Notes!BZ1178)</f>
        <v/>
      </c>
      <c r="C1182" s="7" t="str">
        <f>IF(Notes!CA1178="","",Notes!CA1178)</f>
        <v/>
      </c>
      <c r="D1182" s="7" t="str">
        <f>IF(Notes!CB1178="","",Notes!CB1178)</f>
        <v/>
      </c>
      <c r="E1182" s="7" t="str">
        <f>IF(Notes!CC1178="","",Notes!CC1178)</f>
        <v/>
      </c>
      <c r="F1182" s="7" t="str">
        <f>IF(Notes!CD1178="","",Notes!CD1178)</f>
        <v/>
      </c>
      <c r="G1182" s="7" t="str">
        <f>IF(Notes!CE1178="","",Notes!CE1178)</f>
        <v/>
      </c>
      <c r="H1182" s="7" t="str">
        <f>IF(Notes!CF1178="","",Notes!CF1178)</f>
        <v/>
      </c>
      <c r="I1182" s="7"/>
      <c r="J1182" s="7"/>
      <c r="K1182" s="7"/>
    </row>
    <row r="1183" spans="1:11" x14ac:dyDescent="0.35">
      <c r="A1183" s="7" t="str">
        <f>IF(Notes!BY1179="","",Notes!BY1179)</f>
        <v/>
      </c>
      <c r="B1183" s="7" t="str">
        <f>IF(Notes!BZ1179="","",Notes!BZ1179)</f>
        <v/>
      </c>
      <c r="C1183" s="7" t="str">
        <f>IF(Notes!CA1179="","",Notes!CA1179)</f>
        <v/>
      </c>
      <c r="D1183" s="7" t="str">
        <f>IF(Notes!CB1179="","",Notes!CB1179)</f>
        <v/>
      </c>
      <c r="E1183" s="7" t="str">
        <f>IF(Notes!CC1179="","",Notes!CC1179)</f>
        <v/>
      </c>
      <c r="F1183" s="7" t="str">
        <f>IF(Notes!CD1179="","",Notes!CD1179)</f>
        <v/>
      </c>
      <c r="G1183" s="7" t="str">
        <f>IF(Notes!CE1179="","",Notes!CE1179)</f>
        <v/>
      </c>
      <c r="H1183" s="7" t="str">
        <f>IF(Notes!CF1179="","",Notes!CF1179)</f>
        <v/>
      </c>
      <c r="I1183" s="7"/>
      <c r="J1183" s="7"/>
      <c r="K1183" s="7"/>
    </row>
    <row r="1184" spans="1:11" x14ac:dyDescent="0.35">
      <c r="A1184" s="7" t="str">
        <f>IF(Notes!BY1180="","",Notes!BY1180)</f>
        <v/>
      </c>
      <c r="B1184" s="7" t="str">
        <f>IF(Notes!BZ1180="","",Notes!BZ1180)</f>
        <v/>
      </c>
      <c r="C1184" s="7" t="str">
        <f>IF(Notes!CA1180="","",Notes!CA1180)</f>
        <v/>
      </c>
      <c r="D1184" s="7" t="str">
        <f>IF(Notes!CB1180="","",Notes!CB1180)</f>
        <v/>
      </c>
      <c r="E1184" s="7" t="str">
        <f>IF(Notes!CC1180="","",Notes!CC1180)</f>
        <v/>
      </c>
      <c r="F1184" s="7" t="str">
        <f>IF(Notes!CD1180="","",Notes!CD1180)</f>
        <v/>
      </c>
      <c r="G1184" s="7" t="str">
        <f>IF(Notes!CE1180="","",Notes!CE1180)</f>
        <v/>
      </c>
      <c r="H1184" s="7" t="str">
        <f>IF(Notes!CF1180="","",Notes!CF1180)</f>
        <v/>
      </c>
      <c r="I1184" s="7"/>
      <c r="J1184" s="7"/>
      <c r="K1184" s="7"/>
    </row>
    <row r="1185" spans="1:11" x14ac:dyDescent="0.35">
      <c r="A1185" s="7" t="str">
        <f>IF(Notes!BY1181="","",Notes!BY1181)</f>
        <v/>
      </c>
      <c r="B1185" s="7" t="str">
        <f>IF(Notes!BZ1181="","",Notes!BZ1181)</f>
        <v/>
      </c>
      <c r="C1185" s="7" t="str">
        <f>IF(Notes!CA1181="","",Notes!CA1181)</f>
        <v/>
      </c>
      <c r="D1185" s="7" t="str">
        <f>IF(Notes!CB1181="","",Notes!CB1181)</f>
        <v/>
      </c>
      <c r="E1185" s="7" t="str">
        <f>IF(Notes!CC1181="","",Notes!CC1181)</f>
        <v/>
      </c>
      <c r="F1185" s="7" t="str">
        <f>IF(Notes!CD1181="","",Notes!CD1181)</f>
        <v/>
      </c>
      <c r="G1185" s="7" t="str">
        <f>IF(Notes!CE1181="","",Notes!CE1181)</f>
        <v/>
      </c>
      <c r="H1185" s="7" t="str">
        <f>IF(Notes!CF1181="","",Notes!CF1181)</f>
        <v/>
      </c>
      <c r="I1185" s="7"/>
      <c r="J1185" s="7"/>
      <c r="K1185" s="7"/>
    </row>
    <row r="1186" spans="1:11" x14ac:dyDescent="0.35">
      <c r="A1186" s="7" t="str">
        <f>IF(Notes!BY1182="","",Notes!BY1182)</f>
        <v/>
      </c>
      <c r="B1186" s="7" t="str">
        <f>IF(Notes!BZ1182="","",Notes!BZ1182)</f>
        <v/>
      </c>
      <c r="C1186" s="7" t="str">
        <f>IF(Notes!CA1182="","",Notes!CA1182)</f>
        <v/>
      </c>
      <c r="D1186" s="7" t="str">
        <f>IF(Notes!CB1182="","",Notes!CB1182)</f>
        <v/>
      </c>
      <c r="E1186" s="7" t="str">
        <f>IF(Notes!CC1182="","",Notes!CC1182)</f>
        <v/>
      </c>
      <c r="F1186" s="7" t="str">
        <f>IF(Notes!CD1182="","",Notes!CD1182)</f>
        <v/>
      </c>
      <c r="G1186" s="7" t="str">
        <f>IF(Notes!CE1182="","",Notes!CE1182)</f>
        <v/>
      </c>
      <c r="H1186" s="7" t="str">
        <f>IF(Notes!CF1182="","",Notes!CF1182)</f>
        <v/>
      </c>
      <c r="I1186" s="7"/>
      <c r="J1186" s="7"/>
      <c r="K1186" s="7"/>
    </row>
    <row r="1187" spans="1:11" x14ac:dyDescent="0.35">
      <c r="A1187" s="7" t="str">
        <f>IF(Notes!BY1183="","",Notes!BY1183)</f>
        <v/>
      </c>
      <c r="B1187" s="7" t="str">
        <f>IF(Notes!BZ1183="","",Notes!BZ1183)</f>
        <v/>
      </c>
      <c r="C1187" s="7" t="str">
        <f>IF(Notes!CA1183="","",Notes!CA1183)</f>
        <v/>
      </c>
      <c r="D1187" s="7" t="str">
        <f>IF(Notes!CB1183="","",Notes!CB1183)</f>
        <v/>
      </c>
      <c r="E1187" s="7" t="str">
        <f>IF(Notes!CC1183="","",Notes!CC1183)</f>
        <v/>
      </c>
      <c r="F1187" s="7" t="str">
        <f>IF(Notes!CD1183="","",Notes!CD1183)</f>
        <v/>
      </c>
      <c r="G1187" s="7" t="str">
        <f>IF(Notes!CE1183="","",Notes!CE1183)</f>
        <v/>
      </c>
      <c r="H1187" s="7" t="str">
        <f>IF(Notes!CF1183="","",Notes!CF1183)</f>
        <v/>
      </c>
      <c r="I1187" s="7"/>
      <c r="J1187" s="7"/>
      <c r="K1187" s="7"/>
    </row>
    <row r="1188" spans="1:11" x14ac:dyDescent="0.35">
      <c r="A1188" s="7" t="str">
        <f>IF(Notes!BY1184="","",Notes!BY1184)</f>
        <v/>
      </c>
      <c r="B1188" s="7" t="str">
        <f>IF(Notes!BZ1184="","",Notes!BZ1184)</f>
        <v/>
      </c>
      <c r="C1188" s="7" t="str">
        <f>IF(Notes!CA1184="","",Notes!CA1184)</f>
        <v/>
      </c>
      <c r="D1188" s="7" t="str">
        <f>IF(Notes!CB1184="","",Notes!CB1184)</f>
        <v/>
      </c>
      <c r="E1188" s="7" t="str">
        <f>IF(Notes!CC1184="","",Notes!CC1184)</f>
        <v/>
      </c>
      <c r="F1188" s="7" t="str">
        <f>IF(Notes!CD1184="","",Notes!CD1184)</f>
        <v/>
      </c>
      <c r="G1188" s="7" t="str">
        <f>IF(Notes!CE1184="","",Notes!CE1184)</f>
        <v/>
      </c>
      <c r="H1188" s="7" t="str">
        <f>IF(Notes!CF1184="","",Notes!CF1184)</f>
        <v/>
      </c>
      <c r="I1188" s="7"/>
      <c r="J1188" s="7"/>
      <c r="K1188" s="7"/>
    </row>
    <row r="1189" spans="1:11" x14ac:dyDescent="0.35">
      <c r="A1189" s="7" t="str">
        <f>IF(Notes!BY1185="","",Notes!BY1185)</f>
        <v/>
      </c>
      <c r="B1189" s="7" t="str">
        <f>IF(Notes!BZ1185="","",Notes!BZ1185)</f>
        <v/>
      </c>
      <c r="C1189" s="7" t="str">
        <f>IF(Notes!CA1185="","",Notes!CA1185)</f>
        <v/>
      </c>
      <c r="D1189" s="7" t="str">
        <f>IF(Notes!CB1185="","",Notes!CB1185)</f>
        <v/>
      </c>
      <c r="E1189" s="7" t="str">
        <f>IF(Notes!CC1185="","",Notes!CC1185)</f>
        <v/>
      </c>
      <c r="F1189" s="7" t="str">
        <f>IF(Notes!CD1185="","",Notes!CD1185)</f>
        <v/>
      </c>
      <c r="G1189" s="7" t="str">
        <f>IF(Notes!CE1185="","",Notes!CE1185)</f>
        <v/>
      </c>
      <c r="H1189" s="7" t="str">
        <f>IF(Notes!CF1185="","",Notes!CF1185)</f>
        <v/>
      </c>
      <c r="I1189" s="7"/>
      <c r="J1189" s="7"/>
      <c r="K1189" s="7"/>
    </row>
    <row r="1190" spans="1:11" x14ac:dyDescent="0.35">
      <c r="A1190" s="7" t="str">
        <f>IF(Notes!BY1186="","",Notes!BY1186)</f>
        <v/>
      </c>
      <c r="B1190" s="7" t="str">
        <f>IF(Notes!BZ1186="","",Notes!BZ1186)</f>
        <v/>
      </c>
      <c r="C1190" s="7" t="str">
        <f>IF(Notes!CA1186="","",Notes!CA1186)</f>
        <v/>
      </c>
      <c r="D1190" s="7" t="str">
        <f>IF(Notes!CB1186="","",Notes!CB1186)</f>
        <v/>
      </c>
      <c r="E1190" s="7" t="str">
        <f>IF(Notes!CC1186="","",Notes!CC1186)</f>
        <v/>
      </c>
      <c r="F1190" s="7" t="str">
        <f>IF(Notes!CD1186="","",Notes!CD1186)</f>
        <v/>
      </c>
      <c r="G1190" s="7" t="str">
        <f>IF(Notes!CE1186="","",Notes!CE1186)</f>
        <v/>
      </c>
      <c r="H1190" s="7" t="str">
        <f>IF(Notes!CF1186="","",Notes!CF1186)</f>
        <v/>
      </c>
      <c r="I1190" s="7"/>
      <c r="J1190" s="7"/>
      <c r="K1190" s="7"/>
    </row>
    <row r="1191" spans="1:11" x14ac:dyDescent="0.35">
      <c r="A1191" s="7" t="str">
        <f>IF(Notes!BY1187="","",Notes!BY1187)</f>
        <v/>
      </c>
      <c r="B1191" s="7" t="str">
        <f>IF(Notes!BZ1187="","",Notes!BZ1187)</f>
        <v/>
      </c>
      <c r="C1191" s="7" t="str">
        <f>IF(Notes!CA1187="","",Notes!CA1187)</f>
        <v/>
      </c>
      <c r="D1191" s="7" t="str">
        <f>IF(Notes!CB1187="","",Notes!CB1187)</f>
        <v/>
      </c>
      <c r="E1191" s="7" t="str">
        <f>IF(Notes!CC1187="","",Notes!CC1187)</f>
        <v/>
      </c>
      <c r="F1191" s="7" t="str">
        <f>IF(Notes!CD1187="","",Notes!CD1187)</f>
        <v/>
      </c>
      <c r="G1191" s="7" t="str">
        <f>IF(Notes!CE1187="","",Notes!CE1187)</f>
        <v/>
      </c>
      <c r="H1191" s="7" t="str">
        <f>IF(Notes!CF1187="","",Notes!CF1187)</f>
        <v/>
      </c>
      <c r="I1191" s="7"/>
      <c r="J1191" s="7"/>
      <c r="K1191" s="7"/>
    </row>
    <row r="1192" spans="1:11" x14ac:dyDescent="0.35">
      <c r="A1192" s="7" t="str">
        <f>IF(Notes!BY1188="","",Notes!BY1188)</f>
        <v/>
      </c>
      <c r="B1192" s="7" t="str">
        <f>IF(Notes!BZ1188="","",Notes!BZ1188)</f>
        <v/>
      </c>
      <c r="C1192" s="7" t="str">
        <f>IF(Notes!CA1188="","",Notes!CA1188)</f>
        <v/>
      </c>
      <c r="D1192" s="7" t="str">
        <f>IF(Notes!CB1188="","",Notes!CB1188)</f>
        <v/>
      </c>
      <c r="E1192" s="7" t="str">
        <f>IF(Notes!CC1188="","",Notes!CC1188)</f>
        <v/>
      </c>
      <c r="F1192" s="7" t="str">
        <f>IF(Notes!CD1188="","",Notes!CD1188)</f>
        <v/>
      </c>
      <c r="G1192" s="7" t="str">
        <f>IF(Notes!CE1188="","",Notes!CE1188)</f>
        <v/>
      </c>
      <c r="H1192" s="7" t="str">
        <f>IF(Notes!CF1188="","",Notes!CF1188)</f>
        <v/>
      </c>
      <c r="I1192" s="7"/>
      <c r="J1192" s="7"/>
      <c r="K1192" s="7"/>
    </row>
    <row r="1193" spans="1:11" x14ac:dyDescent="0.35">
      <c r="A1193" s="7" t="str">
        <f>IF(Notes!BY1189="","",Notes!BY1189)</f>
        <v/>
      </c>
      <c r="B1193" s="7" t="str">
        <f>IF(Notes!BZ1189="","",Notes!BZ1189)</f>
        <v/>
      </c>
      <c r="C1193" s="7" t="str">
        <f>IF(Notes!CA1189="","",Notes!CA1189)</f>
        <v/>
      </c>
      <c r="D1193" s="7" t="str">
        <f>IF(Notes!CB1189="","",Notes!CB1189)</f>
        <v/>
      </c>
      <c r="E1193" s="7" t="str">
        <f>IF(Notes!CC1189="","",Notes!CC1189)</f>
        <v/>
      </c>
      <c r="F1193" s="7" t="str">
        <f>IF(Notes!CD1189="","",Notes!CD1189)</f>
        <v/>
      </c>
      <c r="G1193" s="7" t="str">
        <f>IF(Notes!CE1189="","",Notes!CE1189)</f>
        <v/>
      </c>
      <c r="H1193" s="7" t="str">
        <f>IF(Notes!CF1189="","",Notes!CF1189)</f>
        <v/>
      </c>
      <c r="I1193" s="7"/>
      <c r="J1193" s="7"/>
      <c r="K1193" s="7"/>
    </row>
    <row r="1194" spans="1:11" x14ac:dyDescent="0.35">
      <c r="A1194" s="7" t="str">
        <f>IF(Notes!BY1190="","",Notes!BY1190)</f>
        <v/>
      </c>
      <c r="B1194" s="7" t="str">
        <f>IF(Notes!BZ1190="","",Notes!BZ1190)</f>
        <v/>
      </c>
      <c r="C1194" s="7" t="str">
        <f>IF(Notes!CA1190="","",Notes!CA1190)</f>
        <v/>
      </c>
      <c r="D1194" s="7" t="str">
        <f>IF(Notes!CB1190="","",Notes!CB1190)</f>
        <v/>
      </c>
      <c r="E1194" s="7" t="str">
        <f>IF(Notes!CC1190="","",Notes!CC1190)</f>
        <v/>
      </c>
      <c r="F1194" s="7" t="str">
        <f>IF(Notes!CD1190="","",Notes!CD1190)</f>
        <v/>
      </c>
      <c r="G1194" s="7" t="str">
        <f>IF(Notes!CE1190="","",Notes!CE1190)</f>
        <v/>
      </c>
      <c r="H1194" s="7" t="str">
        <f>IF(Notes!CF1190="","",Notes!CF1190)</f>
        <v/>
      </c>
      <c r="I1194" s="7"/>
      <c r="J1194" s="7"/>
      <c r="K1194" s="7"/>
    </row>
    <row r="1195" spans="1:11" x14ac:dyDescent="0.35">
      <c r="A1195" s="7" t="str">
        <f>IF(Notes!BY1191="","",Notes!BY1191)</f>
        <v/>
      </c>
      <c r="B1195" s="7" t="str">
        <f>IF(Notes!BZ1191="","",Notes!BZ1191)</f>
        <v/>
      </c>
      <c r="C1195" s="7" t="str">
        <f>IF(Notes!CA1191="","",Notes!CA1191)</f>
        <v/>
      </c>
      <c r="D1195" s="7" t="str">
        <f>IF(Notes!CB1191="","",Notes!CB1191)</f>
        <v/>
      </c>
      <c r="E1195" s="7" t="str">
        <f>IF(Notes!CC1191="","",Notes!CC1191)</f>
        <v/>
      </c>
      <c r="F1195" s="7" t="str">
        <f>IF(Notes!CD1191="","",Notes!CD1191)</f>
        <v/>
      </c>
      <c r="G1195" s="7" t="str">
        <f>IF(Notes!CE1191="","",Notes!CE1191)</f>
        <v/>
      </c>
      <c r="H1195" s="7" t="str">
        <f>IF(Notes!CF1191="","",Notes!CF1191)</f>
        <v/>
      </c>
      <c r="I1195" s="7"/>
      <c r="J1195" s="7"/>
      <c r="K1195" s="7"/>
    </row>
    <row r="1196" spans="1:11" x14ac:dyDescent="0.35">
      <c r="A1196" s="7" t="str">
        <f>IF(Notes!BY1192="","",Notes!BY1192)</f>
        <v/>
      </c>
      <c r="B1196" s="7" t="str">
        <f>IF(Notes!BZ1192="","",Notes!BZ1192)</f>
        <v/>
      </c>
      <c r="C1196" s="7" t="str">
        <f>IF(Notes!CA1192="","",Notes!CA1192)</f>
        <v/>
      </c>
      <c r="D1196" s="7" t="str">
        <f>IF(Notes!CB1192="","",Notes!CB1192)</f>
        <v/>
      </c>
      <c r="E1196" s="7" t="str">
        <f>IF(Notes!CC1192="","",Notes!CC1192)</f>
        <v/>
      </c>
      <c r="F1196" s="7" t="str">
        <f>IF(Notes!CD1192="","",Notes!CD1192)</f>
        <v/>
      </c>
      <c r="G1196" s="7" t="str">
        <f>IF(Notes!CE1192="","",Notes!CE1192)</f>
        <v/>
      </c>
      <c r="H1196" s="7" t="str">
        <f>IF(Notes!CF1192="","",Notes!CF1192)</f>
        <v/>
      </c>
      <c r="I1196" s="7"/>
      <c r="J1196" s="7"/>
      <c r="K1196" s="7"/>
    </row>
    <row r="1197" spans="1:11" x14ac:dyDescent="0.35">
      <c r="A1197" s="7" t="str">
        <f>IF(Notes!BY1193="","",Notes!BY1193)</f>
        <v/>
      </c>
      <c r="B1197" s="7" t="str">
        <f>IF(Notes!BZ1193="","",Notes!BZ1193)</f>
        <v/>
      </c>
      <c r="C1197" s="7" t="str">
        <f>IF(Notes!CA1193="","",Notes!CA1193)</f>
        <v/>
      </c>
      <c r="D1197" s="7" t="str">
        <f>IF(Notes!CB1193="","",Notes!CB1193)</f>
        <v/>
      </c>
      <c r="E1197" s="7" t="str">
        <f>IF(Notes!CC1193="","",Notes!CC1193)</f>
        <v/>
      </c>
      <c r="F1197" s="7" t="str">
        <f>IF(Notes!CD1193="","",Notes!CD1193)</f>
        <v/>
      </c>
      <c r="G1197" s="7" t="str">
        <f>IF(Notes!CE1193="","",Notes!CE1193)</f>
        <v/>
      </c>
      <c r="H1197" s="7" t="str">
        <f>IF(Notes!CF1193="","",Notes!CF1193)</f>
        <v/>
      </c>
      <c r="I1197" s="7"/>
      <c r="J1197" s="7"/>
      <c r="K1197" s="7"/>
    </row>
    <row r="1198" spans="1:11" x14ac:dyDescent="0.35">
      <c r="A1198" s="7" t="str">
        <f>IF(Notes!BY1194="","",Notes!BY1194)</f>
        <v/>
      </c>
      <c r="B1198" s="7" t="str">
        <f>IF(Notes!BZ1194="","",Notes!BZ1194)</f>
        <v/>
      </c>
      <c r="C1198" s="7" t="str">
        <f>IF(Notes!CA1194="","",Notes!CA1194)</f>
        <v/>
      </c>
      <c r="D1198" s="7" t="str">
        <f>IF(Notes!CB1194="","",Notes!CB1194)</f>
        <v/>
      </c>
      <c r="E1198" s="7" t="str">
        <f>IF(Notes!CC1194="","",Notes!CC1194)</f>
        <v/>
      </c>
      <c r="F1198" s="7" t="str">
        <f>IF(Notes!CD1194="","",Notes!CD1194)</f>
        <v/>
      </c>
      <c r="G1198" s="7" t="str">
        <f>IF(Notes!CE1194="","",Notes!CE1194)</f>
        <v/>
      </c>
      <c r="H1198" s="7" t="str">
        <f>IF(Notes!CF1194="","",Notes!CF1194)</f>
        <v/>
      </c>
      <c r="I1198" s="7"/>
      <c r="J1198" s="7"/>
      <c r="K1198" s="7"/>
    </row>
    <row r="1199" spans="1:11" x14ac:dyDescent="0.35">
      <c r="A1199" s="7" t="str">
        <f>IF(Notes!BY1195="","",Notes!BY1195)</f>
        <v/>
      </c>
      <c r="B1199" s="7" t="str">
        <f>IF(Notes!BZ1195="","",Notes!BZ1195)</f>
        <v/>
      </c>
      <c r="C1199" s="7" t="str">
        <f>IF(Notes!CA1195="","",Notes!CA1195)</f>
        <v/>
      </c>
      <c r="D1199" s="7" t="str">
        <f>IF(Notes!CB1195="","",Notes!CB1195)</f>
        <v/>
      </c>
      <c r="E1199" s="7" t="str">
        <f>IF(Notes!CC1195="","",Notes!CC1195)</f>
        <v/>
      </c>
      <c r="F1199" s="7" t="str">
        <f>IF(Notes!CD1195="","",Notes!CD1195)</f>
        <v/>
      </c>
      <c r="G1199" s="7" t="str">
        <f>IF(Notes!CE1195="","",Notes!CE1195)</f>
        <v/>
      </c>
      <c r="H1199" s="7" t="str">
        <f>IF(Notes!CF1195="","",Notes!CF1195)</f>
        <v/>
      </c>
      <c r="I1199" s="7"/>
      <c r="J1199" s="7"/>
      <c r="K1199" s="7"/>
    </row>
    <row r="1200" spans="1:11" x14ac:dyDescent="0.35">
      <c r="A1200" s="7" t="str">
        <f>IF(Notes!BY1196="","",Notes!BY1196)</f>
        <v/>
      </c>
      <c r="B1200" s="7" t="str">
        <f>IF(Notes!BZ1196="","",Notes!BZ1196)</f>
        <v/>
      </c>
      <c r="C1200" s="7" t="str">
        <f>IF(Notes!CA1196="","",Notes!CA1196)</f>
        <v/>
      </c>
      <c r="D1200" s="7" t="str">
        <f>IF(Notes!CB1196="","",Notes!CB1196)</f>
        <v/>
      </c>
      <c r="E1200" s="7" t="str">
        <f>IF(Notes!CC1196="","",Notes!CC1196)</f>
        <v/>
      </c>
      <c r="F1200" s="7" t="str">
        <f>IF(Notes!CD1196="","",Notes!CD1196)</f>
        <v/>
      </c>
      <c r="G1200" s="7" t="str">
        <f>IF(Notes!CE1196="","",Notes!CE1196)</f>
        <v/>
      </c>
      <c r="H1200" s="7" t="str">
        <f>IF(Notes!CF1196="","",Notes!CF1196)</f>
        <v/>
      </c>
      <c r="I1200" s="7"/>
      <c r="J1200" s="7"/>
      <c r="K1200" s="7"/>
    </row>
    <row r="1201" spans="1:11" x14ac:dyDescent="0.35">
      <c r="A1201" s="7" t="str">
        <f>IF(Notes!BY1197="","",Notes!BY1197)</f>
        <v/>
      </c>
      <c r="B1201" s="7" t="str">
        <f>IF(Notes!BZ1197="","",Notes!BZ1197)</f>
        <v/>
      </c>
      <c r="C1201" s="7" t="str">
        <f>IF(Notes!CA1197="","",Notes!CA1197)</f>
        <v/>
      </c>
      <c r="D1201" s="7" t="str">
        <f>IF(Notes!CB1197="","",Notes!CB1197)</f>
        <v/>
      </c>
      <c r="E1201" s="7" t="str">
        <f>IF(Notes!CC1197="","",Notes!CC1197)</f>
        <v/>
      </c>
      <c r="F1201" s="7" t="str">
        <f>IF(Notes!CD1197="","",Notes!CD1197)</f>
        <v/>
      </c>
      <c r="G1201" s="7" t="str">
        <f>IF(Notes!CE1197="","",Notes!CE1197)</f>
        <v/>
      </c>
      <c r="H1201" s="7" t="str">
        <f>IF(Notes!CF1197="","",Notes!CF1197)</f>
        <v/>
      </c>
      <c r="I1201" s="7"/>
      <c r="J1201" s="7"/>
      <c r="K1201" s="7"/>
    </row>
    <row r="1202" spans="1:11" x14ac:dyDescent="0.35">
      <c r="A1202" s="7" t="str">
        <f>IF(Notes!BY1198="","",Notes!BY1198)</f>
        <v/>
      </c>
      <c r="B1202" s="7" t="str">
        <f>IF(Notes!BZ1198="","",Notes!BZ1198)</f>
        <v/>
      </c>
      <c r="C1202" s="7" t="str">
        <f>IF(Notes!CA1198="","",Notes!CA1198)</f>
        <v/>
      </c>
      <c r="D1202" s="7" t="str">
        <f>IF(Notes!CB1198="","",Notes!CB1198)</f>
        <v/>
      </c>
      <c r="E1202" s="7" t="str">
        <f>IF(Notes!CC1198="","",Notes!CC1198)</f>
        <v/>
      </c>
      <c r="F1202" s="7" t="str">
        <f>IF(Notes!CD1198="","",Notes!CD1198)</f>
        <v/>
      </c>
      <c r="G1202" s="7" t="str">
        <f>IF(Notes!CE1198="","",Notes!CE1198)</f>
        <v/>
      </c>
      <c r="H1202" s="7" t="str">
        <f>IF(Notes!CF1198="","",Notes!CF1198)</f>
        <v/>
      </c>
      <c r="I1202" s="7"/>
      <c r="J1202" s="7"/>
      <c r="K1202" s="7"/>
    </row>
    <row r="1203" spans="1:11" x14ac:dyDescent="0.35">
      <c r="A1203" s="7" t="str">
        <f>IF(Notes!BY1199="","",Notes!BY1199)</f>
        <v/>
      </c>
      <c r="B1203" s="7" t="str">
        <f>IF(Notes!BZ1199="","",Notes!BZ1199)</f>
        <v/>
      </c>
      <c r="C1203" s="7" t="str">
        <f>IF(Notes!CA1199="","",Notes!CA1199)</f>
        <v/>
      </c>
      <c r="D1203" s="7" t="str">
        <f>IF(Notes!CB1199="","",Notes!CB1199)</f>
        <v/>
      </c>
      <c r="E1203" s="7" t="str">
        <f>IF(Notes!CC1199="","",Notes!CC1199)</f>
        <v/>
      </c>
      <c r="F1203" s="7" t="str">
        <f>IF(Notes!CD1199="","",Notes!CD1199)</f>
        <v/>
      </c>
      <c r="G1203" s="7" t="str">
        <f>IF(Notes!CE1199="","",Notes!CE1199)</f>
        <v/>
      </c>
      <c r="H1203" s="7" t="str">
        <f>IF(Notes!CF1199="","",Notes!CF1199)</f>
        <v/>
      </c>
      <c r="I1203" s="7"/>
      <c r="J1203" s="7"/>
      <c r="K1203" s="7"/>
    </row>
    <row r="1204" spans="1:11" x14ac:dyDescent="0.35">
      <c r="A1204" s="7" t="str">
        <f>IF(Notes!BY1200="","",Notes!BY1200)</f>
        <v/>
      </c>
      <c r="B1204" s="7" t="str">
        <f>IF(Notes!BZ1200="","",Notes!BZ1200)</f>
        <v/>
      </c>
      <c r="C1204" s="7" t="str">
        <f>IF(Notes!CA1200="","",Notes!CA1200)</f>
        <v/>
      </c>
      <c r="D1204" s="7" t="str">
        <f>IF(Notes!CB1200="","",Notes!CB1200)</f>
        <v/>
      </c>
      <c r="E1204" s="7" t="str">
        <f>IF(Notes!CC1200="","",Notes!CC1200)</f>
        <v/>
      </c>
      <c r="F1204" s="7" t="str">
        <f>IF(Notes!CD1200="","",Notes!CD1200)</f>
        <v/>
      </c>
      <c r="G1204" s="7" t="str">
        <f>IF(Notes!CE1200="","",Notes!CE1200)</f>
        <v/>
      </c>
      <c r="H1204" s="7" t="str">
        <f>IF(Notes!CF1200="","",Notes!CF1200)</f>
        <v/>
      </c>
      <c r="I1204" s="7"/>
      <c r="J1204" s="7"/>
      <c r="K1204" s="7"/>
    </row>
    <row r="1205" spans="1:11" x14ac:dyDescent="0.35">
      <c r="A1205" s="7" t="str">
        <f>IF(Notes!BY1201="","",Notes!BY1201)</f>
        <v/>
      </c>
      <c r="B1205" s="7" t="str">
        <f>IF(Notes!BZ1201="","",Notes!BZ1201)</f>
        <v/>
      </c>
      <c r="C1205" s="7" t="str">
        <f>IF(Notes!CA1201="","",Notes!CA1201)</f>
        <v/>
      </c>
      <c r="D1205" s="7" t="str">
        <f>IF(Notes!CB1201="","",Notes!CB1201)</f>
        <v/>
      </c>
      <c r="E1205" s="7" t="str">
        <f>IF(Notes!CC1201="","",Notes!CC1201)</f>
        <v/>
      </c>
      <c r="F1205" s="7" t="str">
        <f>IF(Notes!CD1201="","",Notes!CD1201)</f>
        <v/>
      </c>
      <c r="G1205" s="7" t="str">
        <f>IF(Notes!CE1201="","",Notes!CE1201)</f>
        <v/>
      </c>
      <c r="H1205" s="7" t="str">
        <f>IF(Notes!CF1201="","",Notes!CF1201)</f>
        <v/>
      </c>
      <c r="I1205" s="7"/>
      <c r="J1205" s="7"/>
      <c r="K1205" s="7"/>
    </row>
    <row r="1206" spans="1:11" x14ac:dyDescent="0.35">
      <c r="A1206" s="7" t="str">
        <f>IF(Notes!BY1202="","",Notes!BY1202)</f>
        <v/>
      </c>
      <c r="B1206" s="7" t="str">
        <f>IF(Notes!BZ1202="","",Notes!BZ1202)</f>
        <v/>
      </c>
      <c r="C1206" s="7" t="str">
        <f>IF(Notes!CA1202="","",Notes!CA1202)</f>
        <v/>
      </c>
      <c r="D1206" s="7" t="str">
        <f>IF(Notes!CB1202="","",Notes!CB1202)</f>
        <v/>
      </c>
      <c r="E1206" s="7" t="str">
        <f>IF(Notes!CC1202="","",Notes!CC1202)</f>
        <v/>
      </c>
      <c r="F1206" s="7" t="str">
        <f>IF(Notes!CD1202="","",Notes!CD1202)</f>
        <v/>
      </c>
      <c r="G1206" s="7" t="str">
        <f>IF(Notes!CE1202="","",Notes!CE1202)</f>
        <v/>
      </c>
      <c r="H1206" s="7" t="str">
        <f>IF(Notes!CF1202="","",Notes!CF1202)</f>
        <v/>
      </c>
      <c r="I1206" s="7"/>
      <c r="J1206" s="7"/>
      <c r="K1206" s="7"/>
    </row>
    <row r="1207" spans="1:11" x14ac:dyDescent="0.35">
      <c r="A1207" s="7" t="str">
        <f>IF(Notes!BY1203="","",Notes!BY1203)</f>
        <v/>
      </c>
      <c r="B1207" s="7" t="str">
        <f>IF(Notes!BZ1203="","",Notes!BZ1203)</f>
        <v/>
      </c>
      <c r="C1207" s="7" t="str">
        <f>IF(Notes!CA1203="","",Notes!CA1203)</f>
        <v/>
      </c>
      <c r="D1207" s="7" t="str">
        <f>IF(Notes!CB1203="","",Notes!CB1203)</f>
        <v/>
      </c>
      <c r="E1207" s="7" t="str">
        <f>IF(Notes!CC1203="","",Notes!CC1203)</f>
        <v/>
      </c>
      <c r="F1207" s="7" t="str">
        <f>IF(Notes!CD1203="","",Notes!CD1203)</f>
        <v/>
      </c>
      <c r="G1207" s="7" t="str">
        <f>IF(Notes!CE1203="","",Notes!CE1203)</f>
        <v/>
      </c>
      <c r="H1207" s="7" t="str">
        <f>IF(Notes!CF1203="","",Notes!CF1203)</f>
        <v/>
      </c>
      <c r="I1207" s="7"/>
      <c r="J1207" s="7"/>
      <c r="K1207" s="7"/>
    </row>
    <row r="1208" spans="1:11" x14ac:dyDescent="0.35">
      <c r="A1208" s="7" t="str">
        <f>IF(Notes!BY1204="","",Notes!BY1204)</f>
        <v/>
      </c>
      <c r="B1208" s="7" t="str">
        <f>IF(Notes!BZ1204="","",Notes!BZ1204)</f>
        <v/>
      </c>
      <c r="C1208" s="7" t="str">
        <f>IF(Notes!CA1204="","",Notes!CA1204)</f>
        <v/>
      </c>
      <c r="D1208" s="7" t="str">
        <f>IF(Notes!CB1204="","",Notes!CB1204)</f>
        <v/>
      </c>
      <c r="E1208" s="7" t="str">
        <f>IF(Notes!CC1204="","",Notes!CC1204)</f>
        <v/>
      </c>
      <c r="F1208" s="7" t="str">
        <f>IF(Notes!CD1204="","",Notes!CD1204)</f>
        <v/>
      </c>
      <c r="G1208" s="7" t="str">
        <f>IF(Notes!CE1204="","",Notes!CE1204)</f>
        <v/>
      </c>
      <c r="H1208" s="7" t="str">
        <f>IF(Notes!CF1204="","",Notes!CF1204)</f>
        <v/>
      </c>
      <c r="I1208" s="7"/>
      <c r="J1208" s="7"/>
      <c r="K1208" s="7"/>
    </row>
    <row r="1209" spans="1:11" x14ac:dyDescent="0.35">
      <c r="A1209" s="7" t="str">
        <f>IF(Notes!BY1205="","",Notes!BY1205)</f>
        <v/>
      </c>
      <c r="B1209" s="7" t="str">
        <f>IF(Notes!BZ1205="","",Notes!BZ1205)</f>
        <v/>
      </c>
      <c r="C1209" s="7" t="str">
        <f>IF(Notes!CA1205="","",Notes!CA1205)</f>
        <v/>
      </c>
      <c r="D1209" s="7" t="str">
        <f>IF(Notes!CB1205="","",Notes!CB1205)</f>
        <v/>
      </c>
      <c r="E1209" s="7" t="str">
        <f>IF(Notes!CC1205="","",Notes!CC1205)</f>
        <v/>
      </c>
      <c r="F1209" s="7" t="str">
        <f>IF(Notes!CD1205="","",Notes!CD1205)</f>
        <v/>
      </c>
      <c r="G1209" s="7" t="str">
        <f>IF(Notes!CE1205="","",Notes!CE1205)</f>
        <v/>
      </c>
      <c r="H1209" s="7" t="str">
        <f>IF(Notes!CF1205="","",Notes!CF1205)</f>
        <v/>
      </c>
      <c r="I1209" s="7"/>
      <c r="J1209" s="7"/>
      <c r="K1209" s="7"/>
    </row>
    <row r="1210" spans="1:11" x14ac:dyDescent="0.35">
      <c r="A1210" s="7" t="str">
        <f>IF(Notes!BY1206="","",Notes!BY1206)</f>
        <v/>
      </c>
      <c r="B1210" s="7" t="str">
        <f>IF(Notes!BZ1206="","",Notes!BZ1206)</f>
        <v/>
      </c>
      <c r="C1210" s="7" t="str">
        <f>IF(Notes!CA1206="","",Notes!CA1206)</f>
        <v/>
      </c>
      <c r="D1210" s="7" t="str">
        <f>IF(Notes!CB1206="","",Notes!CB1206)</f>
        <v/>
      </c>
      <c r="E1210" s="7" t="str">
        <f>IF(Notes!CC1206="","",Notes!CC1206)</f>
        <v/>
      </c>
      <c r="F1210" s="7" t="str">
        <f>IF(Notes!CD1206="","",Notes!CD1206)</f>
        <v/>
      </c>
      <c r="G1210" s="7" t="str">
        <f>IF(Notes!CE1206="","",Notes!CE1206)</f>
        <v/>
      </c>
      <c r="H1210" s="7" t="str">
        <f>IF(Notes!CF1206="","",Notes!CF1206)</f>
        <v/>
      </c>
      <c r="I1210" s="7"/>
      <c r="J1210" s="7"/>
      <c r="K1210" s="7"/>
    </row>
    <row r="1211" spans="1:11" x14ac:dyDescent="0.35">
      <c r="A1211" s="7" t="str">
        <f>IF(Notes!BY1207="","",Notes!BY1207)</f>
        <v/>
      </c>
      <c r="B1211" s="7" t="str">
        <f>IF(Notes!BZ1207="","",Notes!BZ1207)</f>
        <v/>
      </c>
      <c r="C1211" s="7" t="str">
        <f>IF(Notes!CA1207="","",Notes!CA1207)</f>
        <v/>
      </c>
      <c r="D1211" s="7" t="str">
        <f>IF(Notes!CB1207="","",Notes!CB1207)</f>
        <v/>
      </c>
      <c r="E1211" s="7" t="str">
        <f>IF(Notes!CC1207="","",Notes!CC1207)</f>
        <v/>
      </c>
      <c r="F1211" s="7" t="str">
        <f>IF(Notes!CD1207="","",Notes!CD1207)</f>
        <v/>
      </c>
      <c r="G1211" s="7" t="str">
        <f>IF(Notes!CE1207="","",Notes!CE1207)</f>
        <v/>
      </c>
      <c r="H1211" s="7" t="str">
        <f>IF(Notes!CF1207="","",Notes!CF1207)</f>
        <v/>
      </c>
      <c r="I1211" s="7"/>
      <c r="J1211" s="7"/>
      <c r="K1211" s="7"/>
    </row>
    <row r="1212" spans="1:11" x14ac:dyDescent="0.35">
      <c r="A1212" s="7" t="str">
        <f>IF(Notes!BY1208="","",Notes!BY1208)</f>
        <v/>
      </c>
      <c r="B1212" s="7" t="str">
        <f>IF(Notes!BZ1208="","",Notes!BZ1208)</f>
        <v/>
      </c>
      <c r="C1212" s="7" t="str">
        <f>IF(Notes!CA1208="","",Notes!CA1208)</f>
        <v/>
      </c>
      <c r="D1212" s="7" t="str">
        <f>IF(Notes!CB1208="","",Notes!CB1208)</f>
        <v/>
      </c>
      <c r="E1212" s="7" t="str">
        <f>IF(Notes!CC1208="","",Notes!CC1208)</f>
        <v/>
      </c>
      <c r="F1212" s="7" t="str">
        <f>IF(Notes!CD1208="","",Notes!CD1208)</f>
        <v/>
      </c>
      <c r="G1212" s="7" t="str">
        <f>IF(Notes!CE1208="","",Notes!CE1208)</f>
        <v/>
      </c>
      <c r="H1212" s="7" t="str">
        <f>IF(Notes!CF1208="","",Notes!CF1208)</f>
        <v/>
      </c>
      <c r="I1212" s="7"/>
      <c r="J1212" s="7"/>
      <c r="K1212" s="7"/>
    </row>
    <row r="1213" spans="1:11" x14ac:dyDescent="0.35">
      <c r="A1213" s="7" t="str">
        <f>IF(Notes!BY1209="","",Notes!BY1209)</f>
        <v/>
      </c>
      <c r="B1213" s="7" t="str">
        <f>IF(Notes!BZ1209="","",Notes!BZ1209)</f>
        <v/>
      </c>
      <c r="C1213" s="7" t="str">
        <f>IF(Notes!CA1209="","",Notes!CA1209)</f>
        <v/>
      </c>
      <c r="D1213" s="7" t="str">
        <f>IF(Notes!CB1209="","",Notes!CB1209)</f>
        <v/>
      </c>
      <c r="E1213" s="7" t="str">
        <f>IF(Notes!CC1209="","",Notes!CC1209)</f>
        <v/>
      </c>
      <c r="F1213" s="7" t="str">
        <f>IF(Notes!CD1209="","",Notes!CD1209)</f>
        <v/>
      </c>
      <c r="G1213" s="7" t="str">
        <f>IF(Notes!CE1209="","",Notes!CE1209)</f>
        <v/>
      </c>
      <c r="H1213" s="7" t="str">
        <f>IF(Notes!CF1209="","",Notes!CF1209)</f>
        <v/>
      </c>
      <c r="I1213" s="7"/>
      <c r="J1213" s="7"/>
      <c r="K1213" s="7"/>
    </row>
    <row r="1214" spans="1:11" x14ac:dyDescent="0.35">
      <c r="A1214" s="7" t="str">
        <f>IF(Notes!BY1210="","",Notes!BY1210)</f>
        <v/>
      </c>
      <c r="B1214" s="7" t="str">
        <f>IF(Notes!BZ1210="","",Notes!BZ1210)</f>
        <v/>
      </c>
      <c r="C1214" s="7" t="str">
        <f>IF(Notes!CA1210="","",Notes!CA1210)</f>
        <v/>
      </c>
      <c r="D1214" s="7" t="str">
        <f>IF(Notes!CB1210="","",Notes!CB1210)</f>
        <v/>
      </c>
      <c r="E1214" s="7" t="str">
        <f>IF(Notes!CC1210="","",Notes!CC1210)</f>
        <v/>
      </c>
      <c r="F1214" s="7" t="str">
        <f>IF(Notes!CD1210="","",Notes!CD1210)</f>
        <v/>
      </c>
      <c r="G1214" s="7" t="str">
        <f>IF(Notes!CE1210="","",Notes!CE1210)</f>
        <v/>
      </c>
      <c r="H1214" s="7" t="str">
        <f>IF(Notes!CF1210="","",Notes!CF1210)</f>
        <v/>
      </c>
      <c r="I1214" s="7"/>
      <c r="J1214" s="7"/>
      <c r="K1214" s="7"/>
    </row>
    <row r="1215" spans="1:11" x14ac:dyDescent="0.35">
      <c r="A1215" s="7" t="str">
        <f>IF(Notes!BY1211="","",Notes!BY1211)</f>
        <v/>
      </c>
      <c r="B1215" s="7" t="str">
        <f>IF(Notes!BZ1211="","",Notes!BZ1211)</f>
        <v/>
      </c>
      <c r="C1215" s="7" t="str">
        <f>IF(Notes!CA1211="","",Notes!CA1211)</f>
        <v/>
      </c>
      <c r="D1215" s="7" t="str">
        <f>IF(Notes!CB1211="","",Notes!CB1211)</f>
        <v/>
      </c>
      <c r="E1215" s="7" t="str">
        <f>IF(Notes!CC1211="","",Notes!CC1211)</f>
        <v/>
      </c>
      <c r="F1215" s="7" t="str">
        <f>IF(Notes!CD1211="","",Notes!CD1211)</f>
        <v/>
      </c>
      <c r="G1215" s="7" t="str">
        <f>IF(Notes!CE1211="","",Notes!CE1211)</f>
        <v/>
      </c>
      <c r="H1215" s="7" t="str">
        <f>IF(Notes!CF1211="","",Notes!CF1211)</f>
        <v/>
      </c>
      <c r="I1215" s="7"/>
      <c r="J1215" s="7"/>
      <c r="K1215" s="7"/>
    </row>
    <row r="1216" spans="1:11" x14ac:dyDescent="0.35">
      <c r="A1216" s="7" t="str">
        <f>IF(Notes!BY1212="","",Notes!BY1212)</f>
        <v/>
      </c>
      <c r="B1216" s="7" t="str">
        <f>IF(Notes!BZ1212="","",Notes!BZ1212)</f>
        <v/>
      </c>
      <c r="C1216" s="7" t="str">
        <f>IF(Notes!CA1212="","",Notes!CA1212)</f>
        <v/>
      </c>
      <c r="D1216" s="7" t="str">
        <f>IF(Notes!CB1212="","",Notes!CB1212)</f>
        <v/>
      </c>
      <c r="E1216" s="7" t="str">
        <f>IF(Notes!CC1212="","",Notes!CC1212)</f>
        <v/>
      </c>
      <c r="F1216" s="7" t="str">
        <f>IF(Notes!CD1212="","",Notes!CD1212)</f>
        <v/>
      </c>
      <c r="G1216" s="7" t="str">
        <f>IF(Notes!CE1212="","",Notes!CE1212)</f>
        <v/>
      </c>
      <c r="H1216" s="7" t="str">
        <f>IF(Notes!CF1212="","",Notes!CF1212)</f>
        <v/>
      </c>
      <c r="I1216" s="7"/>
      <c r="J1216" s="7"/>
      <c r="K1216" s="7"/>
    </row>
    <row r="1217" spans="1:11" x14ac:dyDescent="0.35">
      <c r="A1217" s="7" t="str">
        <f>IF(Notes!BY1213="","",Notes!BY1213)</f>
        <v/>
      </c>
      <c r="B1217" s="7" t="str">
        <f>IF(Notes!BZ1213="","",Notes!BZ1213)</f>
        <v/>
      </c>
      <c r="C1217" s="7" t="str">
        <f>IF(Notes!CA1213="","",Notes!CA1213)</f>
        <v/>
      </c>
      <c r="D1217" s="7" t="str">
        <f>IF(Notes!CB1213="","",Notes!CB1213)</f>
        <v/>
      </c>
      <c r="E1217" s="7" t="str">
        <f>IF(Notes!CC1213="","",Notes!CC1213)</f>
        <v/>
      </c>
      <c r="F1217" s="7" t="str">
        <f>IF(Notes!CD1213="","",Notes!CD1213)</f>
        <v/>
      </c>
      <c r="G1217" s="7" t="str">
        <f>IF(Notes!CE1213="","",Notes!CE1213)</f>
        <v/>
      </c>
      <c r="H1217" s="7" t="str">
        <f>IF(Notes!CF1213="","",Notes!CF1213)</f>
        <v/>
      </c>
      <c r="I1217" s="7"/>
      <c r="J1217" s="7"/>
      <c r="K1217" s="7"/>
    </row>
    <row r="1218" spans="1:11" x14ac:dyDescent="0.35">
      <c r="A1218" s="7" t="str">
        <f>IF(Notes!BY1214="","",Notes!BY1214)</f>
        <v/>
      </c>
      <c r="B1218" s="7" t="str">
        <f>IF(Notes!BZ1214="","",Notes!BZ1214)</f>
        <v/>
      </c>
      <c r="C1218" s="7" t="str">
        <f>IF(Notes!CA1214="","",Notes!CA1214)</f>
        <v/>
      </c>
      <c r="D1218" s="7" t="str">
        <f>IF(Notes!CB1214="","",Notes!CB1214)</f>
        <v/>
      </c>
      <c r="E1218" s="7" t="str">
        <f>IF(Notes!CC1214="","",Notes!CC1214)</f>
        <v/>
      </c>
      <c r="F1218" s="7" t="str">
        <f>IF(Notes!CD1214="","",Notes!CD1214)</f>
        <v/>
      </c>
      <c r="G1218" s="7" t="str">
        <f>IF(Notes!CE1214="","",Notes!CE1214)</f>
        <v/>
      </c>
      <c r="H1218" s="7" t="str">
        <f>IF(Notes!CF1214="","",Notes!CF1214)</f>
        <v/>
      </c>
      <c r="I1218" s="7"/>
      <c r="J1218" s="7"/>
      <c r="K1218" s="7"/>
    </row>
    <row r="1219" spans="1:11" x14ac:dyDescent="0.35">
      <c r="A1219" s="7" t="str">
        <f>IF(Notes!BY1215="","",Notes!BY1215)</f>
        <v/>
      </c>
      <c r="B1219" s="7" t="str">
        <f>IF(Notes!BZ1215="","",Notes!BZ1215)</f>
        <v/>
      </c>
      <c r="C1219" s="7" t="str">
        <f>IF(Notes!CA1215="","",Notes!CA1215)</f>
        <v/>
      </c>
      <c r="D1219" s="7" t="str">
        <f>IF(Notes!CB1215="","",Notes!CB1215)</f>
        <v/>
      </c>
      <c r="E1219" s="7" t="str">
        <f>IF(Notes!CC1215="","",Notes!CC1215)</f>
        <v/>
      </c>
      <c r="F1219" s="7" t="str">
        <f>IF(Notes!CD1215="","",Notes!CD1215)</f>
        <v/>
      </c>
      <c r="G1219" s="7" t="str">
        <f>IF(Notes!CE1215="","",Notes!CE1215)</f>
        <v/>
      </c>
      <c r="H1219" s="7" t="str">
        <f>IF(Notes!CF1215="","",Notes!CF1215)</f>
        <v/>
      </c>
      <c r="I1219" s="7"/>
      <c r="J1219" s="7"/>
      <c r="K1219" s="7"/>
    </row>
    <row r="1220" spans="1:11" x14ac:dyDescent="0.35">
      <c r="A1220" s="7" t="str">
        <f>IF(Notes!BY1216="","",Notes!BY1216)</f>
        <v/>
      </c>
      <c r="B1220" s="7" t="str">
        <f>IF(Notes!BZ1216="","",Notes!BZ1216)</f>
        <v/>
      </c>
      <c r="C1220" s="7" t="str">
        <f>IF(Notes!CA1216="","",Notes!CA1216)</f>
        <v/>
      </c>
      <c r="D1220" s="7" t="str">
        <f>IF(Notes!CB1216="","",Notes!CB1216)</f>
        <v/>
      </c>
      <c r="E1220" s="7" t="str">
        <f>IF(Notes!CC1216="","",Notes!CC1216)</f>
        <v/>
      </c>
      <c r="F1220" s="7" t="str">
        <f>IF(Notes!CD1216="","",Notes!CD1216)</f>
        <v/>
      </c>
      <c r="G1220" s="7" t="str">
        <f>IF(Notes!CE1216="","",Notes!CE1216)</f>
        <v/>
      </c>
      <c r="H1220" s="7" t="str">
        <f>IF(Notes!CF1216="","",Notes!CF1216)</f>
        <v/>
      </c>
      <c r="I1220" s="7"/>
      <c r="J1220" s="7"/>
      <c r="K1220" s="7"/>
    </row>
    <row r="1221" spans="1:11" x14ac:dyDescent="0.35">
      <c r="A1221" s="7" t="str">
        <f>IF(Notes!BY1217="","",Notes!BY1217)</f>
        <v/>
      </c>
      <c r="B1221" s="7" t="str">
        <f>IF(Notes!BZ1217="","",Notes!BZ1217)</f>
        <v/>
      </c>
      <c r="C1221" s="7" t="str">
        <f>IF(Notes!CA1217="","",Notes!CA1217)</f>
        <v/>
      </c>
      <c r="D1221" s="7" t="str">
        <f>IF(Notes!CB1217="","",Notes!CB1217)</f>
        <v/>
      </c>
      <c r="E1221" s="7" t="str">
        <f>IF(Notes!CC1217="","",Notes!CC1217)</f>
        <v/>
      </c>
      <c r="F1221" s="7" t="str">
        <f>IF(Notes!CD1217="","",Notes!CD1217)</f>
        <v/>
      </c>
      <c r="G1221" s="7" t="str">
        <f>IF(Notes!CE1217="","",Notes!CE1217)</f>
        <v/>
      </c>
      <c r="H1221" s="7" t="str">
        <f>IF(Notes!CF1217="","",Notes!CF1217)</f>
        <v/>
      </c>
      <c r="I1221" s="7"/>
      <c r="J1221" s="7"/>
      <c r="K1221" s="7"/>
    </row>
    <row r="1222" spans="1:11" x14ac:dyDescent="0.35">
      <c r="A1222" s="7" t="str">
        <f>IF(Notes!BY1218="","",Notes!BY1218)</f>
        <v/>
      </c>
      <c r="B1222" s="7" t="str">
        <f>IF(Notes!BZ1218="","",Notes!BZ1218)</f>
        <v/>
      </c>
      <c r="C1222" s="7" t="str">
        <f>IF(Notes!CA1218="","",Notes!CA1218)</f>
        <v/>
      </c>
      <c r="D1222" s="7" t="str">
        <f>IF(Notes!CB1218="","",Notes!CB1218)</f>
        <v/>
      </c>
      <c r="E1222" s="7" t="str">
        <f>IF(Notes!CC1218="","",Notes!CC1218)</f>
        <v/>
      </c>
      <c r="F1222" s="7" t="str">
        <f>IF(Notes!CD1218="","",Notes!CD1218)</f>
        <v/>
      </c>
      <c r="G1222" s="7" t="str">
        <f>IF(Notes!CE1218="","",Notes!CE1218)</f>
        <v/>
      </c>
      <c r="H1222" s="7" t="str">
        <f>IF(Notes!CF1218="","",Notes!CF1218)</f>
        <v/>
      </c>
      <c r="I1222" s="7"/>
      <c r="J1222" s="7"/>
      <c r="K1222" s="7"/>
    </row>
    <row r="1223" spans="1:11" x14ac:dyDescent="0.35">
      <c r="A1223" s="7" t="str">
        <f>IF(Notes!BY1219="","",Notes!BY1219)</f>
        <v/>
      </c>
      <c r="B1223" s="7" t="str">
        <f>IF(Notes!BZ1219="","",Notes!BZ1219)</f>
        <v/>
      </c>
      <c r="C1223" s="7" t="str">
        <f>IF(Notes!CA1219="","",Notes!CA1219)</f>
        <v/>
      </c>
      <c r="D1223" s="7" t="str">
        <f>IF(Notes!CB1219="","",Notes!CB1219)</f>
        <v/>
      </c>
      <c r="E1223" s="7" t="str">
        <f>IF(Notes!CC1219="","",Notes!CC1219)</f>
        <v/>
      </c>
      <c r="F1223" s="7" t="str">
        <f>IF(Notes!CD1219="","",Notes!CD1219)</f>
        <v/>
      </c>
      <c r="G1223" s="7" t="str">
        <f>IF(Notes!CE1219="","",Notes!CE1219)</f>
        <v/>
      </c>
      <c r="H1223" s="7" t="str">
        <f>IF(Notes!CF1219="","",Notes!CF1219)</f>
        <v/>
      </c>
      <c r="I1223" s="7"/>
      <c r="J1223" s="7"/>
      <c r="K1223" s="7"/>
    </row>
    <row r="1224" spans="1:11" x14ac:dyDescent="0.35">
      <c r="A1224" s="7" t="str">
        <f>IF(Notes!BY1220="","",Notes!BY1220)</f>
        <v/>
      </c>
      <c r="B1224" s="7" t="str">
        <f>IF(Notes!BZ1220="","",Notes!BZ1220)</f>
        <v/>
      </c>
      <c r="C1224" s="7" t="str">
        <f>IF(Notes!CA1220="","",Notes!CA1220)</f>
        <v/>
      </c>
      <c r="D1224" s="7" t="str">
        <f>IF(Notes!CB1220="","",Notes!CB1220)</f>
        <v/>
      </c>
      <c r="E1224" s="7" t="str">
        <f>IF(Notes!CC1220="","",Notes!CC1220)</f>
        <v/>
      </c>
      <c r="F1224" s="7" t="str">
        <f>IF(Notes!CD1220="","",Notes!CD1220)</f>
        <v/>
      </c>
      <c r="G1224" s="7" t="str">
        <f>IF(Notes!CE1220="","",Notes!CE1220)</f>
        <v/>
      </c>
      <c r="H1224" s="7" t="str">
        <f>IF(Notes!CF1220="","",Notes!CF1220)</f>
        <v/>
      </c>
      <c r="I1224" s="7"/>
      <c r="J1224" s="7"/>
      <c r="K1224" s="7"/>
    </row>
    <row r="1225" spans="1:11" x14ac:dyDescent="0.35">
      <c r="A1225" s="7" t="str">
        <f>IF(Notes!BY1221="","",Notes!BY1221)</f>
        <v/>
      </c>
      <c r="B1225" s="7" t="str">
        <f>IF(Notes!BZ1221="","",Notes!BZ1221)</f>
        <v/>
      </c>
      <c r="C1225" s="7" t="str">
        <f>IF(Notes!CA1221="","",Notes!CA1221)</f>
        <v/>
      </c>
      <c r="D1225" s="7" t="str">
        <f>IF(Notes!CB1221="","",Notes!CB1221)</f>
        <v/>
      </c>
      <c r="E1225" s="7" t="str">
        <f>IF(Notes!CC1221="","",Notes!CC1221)</f>
        <v/>
      </c>
      <c r="F1225" s="7" t="str">
        <f>IF(Notes!CD1221="","",Notes!CD1221)</f>
        <v/>
      </c>
      <c r="G1225" s="7" t="str">
        <f>IF(Notes!CE1221="","",Notes!CE1221)</f>
        <v/>
      </c>
      <c r="H1225" s="7" t="str">
        <f>IF(Notes!CF1221="","",Notes!CF1221)</f>
        <v/>
      </c>
      <c r="I1225" s="7"/>
      <c r="J1225" s="7"/>
      <c r="K1225" s="7"/>
    </row>
    <row r="1226" spans="1:11" x14ac:dyDescent="0.35">
      <c r="A1226" s="7" t="str">
        <f>IF(Notes!BY1222="","",Notes!BY1222)</f>
        <v/>
      </c>
      <c r="B1226" s="7" t="str">
        <f>IF(Notes!BZ1222="","",Notes!BZ1222)</f>
        <v/>
      </c>
      <c r="C1226" s="7" t="str">
        <f>IF(Notes!CA1222="","",Notes!CA1222)</f>
        <v/>
      </c>
      <c r="D1226" s="7" t="str">
        <f>IF(Notes!CB1222="","",Notes!CB1222)</f>
        <v/>
      </c>
      <c r="E1226" s="7" t="str">
        <f>IF(Notes!CC1222="","",Notes!CC1222)</f>
        <v/>
      </c>
      <c r="F1226" s="7" t="str">
        <f>IF(Notes!CD1222="","",Notes!CD1222)</f>
        <v/>
      </c>
      <c r="G1226" s="7" t="str">
        <f>IF(Notes!CE1222="","",Notes!CE1222)</f>
        <v/>
      </c>
      <c r="H1226" s="7" t="str">
        <f>IF(Notes!CF1222="","",Notes!CF1222)</f>
        <v/>
      </c>
      <c r="I1226" s="7"/>
      <c r="J1226" s="7"/>
      <c r="K1226" s="7"/>
    </row>
    <row r="1227" spans="1:11" x14ac:dyDescent="0.35">
      <c r="A1227" s="7" t="str">
        <f>IF(Notes!BY1223="","",Notes!BY1223)</f>
        <v/>
      </c>
      <c r="B1227" s="7" t="str">
        <f>IF(Notes!BZ1223="","",Notes!BZ1223)</f>
        <v/>
      </c>
      <c r="C1227" s="7" t="str">
        <f>IF(Notes!CA1223="","",Notes!CA1223)</f>
        <v/>
      </c>
      <c r="D1227" s="7" t="str">
        <f>IF(Notes!CB1223="","",Notes!CB1223)</f>
        <v/>
      </c>
      <c r="E1227" s="7" t="str">
        <f>IF(Notes!CC1223="","",Notes!CC1223)</f>
        <v/>
      </c>
      <c r="F1227" s="7" t="str">
        <f>IF(Notes!CD1223="","",Notes!CD1223)</f>
        <v/>
      </c>
      <c r="G1227" s="7" t="str">
        <f>IF(Notes!CE1223="","",Notes!CE1223)</f>
        <v/>
      </c>
      <c r="H1227" s="7" t="str">
        <f>IF(Notes!CF1223="","",Notes!CF1223)</f>
        <v/>
      </c>
      <c r="I1227" s="7"/>
      <c r="J1227" s="7"/>
      <c r="K1227" s="7"/>
    </row>
    <row r="1228" spans="1:11" x14ac:dyDescent="0.35">
      <c r="A1228" s="7" t="str">
        <f>IF(Notes!BY1224="","",Notes!BY1224)</f>
        <v/>
      </c>
      <c r="B1228" s="7" t="str">
        <f>IF(Notes!BZ1224="","",Notes!BZ1224)</f>
        <v/>
      </c>
      <c r="C1228" s="7" t="str">
        <f>IF(Notes!CA1224="","",Notes!CA1224)</f>
        <v/>
      </c>
      <c r="D1228" s="7" t="str">
        <f>IF(Notes!CB1224="","",Notes!CB1224)</f>
        <v/>
      </c>
      <c r="E1228" s="7" t="str">
        <f>IF(Notes!CC1224="","",Notes!CC1224)</f>
        <v/>
      </c>
      <c r="F1228" s="7" t="str">
        <f>IF(Notes!CD1224="","",Notes!CD1224)</f>
        <v/>
      </c>
      <c r="G1228" s="7" t="str">
        <f>IF(Notes!CE1224="","",Notes!CE1224)</f>
        <v/>
      </c>
      <c r="H1228" s="7" t="str">
        <f>IF(Notes!CF1224="","",Notes!CF1224)</f>
        <v/>
      </c>
      <c r="I1228" s="7"/>
      <c r="J1228" s="7"/>
      <c r="K1228" s="7"/>
    </row>
    <row r="1229" spans="1:11" x14ac:dyDescent="0.35">
      <c r="A1229" s="7" t="str">
        <f>IF(Notes!BY1225="","",Notes!BY1225)</f>
        <v/>
      </c>
      <c r="B1229" s="7" t="str">
        <f>IF(Notes!BZ1225="","",Notes!BZ1225)</f>
        <v/>
      </c>
      <c r="C1229" s="7" t="str">
        <f>IF(Notes!CA1225="","",Notes!CA1225)</f>
        <v/>
      </c>
      <c r="D1229" s="7" t="str">
        <f>IF(Notes!CB1225="","",Notes!CB1225)</f>
        <v/>
      </c>
      <c r="E1229" s="7" t="str">
        <f>IF(Notes!CC1225="","",Notes!CC1225)</f>
        <v/>
      </c>
      <c r="F1229" s="7" t="str">
        <f>IF(Notes!CD1225="","",Notes!CD1225)</f>
        <v/>
      </c>
      <c r="G1229" s="7" t="str">
        <f>IF(Notes!CE1225="","",Notes!CE1225)</f>
        <v/>
      </c>
      <c r="H1229" s="7" t="str">
        <f>IF(Notes!CF1225="","",Notes!CF1225)</f>
        <v/>
      </c>
      <c r="I1229" s="7"/>
      <c r="J1229" s="7"/>
      <c r="K1229" s="7"/>
    </row>
    <row r="1230" spans="1:11" x14ac:dyDescent="0.35">
      <c r="A1230" s="7" t="str">
        <f>IF(Notes!BY1226="","",Notes!BY1226)</f>
        <v/>
      </c>
      <c r="B1230" s="7" t="str">
        <f>IF(Notes!BZ1226="","",Notes!BZ1226)</f>
        <v/>
      </c>
      <c r="C1230" s="7" t="str">
        <f>IF(Notes!CA1226="","",Notes!CA1226)</f>
        <v/>
      </c>
      <c r="D1230" s="7" t="str">
        <f>IF(Notes!CB1226="","",Notes!CB1226)</f>
        <v/>
      </c>
      <c r="E1230" s="7" t="str">
        <f>IF(Notes!CC1226="","",Notes!CC1226)</f>
        <v/>
      </c>
      <c r="F1230" s="7" t="str">
        <f>IF(Notes!CD1226="","",Notes!CD1226)</f>
        <v/>
      </c>
      <c r="G1230" s="7" t="str">
        <f>IF(Notes!CE1226="","",Notes!CE1226)</f>
        <v/>
      </c>
      <c r="H1230" s="7" t="str">
        <f>IF(Notes!CF1226="","",Notes!CF1226)</f>
        <v/>
      </c>
      <c r="I1230" s="7"/>
      <c r="J1230" s="7"/>
      <c r="K1230" s="7"/>
    </row>
    <row r="1231" spans="1:11" x14ac:dyDescent="0.35">
      <c r="A1231" s="7" t="str">
        <f>IF(Notes!BY1227="","",Notes!BY1227)</f>
        <v/>
      </c>
      <c r="B1231" s="7" t="str">
        <f>IF(Notes!BZ1227="","",Notes!BZ1227)</f>
        <v/>
      </c>
      <c r="C1231" s="7" t="str">
        <f>IF(Notes!CA1227="","",Notes!CA1227)</f>
        <v/>
      </c>
      <c r="D1231" s="7" t="str">
        <f>IF(Notes!CB1227="","",Notes!CB1227)</f>
        <v/>
      </c>
      <c r="E1231" s="7" t="str">
        <f>IF(Notes!CC1227="","",Notes!CC1227)</f>
        <v/>
      </c>
      <c r="F1231" s="7" t="str">
        <f>IF(Notes!CD1227="","",Notes!CD1227)</f>
        <v/>
      </c>
      <c r="G1231" s="7" t="str">
        <f>IF(Notes!CE1227="","",Notes!CE1227)</f>
        <v/>
      </c>
      <c r="H1231" s="7" t="str">
        <f>IF(Notes!CF1227="","",Notes!CF1227)</f>
        <v/>
      </c>
      <c r="I1231" s="7"/>
      <c r="J1231" s="7"/>
      <c r="K1231" s="7"/>
    </row>
    <row r="1232" spans="1:11" x14ac:dyDescent="0.35">
      <c r="A1232" s="7" t="str">
        <f>IF(Notes!BY1228="","",Notes!BY1228)</f>
        <v/>
      </c>
      <c r="B1232" s="7" t="str">
        <f>IF(Notes!BZ1228="","",Notes!BZ1228)</f>
        <v/>
      </c>
      <c r="C1232" s="7" t="str">
        <f>IF(Notes!CA1228="","",Notes!CA1228)</f>
        <v/>
      </c>
      <c r="D1232" s="7" t="str">
        <f>IF(Notes!CB1228="","",Notes!CB1228)</f>
        <v/>
      </c>
      <c r="E1232" s="7" t="str">
        <f>IF(Notes!CC1228="","",Notes!CC1228)</f>
        <v/>
      </c>
      <c r="F1232" s="7" t="str">
        <f>IF(Notes!CD1228="","",Notes!CD1228)</f>
        <v/>
      </c>
      <c r="G1232" s="7" t="str">
        <f>IF(Notes!CE1228="","",Notes!CE1228)</f>
        <v/>
      </c>
      <c r="H1232" s="7" t="str">
        <f>IF(Notes!CF1228="","",Notes!CF1228)</f>
        <v/>
      </c>
      <c r="I1232" s="7"/>
      <c r="J1232" s="7"/>
      <c r="K1232" s="7"/>
    </row>
    <row r="1233" spans="1:11" x14ac:dyDescent="0.35">
      <c r="A1233" s="7" t="str">
        <f>IF(Notes!BY1229="","",Notes!BY1229)</f>
        <v/>
      </c>
      <c r="B1233" s="7" t="str">
        <f>IF(Notes!BZ1229="","",Notes!BZ1229)</f>
        <v/>
      </c>
      <c r="C1233" s="7" t="str">
        <f>IF(Notes!CA1229="","",Notes!CA1229)</f>
        <v/>
      </c>
      <c r="D1233" s="7" t="str">
        <f>IF(Notes!CB1229="","",Notes!CB1229)</f>
        <v/>
      </c>
      <c r="E1233" s="7" t="str">
        <f>IF(Notes!CC1229="","",Notes!CC1229)</f>
        <v/>
      </c>
      <c r="F1233" s="7" t="str">
        <f>IF(Notes!CD1229="","",Notes!CD1229)</f>
        <v/>
      </c>
      <c r="G1233" s="7" t="str">
        <f>IF(Notes!CE1229="","",Notes!CE1229)</f>
        <v/>
      </c>
      <c r="H1233" s="7" t="str">
        <f>IF(Notes!CF1229="","",Notes!CF1229)</f>
        <v/>
      </c>
      <c r="I1233" s="7"/>
      <c r="J1233" s="7"/>
      <c r="K1233" s="7"/>
    </row>
    <row r="1234" spans="1:11" x14ac:dyDescent="0.35">
      <c r="A1234" s="7" t="str">
        <f>IF(Notes!BY1230="","",Notes!BY1230)</f>
        <v/>
      </c>
      <c r="B1234" s="7" t="str">
        <f>IF(Notes!BZ1230="","",Notes!BZ1230)</f>
        <v/>
      </c>
      <c r="C1234" s="7" t="str">
        <f>IF(Notes!CA1230="","",Notes!CA1230)</f>
        <v/>
      </c>
      <c r="D1234" s="7" t="str">
        <f>IF(Notes!CB1230="","",Notes!CB1230)</f>
        <v/>
      </c>
      <c r="E1234" s="7" t="str">
        <f>IF(Notes!CC1230="","",Notes!CC1230)</f>
        <v/>
      </c>
      <c r="F1234" s="7" t="str">
        <f>IF(Notes!CD1230="","",Notes!CD1230)</f>
        <v/>
      </c>
      <c r="G1234" s="7" t="str">
        <f>IF(Notes!CE1230="","",Notes!CE1230)</f>
        <v/>
      </c>
      <c r="H1234" s="7" t="str">
        <f>IF(Notes!CF1230="","",Notes!CF1230)</f>
        <v/>
      </c>
      <c r="I1234" s="7"/>
      <c r="J1234" s="7"/>
      <c r="K1234" s="7"/>
    </row>
    <row r="1235" spans="1:11" x14ac:dyDescent="0.35">
      <c r="A1235" s="7" t="str">
        <f>IF(Notes!BY1231="","",Notes!BY1231)</f>
        <v/>
      </c>
      <c r="B1235" s="7" t="str">
        <f>IF(Notes!BZ1231="","",Notes!BZ1231)</f>
        <v/>
      </c>
      <c r="C1235" s="7" t="str">
        <f>IF(Notes!CA1231="","",Notes!CA1231)</f>
        <v/>
      </c>
      <c r="D1235" s="7" t="str">
        <f>IF(Notes!CB1231="","",Notes!CB1231)</f>
        <v/>
      </c>
      <c r="E1235" s="7" t="str">
        <f>IF(Notes!CC1231="","",Notes!CC1231)</f>
        <v/>
      </c>
      <c r="F1235" s="7" t="str">
        <f>IF(Notes!CD1231="","",Notes!CD1231)</f>
        <v/>
      </c>
      <c r="G1235" s="7" t="str">
        <f>IF(Notes!CE1231="","",Notes!CE1231)</f>
        <v/>
      </c>
      <c r="H1235" s="7" t="str">
        <f>IF(Notes!CF1231="","",Notes!CF1231)</f>
        <v/>
      </c>
      <c r="I1235" s="7"/>
      <c r="J1235" s="7"/>
      <c r="K1235" s="7"/>
    </row>
    <row r="1236" spans="1:11" x14ac:dyDescent="0.35">
      <c r="A1236" s="7" t="str">
        <f>IF(Notes!BY1232="","",Notes!BY1232)</f>
        <v/>
      </c>
      <c r="B1236" s="7" t="str">
        <f>IF(Notes!BZ1232="","",Notes!BZ1232)</f>
        <v/>
      </c>
      <c r="C1236" s="7" t="str">
        <f>IF(Notes!CA1232="","",Notes!CA1232)</f>
        <v/>
      </c>
      <c r="D1236" s="7" t="str">
        <f>IF(Notes!CB1232="","",Notes!CB1232)</f>
        <v/>
      </c>
      <c r="E1236" s="7" t="str">
        <f>IF(Notes!CC1232="","",Notes!CC1232)</f>
        <v/>
      </c>
      <c r="F1236" s="7" t="str">
        <f>IF(Notes!CD1232="","",Notes!CD1232)</f>
        <v/>
      </c>
      <c r="G1236" s="7" t="str">
        <f>IF(Notes!CE1232="","",Notes!CE1232)</f>
        <v/>
      </c>
      <c r="H1236" s="7" t="str">
        <f>IF(Notes!CF1232="","",Notes!CF1232)</f>
        <v/>
      </c>
      <c r="I1236" s="7"/>
      <c r="J1236" s="7"/>
      <c r="K1236" s="7"/>
    </row>
    <row r="1237" spans="1:11" x14ac:dyDescent="0.35">
      <c r="A1237" s="7" t="str">
        <f>IF(Notes!BY1233="","",Notes!BY1233)</f>
        <v/>
      </c>
      <c r="B1237" s="7" t="str">
        <f>IF(Notes!BZ1233="","",Notes!BZ1233)</f>
        <v/>
      </c>
      <c r="C1237" s="7" t="str">
        <f>IF(Notes!CA1233="","",Notes!CA1233)</f>
        <v/>
      </c>
      <c r="D1237" s="7" t="str">
        <f>IF(Notes!CB1233="","",Notes!CB1233)</f>
        <v/>
      </c>
      <c r="E1237" s="7" t="str">
        <f>IF(Notes!CC1233="","",Notes!CC1233)</f>
        <v/>
      </c>
      <c r="F1237" s="7" t="str">
        <f>IF(Notes!CD1233="","",Notes!CD1233)</f>
        <v/>
      </c>
      <c r="G1237" s="7" t="str">
        <f>IF(Notes!CE1233="","",Notes!CE1233)</f>
        <v/>
      </c>
      <c r="H1237" s="7" t="str">
        <f>IF(Notes!CF1233="","",Notes!CF1233)</f>
        <v/>
      </c>
      <c r="I1237" s="7"/>
      <c r="J1237" s="7"/>
      <c r="K1237" s="7"/>
    </row>
    <row r="1238" spans="1:11" x14ac:dyDescent="0.35">
      <c r="A1238" s="7" t="str">
        <f>IF(Notes!BY1234="","",Notes!BY1234)</f>
        <v/>
      </c>
      <c r="B1238" s="7" t="str">
        <f>IF(Notes!BZ1234="","",Notes!BZ1234)</f>
        <v/>
      </c>
      <c r="C1238" s="7" t="str">
        <f>IF(Notes!CA1234="","",Notes!CA1234)</f>
        <v/>
      </c>
      <c r="D1238" s="7" t="str">
        <f>IF(Notes!CB1234="","",Notes!CB1234)</f>
        <v/>
      </c>
      <c r="E1238" s="7" t="str">
        <f>IF(Notes!CC1234="","",Notes!CC1234)</f>
        <v/>
      </c>
      <c r="F1238" s="7" t="str">
        <f>IF(Notes!CD1234="","",Notes!CD1234)</f>
        <v/>
      </c>
      <c r="G1238" s="7" t="str">
        <f>IF(Notes!CE1234="","",Notes!CE1234)</f>
        <v/>
      </c>
      <c r="H1238" s="7" t="str">
        <f>IF(Notes!CF1234="","",Notes!CF1234)</f>
        <v/>
      </c>
      <c r="I1238" s="7"/>
      <c r="J1238" s="7"/>
      <c r="K1238" s="7"/>
    </row>
    <row r="1239" spans="1:11" x14ac:dyDescent="0.35">
      <c r="A1239" s="7" t="str">
        <f>IF(Notes!BY1235="","",Notes!BY1235)</f>
        <v/>
      </c>
      <c r="B1239" s="7" t="str">
        <f>IF(Notes!BZ1235="","",Notes!BZ1235)</f>
        <v/>
      </c>
      <c r="C1239" s="7" t="str">
        <f>IF(Notes!CA1235="","",Notes!CA1235)</f>
        <v/>
      </c>
      <c r="D1239" s="7" t="str">
        <f>IF(Notes!CB1235="","",Notes!CB1235)</f>
        <v/>
      </c>
      <c r="E1239" s="7" t="str">
        <f>IF(Notes!CC1235="","",Notes!CC1235)</f>
        <v/>
      </c>
      <c r="F1239" s="7" t="str">
        <f>IF(Notes!CD1235="","",Notes!CD1235)</f>
        <v/>
      </c>
      <c r="G1239" s="7" t="str">
        <f>IF(Notes!CE1235="","",Notes!CE1235)</f>
        <v/>
      </c>
      <c r="H1239" s="7" t="str">
        <f>IF(Notes!CF1235="","",Notes!CF1235)</f>
        <v/>
      </c>
      <c r="I1239" s="7"/>
      <c r="J1239" s="7"/>
      <c r="K1239" s="7"/>
    </row>
    <row r="1240" spans="1:11" x14ac:dyDescent="0.35">
      <c r="A1240" s="7" t="str">
        <f>IF(Notes!BY1236="","",Notes!BY1236)</f>
        <v/>
      </c>
      <c r="B1240" s="7" t="str">
        <f>IF(Notes!BZ1236="","",Notes!BZ1236)</f>
        <v/>
      </c>
      <c r="C1240" s="7" t="str">
        <f>IF(Notes!CA1236="","",Notes!CA1236)</f>
        <v/>
      </c>
      <c r="D1240" s="7" t="str">
        <f>IF(Notes!CB1236="","",Notes!CB1236)</f>
        <v/>
      </c>
      <c r="E1240" s="7" t="str">
        <f>IF(Notes!CC1236="","",Notes!CC1236)</f>
        <v/>
      </c>
      <c r="F1240" s="7" t="str">
        <f>IF(Notes!CD1236="","",Notes!CD1236)</f>
        <v/>
      </c>
      <c r="G1240" s="7" t="str">
        <f>IF(Notes!CE1236="","",Notes!CE1236)</f>
        <v/>
      </c>
      <c r="H1240" s="7" t="str">
        <f>IF(Notes!CF1236="","",Notes!CF1236)</f>
        <v/>
      </c>
      <c r="I1240" s="7"/>
      <c r="J1240" s="7"/>
      <c r="K1240" s="7"/>
    </row>
    <row r="1241" spans="1:11" x14ac:dyDescent="0.35">
      <c r="A1241" s="7" t="str">
        <f>IF(Notes!BY1237="","",Notes!BY1237)</f>
        <v/>
      </c>
      <c r="B1241" s="7" t="str">
        <f>IF(Notes!BZ1237="","",Notes!BZ1237)</f>
        <v/>
      </c>
      <c r="C1241" s="7" t="str">
        <f>IF(Notes!CA1237="","",Notes!CA1237)</f>
        <v/>
      </c>
      <c r="D1241" s="7" t="str">
        <f>IF(Notes!CB1237="","",Notes!CB1237)</f>
        <v/>
      </c>
      <c r="E1241" s="7" t="str">
        <f>IF(Notes!CC1237="","",Notes!CC1237)</f>
        <v/>
      </c>
      <c r="F1241" s="7" t="str">
        <f>IF(Notes!CD1237="","",Notes!CD1237)</f>
        <v/>
      </c>
      <c r="G1241" s="7" t="str">
        <f>IF(Notes!CE1237="","",Notes!CE1237)</f>
        <v/>
      </c>
      <c r="H1241" s="7" t="str">
        <f>IF(Notes!CF1237="","",Notes!CF1237)</f>
        <v/>
      </c>
      <c r="I1241" s="7"/>
      <c r="J1241" s="7"/>
      <c r="K1241" s="7"/>
    </row>
    <row r="1242" spans="1:11" x14ac:dyDescent="0.35">
      <c r="A1242" s="7" t="str">
        <f>IF(Notes!BY1238="","",Notes!BY1238)</f>
        <v/>
      </c>
      <c r="B1242" s="7" t="str">
        <f>IF(Notes!BZ1238="","",Notes!BZ1238)</f>
        <v/>
      </c>
      <c r="C1242" s="7" t="str">
        <f>IF(Notes!CA1238="","",Notes!CA1238)</f>
        <v/>
      </c>
      <c r="D1242" s="7" t="str">
        <f>IF(Notes!CB1238="","",Notes!CB1238)</f>
        <v/>
      </c>
      <c r="E1242" s="7" t="str">
        <f>IF(Notes!CC1238="","",Notes!CC1238)</f>
        <v/>
      </c>
      <c r="F1242" s="7" t="str">
        <f>IF(Notes!CD1238="","",Notes!CD1238)</f>
        <v/>
      </c>
      <c r="G1242" s="7" t="str">
        <f>IF(Notes!CE1238="","",Notes!CE1238)</f>
        <v/>
      </c>
      <c r="H1242" s="7" t="str">
        <f>IF(Notes!CF1238="","",Notes!CF1238)</f>
        <v/>
      </c>
      <c r="I1242" s="7"/>
      <c r="J1242" s="7"/>
      <c r="K1242" s="7"/>
    </row>
    <row r="1243" spans="1:11" x14ac:dyDescent="0.35">
      <c r="A1243" s="7" t="str">
        <f>IF(Notes!BY1239="","",Notes!BY1239)</f>
        <v/>
      </c>
      <c r="B1243" s="7" t="str">
        <f>IF(Notes!BZ1239="","",Notes!BZ1239)</f>
        <v/>
      </c>
      <c r="C1243" s="7" t="str">
        <f>IF(Notes!CA1239="","",Notes!CA1239)</f>
        <v/>
      </c>
      <c r="D1243" s="7" t="str">
        <f>IF(Notes!CB1239="","",Notes!CB1239)</f>
        <v/>
      </c>
      <c r="E1243" s="7" t="str">
        <f>IF(Notes!CC1239="","",Notes!CC1239)</f>
        <v/>
      </c>
      <c r="F1243" s="7" t="str">
        <f>IF(Notes!CD1239="","",Notes!CD1239)</f>
        <v/>
      </c>
      <c r="G1243" s="7" t="str">
        <f>IF(Notes!CE1239="","",Notes!CE1239)</f>
        <v/>
      </c>
      <c r="H1243" s="7" t="str">
        <f>IF(Notes!CF1239="","",Notes!CF1239)</f>
        <v/>
      </c>
      <c r="I1243" s="7"/>
      <c r="J1243" s="7"/>
      <c r="K1243" s="7"/>
    </row>
    <row r="1244" spans="1:11" x14ac:dyDescent="0.35">
      <c r="A1244" s="7" t="str">
        <f>IF(Notes!BY1240="","",Notes!BY1240)</f>
        <v/>
      </c>
      <c r="B1244" s="7" t="str">
        <f>IF(Notes!BZ1240="","",Notes!BZ1240)</f>
        <v/>
      </c>
      <c r="C1244" s="7" t="str">
        <f>IF(Notes!CA1240="","",Notes!CA1240)</f>
        <v/>
      </c>
      <c r="D1244" s="7" t="str">
        <f>IF(Notes!CB1240="","",Notes!CB1240)</f>
        <v/>
      </c>
      <c r="E1244" s="7" t="str">
        <f>IF(Notes!CC1240="","",Notes!CC1240)</f>
        <v/>
      </c>
      <c r="F1244" s="7" t="str">
        <f>IF(Notes!CD1240="","",Notes!CD1240)</f>
        <v/>
      </c>
      <c r="G1244" s="7" t="str">
        <f>IF(Notes!CE1240="","",Notes!CE1240)</f>
        <v/>
      </c>
      <c r="H1244" s="7" t="str">
        <f>IF(Notes!CF1240="","",Notes!CF1240)</f>
        <v/>
      </c>
      <c r="I1244" s="7"/>
      <c r="J1244" s="7"/>
      <c r="K1244" s="7"/>
    </row>
    <row r="1245" spans="1:11" x14ac:dyDescent="0.35">
      <c r="A1245" s="7" t="str">
        <f>IF(Notes!BY1241="","",Notes!BY1241)</f>
        <v/>
      </c>
      <c r="B1245" s="7" t="str">
        <f>IF(Notes!BZ1241="","",Notes!BZ1241)</f>
        <v/>
      </c>
      <c r="C1245" s="7" t="str">
        <f>IF(Notes!CA1241="","",Notes!CA1241)</f>
        <v/>
      </c>
      <c r="D1245" s="7" t="str">
        <f>IF(Notes!CB1241="","",Notes!CB1241)</f>
        <v/>
      </c>
      <c r="E1245" s="7" t="str">
        <f>IF(Notes!CC1241="","",Notes!CC1241)</f>
        <v/>
      </c>
      <c r="F1245" s="7" t="str">
        <f>IF(Notes!CD1241="","",Notes!CD1241)</f>
        <v/>
      </c>
      <c r="G1245" s="7" t="str">
        <f>IF(Notes!CE1241="","",Notes!CE1241)</f>
        <v/>
      </c>
      <c r="H1245" s="7" t="str">
        <f>IF(Notes!CF1241="","",Notes!CF1241)</f>
        <v/>
      </c>
      <c r="I1245" s="7"/>
      <c r="J1245" s="7"/>
      <c r="K1245" s="7"/>
    </row>
    <row r="1246" spans="1:11" x14ac:dyDescent="0.35">
      <c r="A1246" s="7" t="str">
        <f>IF(Notes!BY1242="","",Notes!BY1242)</f>
        <v/>
      </c>
      <c r="B1246" s="7" t="str">
        <f>IF(Notes!BZ1242="","",Notes!BZ1242)</f>
        <v/>
      </c>
      <c r="C1246" s="7" t="str">
        <f>IF(Notes!CA1242="","",Notes!CA1242)</f>
        <v/>
      </c>
      <c r="D1246" s="7" t="str">
        <f>IF(Notes!CB1242="","",Notes!CB1242)</f>
        <v/>
      </c>
      <c r="E1246" s="7" t="str">
        <f>IF(Notes!CC1242="","",Notes!CC1242)</f>
        <v/>
      </c>
      <c r="F1246" s="7" t="str">
        <f>IF(Notes!CD1242="","",Notes!CD1242)</f>
        <v/>
      </c>
      <c r="G1246" s="7" t="str">
        <f>IF(Notes!CE1242="","",Notes!CE1242)</f>
        <v/>
      </c>
      <c r="H1246" s="7" t="str">
        <f>IF(Notes!CF1242="","",Notes!CF1242)</f>
        <v/>
      </c>
      <c r="I1246" s="7"/>
      <c r="J1246" s="7"/>
      <c r="K1246" s="7"/>
    </row>
    <row r="1247" spans="1:11" x14ac:dyDescent="0.35">
      <c r="A1247" s="7" t="str">
        <f>IF(Notes!BY1243="","",Notes!BY1243)</f>
        <v/>
      </c>
      <c r="B1247" s="7" t="str">
        <f>IF(Notes!BZ1243="","",Notes!BZ1243)</f>
        <v/>
      </c>
      <c r="C1247" s="7" t="str">
        <f>IF(Notes!CA1243="","",Notes!CA1243)</f>
        <v/>
      </c>
      <c r="D1247" s="7" t="str">
        <f>IF(Notes!CB1243="","",Notes!CB1243)</f>
        <v/>
      </c>
      <c r="E1247" s="7" t="str">
        <f>IF(Notes!CC1243="","",Notes!CC1243)</f>
        <v/>
      </c>
      <c r="F1247" s="7" t="str">
        <f>IF(Notes!CD1243="","",Notes!CD1243)</f>
        <v/>
      </c>
      <c r="G1247" s="7" t="str">
        <f>IF(Notes!CE1243="","",Notes!CE1243)</f>
        <v/>
      </c>
      <c r="H1247" s="7" t="str">
        <f>IF(Notes!CF1243="","",Notes!CF1243)</f>
        <v/>
      </c>
      <c r="I1247" s="7"/>
      <c r="J1247" s="7"/>
      <c r="K1247" s="7"/>
    </row>
    <row r="1248" spans="1:11" x14ac:dyDescent="0.35">
      <c r="A1248" s="7" t="str">
        <f>IF(Notes!BY1244="","",Notes!BY1244)</f>
        <v/>
      </c>
      <c r="B1248" s="7" t="str">
        <f>IF(Notes!BZ1244="","",Notes!BZ1244)</f>
        <v/>
      </c>
      <c r="C1248" s="7" t="str">
        <f>IF(Notes!CA1244="","",Notes!CA1244)</f>
        <v/>
      </c>
      <c r="D1248" s="7" t="str">
        <f>IF(Notes!CB1244="","",Notes!CB1244)</f>
        <v/>
      </c>
      <c r="E1248" s="7" t="str">
        <f>IF(Notes!CC1244="","",Notes!CC1244)</f>
        <v/>
      </c>
      <c r="F1248" s="7" t="str">
        <f>IF(Notes!CD1244="","",Notes!CD1244)</f>
        <v/>
      </c>
      <c r="G1248" s="7" t="str">
        <f>IF(Notes!CE1244="","",Notes!CE1244)</f>
        <v/>
      </c>
      <c r="H1248" s="7" t="str">
        <f>IF(Notes!CF1244="","",Notes!CF1244)</f>
        <v/>
      </c>
      <c r="I1248" s="7"/>
      <c r="J1248" s="7"/>
      <c r="K1248" s="7"/>
    </row>
    <row r="1249" spans="1:11" x14ac:dyDescent="0.35">
      <c r="A1249" s="7" t="str">
        <f>IF(Notes!BY1245="","",Notes!BY1245)</f>
        <v/>
      </c>
      <c r="B1249" s="7" t="str">
        <f>IF(Notes!BZ1245="","",Notes!BZ1245)</f>
        <v/>
      </c>
      <c r="C1249" s="7" t="str">
        <f>IF(Notes!CA1245="","",Notes!CA1245)</f>
        <v/>
      </c>
      <c r="D1249" s="7" t="str">
        <f>IF(Notes!CB1245="","",Notes!CB1245)</f>
        <v/>
      </c>
      <c r="E1249" s="7" t="str">
        <f>IF(Notes!CC1245="","",Notes!CC1245)</f>
        <v/>
      </c>
      <c r="F1249" s="7" t="str">
        <f>IF(Notes!CD1245="","",Notes!CD1245)</f>
        <v/>
      </c>
      <c r="G1249" s="7" t="str">
        <f>IF(Notes!CE1245="","",Notes!CE1245)</f>
        <v/>
      </c>
      <c r="H1249" s="7" t="str">
        <f>IF(Notes!CF1245="","",Notes!CF1245)</f>
        <v/>
      </c>
      <c r="I1249" s="7"/>
      <c r="J1249" s="7"/>
      <c r="K1249" s="7"/>
    </row>
    <row r="1250" spans="1:11" x14ac:dyDescent="0.35">
      <c r="A1250" s="7" t="str">
        <f>IF(Notes!BY1246="","",Notes!BY1246)</f>
        <v/>
      </c>
      <c r="B1250" s="7" t="str">
        <f>IF(Notes!BZ1246="","",Notes!BZ1246)</f>
        <v/>
      </c>
      <c r="C1250" s="7" t="str">
        <f>IF(Notes!CA1246="","",Notes!CA1246)</f>
        <v/>
      </c>
      <c r="D1250" s="7" t="str">
        <f>IF(Notes!CB1246="","",Notes!CB1246)</f>
        <v/>
      </c>
      <c r="E1250" s="7" t="str">
        <f>IF(Notes!CC1246="","",Notes!CC1246)</f>
        <v/>
      </c>
      <c r="F1250" s="7" t="str">
        <f>IF(Notes!CD1246="","",Notes!CD1246)</f>
        <v/>
      </c>
      <c r="G1250" s="7" t="str">
        <f>IF(Notes!CE1246="","",Notes!CE1246)</f>
        <v/>
      </c>
      <c r="H1250" s="7" t="str">
        <f>IF(Notes!CF1246="","",Notes!CF1246)</f>
        <v/>
      </c>
      <c r="I1250" s="7"/>
      <c r="J1250" s="7"/>
      <c r="K1250" s="7"/>
    </row>
    <row r="1251" spans="1:11" x14ac:dyDescent="0.35">
      <c r="A1251" s="7" t="str">
        <f>IF(Notes!BY1247="","",Notes!BY1247)</f>
        <v/>
      </c>
      <c r="B1251" s="7" t="str">
        <f>IF(Notes!BZ1247="","",Notes!BZ1247)</f>
        <v/>
      </c>
      <c r="C1251" s="7" t="str">
        <f>IF(Notes!CA1247="","",Notes!CA1247)</f>
        <v/>
      </c>
      <c r="D1251" s="7" t="str">
        <f>IF(Notes!CB1247="","",Notes!CB1247)</f>
        <v/>
      </c>
      <c r="E1251" s="7" t="str">
        <f>IF(Notes!CC1247="","",Notes!CC1247)</f>
        <v/>
      </c>
      <c r="F1251" s="7" t="str">
        <f>IF(Notes!CD1247="","",Notes!CD1247)</f>
        <v/>
      </c>
      <c r="G1251" s="7" t="str">
        <f>IF(Notes!CE1247="","",Notes!CE1247)</f>
        <v/>
      </c>
      <c r="H1251" s="7" t="str">
        <f>IF(Notes!CF1247="","",Notes!CF1247)</f>
        <v/>
      </c>
      <c r="I1251" s="7"/>
      <c r="J1251" s="7"/>
      <c r="K1251" s="7"/>
    </row>
    <row r="1252" spans="1:11" x14ac:dyDescent="0.35">
      <c r="A1252" s="7" t="str">
        <f>IF(Notes!BY1248="","",Notes!BY1248)</f>
        <v/>
      </c>
      <c r="B1252" s="7" t="str">
        <f>IF(Notes!BZ1248="","",Notes!BZ1248)</f>
        <v/>
      </c>
      <c r="C1252" s="7" t="str">
        <f>IF(Notes!CA1248="","",Notes!CA1248)</f>
        <v/>
      </c>
      <c r="D1252" s="7" t="str">
        <f>IF(Notes!CB1248="","",Notes!CB1248)</f>
        <v/>
      </c>
      <c r="E1252" s="7" t="str">
        <f>IF(Notes!CC1248="","",Notes!CC1248)</f>
        <v/>
      </c>
      <c r="F1252" s="7" t="str">
        <f>IF(Notes!CD1248="","",Notes!CD1248)</f>
        <v/>
      </c>
      <c r="G1252" s="7" t="str">
        <f>IF(Notes!CE1248="","",Notes!CE1248)</f>
        <v/>
      </c>
      <c r="H1252" s="7" t="str">
        <f>IF(Notes!CF1248="","",Notes!CF1248)</f>
        <v/>
      </c>
      <c r="I1252" s="7"/>
      <c r="J1252" s="7"/>
      <c r="K1252" s="7"/>
    </row>
    <row r="1253" spans="1:11" x14ac:dyDescent="0.35">
      <c r="A1253" s="7" t="str">
        <f>IF(Notes!BY1249="","",Notes!BY1249)</f>
        <v/>
      </c>
      <c r="B1253" s="7" t="str">
        <f>IF(Notes!BZ1249="","",Notes!BZ1249)</f>
        <v/>
      </c>
      <c r="C1253" s="7" t="str">
        <f>IF(Notes!CA1249="","",Notes!CA1249)</f>
        <v/>
      </c>
      <c r="D1253" s="7" t="str">
        <f>IF(Notes!CB1249="","",Notes!CB1249)</f>
        <v/>
      </c>
      <c r="E1253" s="7" t="str">
        <f>IF(Notes!CC1249="","",Notes!CC1249)</f>
        <v/>
      </c>
      <c r="F1253" s="7" t="str">
        <f>IF(Notes!CD1249="","",Notes!CD1249)</f>
        <v/>
      </c>
      <c r="G1253" s="7" t="str">
        <f>IF(Notes!CE1249="","",Notes!CE1249)</f>
        <v/>
      </c>
      <c r="H1253" s="7" t="str">
        <f>IF(Notes!CF1249="","",Notes!CF1249)</f>
        <v/>
      </c>
      <c r="I1253" s="7"/>
      <c r="J1253" s="7"/>
      <c r="K1253" s="7"/>
    </row>
    <row r="1254" spans="1:11" x14ac:dyDescent="0.35">
      <c r="A1254" s="7" t="str">
        <f>IF(Notes!BY1250="","",Notes!BY1250)</f>
        <v/>
      </c>
      <c r="B1254" s="7" t="str">
        <f>IF(Notes!BZ1250="","",Notes!BZ1250)</f>
        <v/>
      </c>
      <c r="C1254" s="7" t="str">
        <f>IF(Notes!CA1250="","",Notes!CA1250)</f>
        <v/>
      </c>
      <c r="D1254" s="7" t="str">
        <f>IF(Notes!CB1250="","",Notes!CB1250)</f>
        <v/>
      </c>
      <c r="E1254" s="7" t="str">
        <f>IF(Notes!CC1250="","",Notes!CC1250)</f>
        <v/>
      </c>
      <c r="F1254" s="7" t="str">
        <f>IF(Notes!CD1250="","",Notes!CD1250)</f>
        <v/>
      </c>
      <c r="G1254" s="7" t="str">
        <f>IF(Notes!CE1250="","",Notes!CE1250)</f>
        <v/>
      </c>
      <c r="H1254" s="7" t="str">
        <f>IF(Notes!CF1250="","",Notes!CF1250)</f>
        <v/>
      </c>
      <c r="I1254" s="7"/>
      <c r="J1254" s="7"/>
      <c r="K1254" s="7"/>
    </row>
    <row r="1255" spans="1:11" x14ac:dyDescent="0.35">
      <c r="A1255" s="7" t="str">
        <f>IF(Notes!BY1251="","",Notes!BY1251)</f>
        <v/>
      </c>
      <c r="B1255" s="7" t="str">
        <f>IF(Notes!BZ1251="","",Notes!BZ1251)</f>
        <v/>
      </c>
      <c r="C1255" s="7" t="str">
        <f>IF(Notes!CA1251="","",Notes!CA1251)</f>
        <v/>
      </c>
      <c r="D1255" s="7" t="str">
        <f>IF(Notes!CB1251="","",Notes!CB1251)</f>
        <v/>
      </c>
      <c r="E1255" s="7" t="str">
        <f>IF(Notes!CC1251="","",Notes!CC1251)</f>
        <v/>
      </c>
      <c r="F1255" s="7" t="str">
        <f>IF(Notes!CD1251="","",Notes!CD1251)</f>
        <v/>
      </c>
      <c r="G1255" s="7" t="str">
        <f>IF(Notes!CE1251="","",Notes!CE1251)</f>
        <v/>
      </c>
      <c r="H1255" s="7" t="str">
        <f>IF(Notes!CF1251="","",Notes!CF1251)</f>
        <v/>
      </c>
      <c r="I1255" s="7"/>
      <c r="J1255" s="7"/>
      <c r="K1255" s="7"/>
    </row>
    <row r="1256" spans="1:11" x14ac:dyDescent="0.35">
      <c r="A1256" s="7" t="str">
        <f>IF(Notes!BY1252="","",Notes!BY1252)</f>
        <v/>
      </c>
      <c r="B1256" s="7" t="str">
        <f>IF(Notes!BZ1252="","",Notes!BZ1252)</f>
        <v/>
      </c>
      <c r="C1256" s="7" t="str">
        <f>IF(Notes!CA1252="","",Notes!CA1252)</f>
        <v/>
      </c>
      <c r="D1256" s="7" t="str">
        <f>IF(Notes!CB1252="","",Notes!CB1252)</f>
        <v/>
      </c>
      <c r="E1256" s="7" t="str">
        <f>IF(Notes!CC1252="","",Notes!CC1252)</f>
        <v/>
      </c>
      <c r="F1256" s="7" t="str">
        <f>IF(Notes!CD1252="","",Notes!CD1252)</f>
        <v/>
      </c>
      <c r="G1256" s="7" t="str">
        <f>IF(Notes!CE1252="","",Notes!CE1252)</f>
        <v/>
      </c>
      <c r="H1256" s="7" t="str">
        <f>IF(Notes!CF1252="","",Notes!CF1252)</f>
        <v/>
      </c>
      <c r="I1256" s="7"/>
      <c r="J1256" s="7"/>
      <c r="K1256" s="7"/>
    </row>
    <row r="1257" spans="1:11" x14ac:dyDescent="0.35">
      <c r="A1257" s="7" t="str">
        <f>IF(Notes!BY1253="","",Notes!BY1253)</f>
        <v/>
      </c>
      <c r="B1257" s="7" t="str">
        <f>IF(Notes!BZ1253="","",Notes!BZ1253)</f>
        <v/>
      </c>
      <c r="C1257" s="7" t="str">
        <f>IF(Notes!CA1253="","",Notes!CA1253)</f>
        <v/>
      </c>
      <c r="D1257" s="7" t="str">
        <f>IF(Notes!CB1253="","",Notes!CB1253)</f>
        <v/>
      </c>
      <c r="E1257" s="7" t="str">
        <f>IF(Notes!CC1253="","",Notes!CC1253)</f>
        <v/>
      </c>
      <c r="F1257" s="7" t="str">
        <f>IF(Notes!CD1253="","",Notes!CD1253)</f>
        <v/>
      </c>
      <c r="G1257" s="7" t="str">
        <f>IF(Notes!CE1253="","",Notes!CE1253)</f>
        <v/>
      </c>
      <c r="H1257" s="7" t="str">
        <f>IF(Notes!CF1253="","",Notes!CF1253)</f>
        <v/>
      </c>
      <c r="I1257" s="7"/>
      <c r="J1257" s="7"/>
      <c r="K1257" s="7"/>
    </row>
    <row r="1258" spans="1:11" x14ac:dyDescent="0.35">
      <c r="A1258" s="7" t="str">
        <f>IF(Notes!BY1254="","",Notes!BY1254)</f>
        <v/>
      </c>
      <c r="B1258" s="7" t="str">
        <f>IF(Notes!BZ1254="","",Notes!BZ1254)</f>
        <v/>
      </c>
      <c r="C1258" s="7" t="str">
        <f>IF(Notes!CA1254="","",Notes!CA1254)</f>
        <v/>
      </c>
      <c r="D1258" s="7" t="str">
        <f>IF(Notes!CB1254="","",Notes!CB1254)</f>
        <v/>
      </c>
      <c r="E1258" s="7" t="str">
        <f>IF(Notes!CC1254="","",Notes!CC1254)</f>
        <v/>
      </c>
      <c r="F1258" s="7" t="str">
        <f>IF(Notes!CD1254="","",Notes!CD1254)</f>
        <v/>
      </c>
      <c r="G1258" s="7" t="str">
        <f>IF(Notes!CE1254="","",Notes!CE1254)</f>
        <v/>
      </c>
      <c r="H1258" s="7" t="str">
        <f>IF(Notes!CF1254="","",Notes!CF1254)</f>
        <v/>
      </c>
      <c r="I1258" s="7"/>
      <c r="J1258" s="7"/>
      <c r="K1258" s="7"/>
    </row>
    <row r="1259" spans="1:11" x14ac:dyDescent="0.35">
      <c r="A1259" s="7" t="str">
        <f>IF(Notes!BY1255="","",Notes!BY1255)</f>
        <v/>
      </c>
      <c r="B1259" s="7" t="str">
        <f>IF(Notes!BZ1255="","",Notes!BZ1255)</f>
        <v/>
      </c>
      <c r="C1259" s="7" t="str">
        <f>IF(Notes!CA1255="","",Notes!CA1255)</f>
        <v/>
      </c>
      <c r="D1259" s="7" t="str">
        <f>IF(Notes!CB1255="","",Notes!CB1255)</f>
        <v/>
      </c>
      <c r="E1259" s="7" t="str">
        <f>IF(Notes!CC1255="","",Notes!CC1255)</f>
        <v/>
      </c>
      <c r="F1259" s="7" t="str">
        <f>IF(Notes!CD1255="","",Notes!CD1255)</f>
        <v/>
      </c>
      <c r="G1259" s="7" t="str">
        <f>IF(Notes!CE1255="","",Notes!CE1255)</f>
        <v/>
      </c>
      <c r="H1259" s="7" t="str">
        <f>IF(Notes!CF1255="","",Notes!CF1255)</f>
        <v/>
      </c>
      <c r="I1259" s="7"/>
      <c r="J1259" s="7"/>
      <c r="K1259" s="7"/>
    </row>
    <row r="1260" spans="1:11" x14ac:dyDescent="0.35">
      <c r="A1260" s="7" t="str">
        <f>IF(Notes!BY1256="","",Notes!BY1256)</f>
        <v/>
      </c>
      <c r="B1260" s="7" t="str">
        <f>IF(Notes!BZ1256="","",Notes!BZ1256)</f>
        <v/>
      </c>
      <c r="C1260" s="7" t="str">
        <f>IF(Notes!CA1256="","",Notes!CA1256)</f>
        <v/>
      </c>
      <c r="D1260" s="7" t="str">
        <f>IF(Notes!CB1256="","",Notes!CB1256)</f>
        <v/>
      </c>
      <c r="E1260" s="7" t="str">
        <f>IF(Notes!CC1256="","",Notes!CC1256)</f>
        <v/>
      </c>
      <c r="F1260" s="7" t="str">
        <f>IF(Notes!CD1256="","",Notes!CD1256)</f>
        <v/>
      </c>
      <c r="G1260" s="7" t="str">
        <f>IF(Notes!CE1256="","",Notes!CE1256)</f>
        <v/>
      </c>
      <c r="H1260" s="7" t="str">
        <f>IF(Notes!CF1256="","",Notes!CF1256)</f>
        <v/>
      </c>
      <c r="I1260" s="7"/>
      <c r="J1260" s="7"/>
      <c r="K1260" s="7"/>
    </row>
    <row r="1261" spans="1:11" x14ac:dyDescent="0.35">
      <c r="A1261" s="7" t="str">
        <f>IF(Notes!BY1257="","",Notes!BY1257)</f>
        <v/>
      </c>
      <c r="B1261" s="7" t="str">
        <f>IF(Notes!BZ1257="","",Notes!BZ1257)</f>
        <v/>
      </c>
      <c r="C1261" s="7" t="str">
        <f>IF(Notes!CA1257="","",Notes!CA1257)</f>
        <v/>
      </c>
      <c r="D1261" s="7" t="str">
        <f>IF(Notes!CB1257="","",Notes!CB1257)</f>
        <v/>
      </c>
      <c r="E1261" s="7" t="str">
        <f>IF(Notes!CC1257="","",Notes!CC1257)</f>
        <v/>
      </c>
      <c r="F1261" s="7" t="str">
        <f>IF(Notes!CD1257="","",Notes!CD1257)</f>
        <v/>
      </c>
      <c r="G1261" s="7" t="str">
        <f>IF(Notes!CE1257="","",Notes!CE1257)</f>
        <v/>
      </c>
      <c r="H1261" s="7" t="str">
        <f>IF(Notes!CF1257="","",Notes!CF1257)</f>
        <v/>
      </c>
      <c r="I1261" s="7"/>
      <c r="J1261" s="7"/>
      <c r="K1261" s="7"/>
    </row>
    <row r="1262" spans="1:11" x14ac:dyDescent="0.35">
      <c r="A1262" s="7" t="str">
        <f>IF(Notes!BY1258="","",Notes!BY1258)</f>
        <v/>
      </c>
      <c r="B1262" s="7" t="str">
        <f>IF(Notes!BZ1258="","",Notes!BZ1258)</f>
        <v/>
      </c>
      <c r="C1262" s="7" t="str">
        <f>IF(Notes!CA1258="","",Notes!CA1258)</f>
        <v/>
      </c>
      <c r="D1262" s="7" t="str">
        <f>IF(Notes!CB1258="","",Notes!CB1258)</f>
        <v/>
      </c>
      <c r="E1262" s="7" t="str">
        <f>IF(Notes!CC1258="","",Notes!CC1258)</f>
        <v/>
      </c>
      <c r="F1262" s="7" t="str">
        <f>IF(Notes!CD1258="","",Notes!CD1258)</f>
        <v/>
      </c>
      <c r="G1262" s="7" t="str">
        <f>IF(Notes!CE1258="","",Notes!CE1258)</f>
        <v/>
      </c>
      <c r="H1262" s="7" t="str">
        <f>IF(Notes!CF1258="","",Notes!CF1258)</f>
        <v/>
      </c>
      <c r="I1262" s="7"/>
      <c r="J1262" s="7"/>
      <c r="K1262" s="7"/>
    </row>
    <row r="1263" spans="1:11" x14ac:dyDescent="0.35">
      <c r="A1263" s="7" t="str">
        <f>IF(Notes!BY1259="","",Notes!BY1259)</f>
        <v/>
      </c>
      <c r="B1263" s="7" t="str">
        <f>IF(Notes!BZ1259="","",Notes!BZ1259)</f>
        <v/>
      </c>
      <c r="C1263" s="7" t="str">
        <f>IF(Notes!CA1259="","",Notes!CA1259)</f>
        <v/>
      </c>
      <c r="D1263" s="7" t="str">
        <f>IF(Notes!CB1259="","",Notes!CB1259)</f>
        <v/>
      </c>
      <c r="E1263" s="7" t="str">
        <f>IF(Notes!CC1259="","",Notes!CC1259)</f>
        <v/>
      </c>
      <c r="F1263" s="7" t="str">
        <f>IF(Notes!CD1259="","",Notes!CD1259)</f>
        <v/>
      </c>
      <c r="G1263" s="7" t="str">
        <f>IF(Notes!CE1259="","",Notes!CE1259)</f>
        <v/>
      </c>
      <c r="H1263" s="7" t="str">
        <f>IF(Notes!CF1259="","",Notes!CF1259)</f>
        <v/>
      </c>
      <c r="I1263" s="7"/>
      <c r="J1263" s="7"/>
      <c r="K1263" s="7"/>
    </row>
    <row r="1264" spans="1:11" x14ac:dyDescent="0.35">
      <c r="A1264" s="7" t="str">
        <f>IF(Notes!BY1260="","",Notes!BY1260)</f>
        <v/>
      </c>
      <c r="B1264" s="7" t="str">
        <f>IF(Notes!BZ1260="","",Notes!BZ1260)</f>
        <v/>
      </c>
      <c r="C1264" s="7" t="str">
        <f>IF(Notes!CA1260="","",Notes!CA1260)</f>
        <v/>
      </c>
      <c r="D1264" s="7" t="str">
        <f>IF(Notes!CB1260="","",Notes!CB1260)</f>
        <v/>
      </c>
      <c r="E1264" s="7" t="str">
        <f>IF(Notes!CC1260="","",Notes!CC1260)</f>
        <v/>
      </c>
      <c r="F1264" s="7" t="str">
        <f>IF(Notes!CD1260="","",Notes!CD1260)</f>
        <v/>
      </c>
      <c r="G1264" s="7" t="str">
        <f>IF(Notes!CE1260="","",Notes!CE1260)</f>
        <v/>
      </c>
      <c r="H1264" s="7" t="str">
        <f>IF(Notes!CF1260="","",Notes!CF1260)</f>
        <v/>
      </c>
      <c r="I1264" s="7"/>
      <c r="J1264" s="7"/>
      <c r="K1264" s="7"/>
    </row>
    <row r="1265" spans="1:11" x14ac:dyDescent="0.35">
      <c r="A1265" s="7" t="str">
        <f>IF(Notes!BY1261="","",Notes!BY1261)</f>
        <v/>
      </c>
      <c r="B1265" s="7" t="str">
        <f>IF(Notes!BZ1261="","",Notes!BZ1261)</f>
        <v/>
      </c>
      <c r="C1265" s="7" t="str">
        <f>IF(Notes!CA1261="","",Notes!CA1261)</f>
        <v/>
      </c>
      <c r="D1265" s="7" t="str">
        <f>IF(Notes!CB1261="","",Notes!CB1261)</f>
        <v/>
      </c>
      <c r="E1265" s="7" t="str">
        <f>IF(Notes!CC1261="","",Notes!CC1261)</f>
        <v/>
      </c>
      <c r="F1265" s="7" t="str">
        <f>IF(Notes!CD1261="","",Notes!CD1261)</f>
        <v/>
      </c>
      <c r="G1265" s="7" t="str">
        <f>IF(Notes!CE1261="","",Notes!CE1261)</f>
        <v/>
      </c>
      <c r="H1265" s="7" t="str">
        <f>IF(Notes!CF1261="","",Notes!CF1261)</f>
        <v/>
      </c>
      <c r="I1265" s="7"/>
      <c r="J1265" s="7"/>
      <c r="K1265" s="7"/>
    </row>
    <row r="1266" spans="1:11" x14ac:dyDescent="0.35">
      <c r="A1266" s="7" t="str">
        <f>IF(Notes!BY1262="","",Notes!BY1262)</f>
        <v/>
      </c>
      <c r="B1266" s="7" t="str">
        <f>IF(Notes!BZ1262="","",Notes!BZ1262)</f>
        <v/>
      </c>
      <c r="C1266" s="7" t="str">
        <f>IF(Notes!CA1262="","",Notes!CA1262)</f>
        <v/>
      </c>
      <c r="D1266" s="7" t="str">
        <f>IF(Notes!CB1262="","",Notes!CB1262)</f>
        <v/>
      </c>
      <c r="E1266" s="7" t="str">
        <f>IF(Notes!CC1262="","",Notes!CC1262)</f>
        <v/>
      </c>
      <c r="F1266" s="7" t="str">
        <f>IF(Notes!CD1262="","",Notes!CD1262)</f>
        <v/>
      </c>
      <c r="G1266" s="7" t="str">
        <f>IF(Notes!CE1262="","",Notes!CE1262)</f>
        <v/>
      </c>
      <c r="H1266" s="7" t="str">
        <f>IF(Notes!CF1262="","",Notes!CF1262)</f>
        <v/>
      </c>
      <c r="I1266" s="7"/>
      <c r="J1266" s="7"/>
      <c r="K1266" s="7"/>
    </row>
    <row r="1267" spans="1:11" x14ac:dyDescent="0.35">
      <c r="A1267" s="7" t="str">
        <f>IF(Notes!BY1263="","",Notes!BY1263)</f>
        <v/>
      </c>
      <c r="B1267" s="7" t="str">
        <f>IF(Notes!BZ1263="","",Notes!BZ1263)</f>
        <v/>
      </c>
      <c r="C1267" s="7" t="str">
        <f>IF(Notes!CA1263="","",Notes!CA1263)</f>
        <v/>
      </c>
      <c r="D1267" s="7" t="str">
        <f>IF(Notes!CB1263="","",Notes!CB1263)</f>
        <v/>
      </c>
      <c r="E1267" s="7" t="str">
        <f>IF(Notes!CC1263="","",Notes!CC1263)</f>
        <v/>
      </c>
      <c r="F1267" s="7" t="str">
        <f>IF(Notes!CD1263="","",Notes!CD1263)</f>
        <v/>
      </c>
      <c r="G1267" s="7" t="str">
        <f>IF(Notes!CE1263="","",Notes!CE1263)</f>
        <v/>
      </c>
      <c r="H1267" s="7" t="str">
        <f>IF(Notes!CF1263="","",Notes!CF1263)</f>
        <v/>
      </c>
      <c r="I1267" s="7"/>
      <c r="J1267" s="7"/>
      <c r="K1267" s="7"/>
    </row>
    <row r="1268" spans="1:11" x14ac:dyDescent="0.35">
      <c r="A1268" s="7" t="str">
        <f>IF(Notes!BY1264="","",Notes!BY1264)</f>
        <v/>
      </c>
      <c r="B1268" s="7" t="str">
        <f>IF(Notes!BZ1264="","",Notes!BZ1264)</f>
        <v/>
      </c>
      <c r="C1268" s="7" t="str">
        <f>IF(Notes!CA1264="","",Notes!CA1264)</f>
        <v/>
      </c>
      <c r="D1268" s="7" t="str">
        <f>IF(Notes!CB1264="","",Notes!CB1264)</f>
        <v/>
      </c>
      <c r="E1268" s="7" t="str">
        <f>IF(Notes!CC1264="","",Notes!CC1264)</f>
        <v/>
      </c>
      <c r="F1268" s="7" t="str">
        <f>IF(Notes!CD1264="","",Notes!CD1264)</f>
        <v/>
      </c>
      <c r="G1268" s="7" t="str">
        <f>IF(Notes!CE1264="","",Notes!CE1264)</f>
        <v/>
      </c>
      <c r="H1268" s="7" t="str">
        <f>IF(Notes!CF1264="","",Notes!CF1264)</f>
        <v/>
      </c>
      <c r="I1268" s="7"/>
      <c r="J1268" s="7"/>
      <c r="K1268" s="7"/>
    </row>
    <row r="1269" spans="1:11" x14ac:dyDescent="0.35">
      <c r="A1269" s="7" t="str">
        <f>IF(Notes!BY1265="","",Notes!BY1265)</f>
        <v/>
      </c>
      <c r="B1269" s="7" t="str">
        <f>IF(Notes!BZ1265="","",Notes!BZ1265)</f>
        <v/>
      </c>
      <c r="C1269" s="7" t="str">
        <f>IF(Notes!CA1265="","",Notes!CA1265)</f>
        <v/>
      </c>
      <c r="D1269" s="7" t="str">
        <f>IF(Notes!CB1265="","",Notes!CB1265)</f>
        <v/>
      </c>
      <c r="E1269" s="7" t="str">
        <f>IF(Notes!CC1265="","",Notes!CC1265)</f>
        <v/>
      </c>
      <c r="F1269" s="7" t="str">
        <f>IF(Notes!CD1265="","",Notes!CD1265)</f>
        <v/>
      </c>
      <c r="G1269" s="7" t="str">
        <f>IF(Notes!CE1265="","",Notes!CE1265)</f>
        <v/>
      </c>
      <c r="H1269" s="7" t="str">
        <f>IF(Notes!CF1265="","",Notes!CF1265)</f>
        <v/>
      </c>
      <c r="I1269" s="7"/>
      <c r="J1269" s="7"/>
      <c r="K1269" s="7"/>
    </row>
    <row r="1270" spans="1:11" x14ac:dyDescent="0.35">
      <c r="A1270" s="7" t="str">
        <f>IF(Notes!BY1266="","",Notes!BY1266)</f>
        <v/>
      </c>
      <c r="B1270" s="7" t="str">
        <f>IF(Notes!BZ1266="","",Notes!BZ1266)</f>
        <v/>
      </c>
      <c r="C1270" s="7" t="str">
        <f>IF(Notes!CA1266="","",Notes!CA1266)</f>
        <v/>
      </c>
      <c r="D1270" s="7" t="str">
        <f>IF(Notes!CB1266="","",Notes!CB1266)</f>
        <v/>
      </c>
      <c r="E1270" s="7" t="str">
        <f>IF(Notes!CC1266="","",Notes!CC1266)</f>
        <v/>
      </c>
      <c r="F1270" s="7" t="str">
        <f>IF(Notes!CD1266="","",Notes!CD1266)</f>
        <v/>
      </c>
      <c r="G1270" s="7" t="str">
        <f>IF(Notes!CE1266="","",Notes!CE1266)</f>
        <v/>
      </c>
      <c r="H1270" s="7" t="str">
        <f>IF(Notes!CF1266="","",Notes!CF1266)</f>
        <v/>
      </c>
      <c r="I1270" s="7"/>
      <c r="J1270" s="7"/>
      <c r="K1270" s="7"/>
    </row>
    <row r="1271" spans="1:11" x14ac:dyDescent="0.35">
      <c r="A1271" s="7" t="str">
        <f>IF(Notes!BY1267="","",Notes!BY1267)</f>
        <v/>
      </c>
      <c r="B1271" s="7" t="str">
        <f>IF(Notes!BZ1267="","",Notes!BZ1267)</f>
        <v/>
      </c>
      <c r="C1271" s="7" t="str">
        <f>IF(Notes!CA1267="","",Notes!CA1267)</f>
        <v/>
      </c>
      <c r="D1271" s="7" t="str">
        <f>IF(Notes!CB1267="","",Notes!CB1267)</f>
        <v/>
      </c>
      <c r="E1271" s="7" t="str">
        <f>IF(Notes!CC1267="","",Notes!CC1267)</f>
        <v/>
      </c>
      <c r="F1271" s="7" t="str">
        <f>IF(Notes!CD1267="","",Notes!CD1267)</f>
        <v/>
      </c>
      <c r="G1271" s="7" t="str">
        <f>IF(Notes!CE1267="","",Notes!CE1267)</f>
        <v/>
      </c>
      <c r="H1271" s="7" t="str">
        <f>IF(Notes!CF1267="","",Notes!CF1267)</f>
        <v/>
      </c>
      <c r="I1271" s="7"/>
      <c r="J1271" s="7"/>
      <c r="K1271" s="7"/>
    </row>
    <row r="1272" spans="1:11" x14ac:dyDescent="0.35">
      <c r="A1272" s="7" t="str">
        <f>IF(Notes!BY1268="","",Notes!BY1268)</f>
        <v/>
      </c>
      <c r="B1272" s="7" t="str">
        <f>IF(Notes!BZ1268="","",Notes!BZ1268)</f>
        <v/>
      </c>
      <c r="C1272" s="7" t="str">
        <f>IF(Notes!CA1268="","",Notes!CA1268)</f>
        <v/>
      </c>
      <c r="D1272" s="7" t="str">
        <f>IF(Notes!CB1268="","",Notes!CB1268)</f>
        <v/>
      </c>
      <c r="E1272" s="7" t="str">
        <f>IF(Notes!CC1268="","",Notes!CC1268)</f>
        <v/>
      </c>
      <c r="F1272" s="7" t="str">
        <f>IF(Notes!CD1268="","",Notes!CD1268)</f>
        <v/>
      </c>
      <c r="G1272" s="7" t="str">
        <f>IF(Notes!CE1268="","",Notes!CE1268)</f>
        <v/>
      </c>
      <c r="H1272" s="7" t="str">
        <f>IF(Notes!CF1268="","",Notes!CF1268)</f>
        <v/>
      </c>
      <c r="I1272" s="7"/>
      <c r="J1272" s="7"/>
      <c r="K1272" s="7"/>
    </row>
    <row r="1273" spans="1:11" x14ac:dyDescent="0.35">
      <c r="A1273" s="7" t="str">
        <f>IF(Notes!BY1269="","",Notes!BY1269)</f>
        <v/>
      </c>
      <c r="B1273" s="7" t="str">
        <f>IF(Notes!BZ1269="","",Notes!BZ1269)</f>
        <v/>
      </c>
      <c r="C1273" s="7" t="str">
        <f>IF(Notes!CA1269="","",Notes!CA1269)</f>
        <v/>
      </c>
      <c r="D1273" s="7" t="str">
        <f>IF(Notes!CB1269="","",Notes!CB1269)</f>
        <v/>
      </c>
      <c r="E1273" s="7" t="str">
        <f>IF(Notes!CC1269="","",Notes!CC1269)</f>
        <v/>
      </c>
      <c r="F1273" s="7" t="str">
        <f>IF(Notes!CD1269="","",Notes!CD1269)</f>
        <v/>
      </c>
      <c r="G1273" s="7" t="str">
        <f>IF(Notes!CE1269="","",Notes!CE1269)</f>
        <v/>
      </c>
      <c r="H1273" s="7" t="str">
        <f>IF(Notes!CF1269="","",Notes!CF1269)</f>
        <v/>
      </c>
      <c r="I1273" s="7"/>
      <c r="J1273" s="7"/>
      <c r="K1273" s="7"/>
    </row>
    <row r="1274" spans="1:11" x14ac:dyDescent="0.35">
      <c r="A1274" s="7" t="str">
        <f>IF(Notes!BY1270="","",Notes!BY1270)</f>
        <v/>
      </c>
      <c r="B1274" s="7" t="str">
        <f>IF(Notes!BZ1270="","",Notes!BZ1270)</f>
        <v/>
      </c>
      <c r="C1274" s="7" t="str">
        <f>IF(Notes!CA1270="","",Notes!CA1270)</f>
        <v/>
      </c>
      <c r="D1274" s="7" t="str">
        <f>IF(Notes!CB1270="","",Notes!CB1270)</f>
        <v/>
      </c>
      <c r="E1274" s="7" t="str">
        <f>IF(Notes!CC1270="","",Notes!CC1270)</f>
        <v/>
      </c>
      <c r="F1274" s="7" t="str">
        <f>IF(Notes!CD1270="","",Notes!CD1270)</f>
        <v/>
      </c>
      <c r="G1274" s="7" t="str">
        <f>IF(Notes!CE1270="","",Notes!CE1270)</f>
        <v/>
      </c>
      <c r="H1274" s="7" t="str">
        <f>IF(Notes!CF1270="","",Notes!CF1270)</f>
        <v/>
      </c>
      <c r="I1274" s="7"/>
      <c r="J1274" s="7"/>
      <c r="K1274" s="7"/>
    </row>
    <row r="1275" spans="1:11" x14ac:dyDescent="0.35">
      <c r="A1275" s="7" t="str">
        <f>IF(Notes!BY1271="","",Notes!BY1271)</f>
        <v/>
      </c>
      <c r="B1275" s="7" t="str">
        <f>IF(Notes!BZ1271="","",Notes!BZ1271)</f>
        <v/>
      </c>
      <c r="C1275" s="7" t="str">
        <f>IF(Notes!CA1271="","",Notes!CA1271)</f>
        <v/>
      </c>
      <c r="D1275" s="7" t="str">
        <f>IF(Notes!CB1271="","",Notes!CB1271)</f>
        <v/>
      </c>
      <c r="E1275" s="7" t="str">
        <f>IF(Notes!CC1271="","",Notes!CC1271)</f>
        <v/>
      </c>
      <c r="F1275" s="7" t="str">
        <f>IF(Notes!CD1271="","",Notes!CD1271)</f>
        <v/>
      </c>
      <c r="G1275" s="7" t="str">
        <f>IF(Notes!CE1271="","",Notes!CE1271)</f>
        <v/>
      </c>
      <c r="H1275" s="7" t="str">
        <f>IF(Notes!CF1271="","",Notes!CF1271)</f>
        <v/>
      </c>
      <c r="I1275" s="7"/>
      <c r="J1275" s="7"/>
      <c r="K1275" s="7"/>
    </row>
    <row r="1276" spans="1:11" x14ac:dyDescent="0.35">
      <c r="A1276" s="7" t="str">
        <f>IF(Notes!BY1272="","",Notes!BY1272)</f>
        <v/>
      </c>
      <c r="B1276" s="7" t="str">
        <f>IF(Notes!BZ1272="","",Notes!BZ1272)</f>
        <v/>
      </c>
      <c r="C1276" s="7" t="str">
        <f>IF(Notes!CA1272="","",Notes!CA1272)</f>
        <v/>
      </c>
      <c r="D1276" s="7" t="str">
        <f>IF(Notes!CB1272="","",Notes!CB1272)</f>
        <v/>
      </c>
      <c r="E1276" s="7" t="str">
        <f>IF(Notes!CC1272="","",Notes!CC1272)</f>
        <v/>
      </c>
      <c r="F1276" s="7" t="str">
        <f>IF(Notes!CD1272="","",Notes!CD1272)</f>
        <v/>
      </c>
      <c r="G1276" s="7" t="str">
        <f>IF(Notes!CE1272="","",Notes!CE1272)</f>
        <v/>
      </c>
      <c r="H1276" s="7" t="str">
        <f>IF(Notes!CF1272="","",Notes!CF1272)</f>
        <v/>
      </c>
      <c r="I1276" s="7"/>
      <c r="J1276" s="7"/>
      <c r="K1276" s="7"/>
    </row>
    <row r="1277" spans="1:11" x14ac:dyDescent="0.35">
      <c r="A1277" s="7" t="str">
        <f>IF(Notes!BY1273="","",Notes!BY1273)</f>
        <v/>
      </c>
      <c r="B1277" s="7" t="str">
        <f>IF(Notes!BZ1273="","",Notes!BZ1273)</f>
        <v/>
      </c>
      <c r="C1277" s="7" t="str">
        <f>IF(Notes!CA1273="","",Notes!CA1273)</f>
        <v/>
      </c>
      <c r="D1277" s="7" t="str">
        <f>IF(Notes!CB1273="","",Notes!CB1273)</f>
        <v/>
      </c>
      <c r="E1277" s="7" t="str">
        <f>IF(Notes!CC1273="","",Notes!CC1273)</f>
        <v/>
      </c>
      <c r="F1277" s="7" t="str">
        <f>IF(Notes!CD1273="","",Notes!CD1273)</f>
        <v/>
      </c>
      <c r="G1277" s="7" t="str">
        <f>IF(Notes!CE1273="","",Notes!CE1273)</f>
        <v/>
      </c>
      <c r="H1277" s="7" t="str">
        <f>IF(Notes!CF1273="","",Notes!CF1273)</f>
        <v/>
      </c>
      <c r="I1277" s="7"/>
      <c r="J1277" s="7"/>
      <c r="K1277" s="7"/>
    </row>
    <row r="1278" spans="1:11" x14ac:dyDescent="0.35">
      <c r="A1278" s="7" t="str">
        <f>IF(Notes!BY1274="","",Notes!BY1274)</f>
        <v/>
      </c>
      <c r="B1278" s="7" t="str">
        <f>IF(Notes!BZ1274="","",Notes!BZ1274)</f>
        <v/>
      </c>
      <c r="C1278" s="7" t="str">
        <f>IF(Notes!CA1274="","",Notes!CA1274)</f>
        <v/>
      </c>
      <c r="D1278" s="7" t="str">
        <f>IF(Notes!CB1274="","",Notes!CB1274)</f>
        <v/>
      </c>
      <c r="E1278" s="7" t="str">
        <f>IF(Notes!CC1274="","",Notes!CC1274)</f>
        <v/>
      </c>
      <c r="F1278" s="7" t="str">
        <f>IF(Notes!CD1274="","",Notes!CD1274)</f>
        <v/>
      </c>
      <c r="G1278" s="7" t="str">
        <f>IF(Notes!CE1274="","",Notes!CE1274)</f>
        <v/>
      </c>
      <c r="H1278" s="7" t="str">
        <f>IF(Notes!CF1274="","",Notes!CF1274)</f>
        <v/>
      </c>
      <c r="I1278" s="7"/>
      <c r="J1278" s="7"/>
      <c r="K1278" s="7"/>
    </row>
    <row r="1279" spans="1:11" x14ac:dyDescent="0.35">
      <c r="A1279" s="7" t="str">
        <f>IF(Notes!BY1275="","",Notes!BY1275)</f>
        <v/>
      </c>
      <c r="B1279" s="7" t="str">
        <f>IF(Notes!BZ1275="","",Notes!BZ1275)</f>
        <v/>
      </c>
      <c r="C1279" s="7" t="str">
        <f>IF(Notes!CA1275="","",Notes!CA1275)</f>
        <v/>
      </c>
      <c r="D1279" s="7" t="str">
        <f>IF(Notes!CB1275="","",Notes!CB1275)</f>
        <v/>
      </c>
      <c r="E1279" s="7" t="str">
        <f>IF(Notes!CC1275="","",Notes!CC1275)</f>
        <v/>
      </c>
      <c r="F1279" s="7" t="str">
        <f>IF(Notes!CD1275="","",Notes!CD1275)</f>
        <v/>
      </c>
      <c r="G1279" s="7" t="str">
        <f>IF(Notes!CE1275="","",Notes!CE1275)</f>
        <v/>
      </c>
      <c r="H1279" s="7" t="str">
        <f>IF(Notes!CF1275="","",Notes!CF1275)</f>
        <v/>
      </c>
      <c r="I1279" s="7"/>
      <c r="J1279" s="7"/>
      <c r="K1279" s="7"/>
    </row>
    <row r="1280" spans="1:11" x14ac:dyDescent="0.35">
      <c r="A1280" s="7" t="str">
        <f>IF(Notes!BY1276="","",Notes!BY1276)</f>
        <v/>
      </c>
      <c r="B1280" s="7" t="str">
        <f>IF(Notes!BZ1276="","",Notes!BZ1276)</f>
        <v/>
      </c>
      <c r="C1280" s="7" t="str">
        <f>IF(Notes!CA1276="","",Notes!CA1276)</f>
        <v/>
      </c>
      <c r="D1280" s="7" t="str">
        <f>IF(Notes!CB1276="","",Notes!CB1276)</f>
        <v/>
      </c>
      <c r="E1280" s="7" t="str">
        <f>IF(Notes!CC1276="","",Notes!CC1276)</f>
        <v/>
      </c>
      <c r="F1280" s="7" t="str">
        <f>IF(Notes!CD1276="","",Notes!CD1276)</f>
        <v/>
      </c>
      <c r="G1280" s="7" t="str">
        <f>IF(Notes!CE1276="","",Notes!CE1276)</f>
        <v/>
      </c>
      <c r="H1280" s="7" t="str">
        <f>IF(Notes!CF1276="","",Notes!CF1276)</f>
        <v/>
      </c>
      <c r="I1280" s="7"/>
      <c r="J1280" s="7"/>
      <c r="K1280" s="7"/>
    </row>
    <row r="1281" spans="1:11" x14ac:dyDescent="0.35">
      <c r="A1281" s="7" t="str">
        <f>IF(Notes!BY1277="","",Notes!BY1277)</f>
        <v/>
      </c>
      <c r="B1281" s="7" t="str">
        <f>IF(Notes!BZ1277="","",Notes!BZ1277)</f>
        <v/>
      </c>
      <c r="C1281" s="7" t="str">
        <f>IF(Notes!CA1277="","",Notes!CA1277)</f>
        <v/>
      </c>
      <c r="D1281" s="7" t="str">
        <f>IF(Notes!CB1277="","",Notes!CB1277)</f>
        <v/>
      </c>
      <c r="E1281" s="7" t="str">
        <f>IF(Notes!CC1277="","",Notes!CC1277)</f>
        <v/>
      </c>
      <c r="F1281" s="7" t="str">
        <f>IF(Notes!CD1277="","",Notes!CD1277)</f>
        <v/>
      </c>
      <c r="G1281" s="7" t="str">
        <f>IF(Notes!CE1277="","",Notes!CE1277)</f>
        <v/>
      </c>
      <c r="H1281" s="7" t="str">
        <f>IF(Notes!CF1277="","",Notes!CF1277)</f>
        <v/>
      </c>
      <c r="I1281" s="7"/>
      <c r="J1281" s="7"/>
      <c r="K1281" s="7"/>
    </row>
    <row r="1282" spans="1:11" x14ac:dyDescent="0.35">
      <c r="A1282" s="7" t="str">
        <f>IF(Notes!BY1278="","",Notes!BY1278)</f>
        <v/>
      </c>
      <c r="B1282" s="7" t="str">
        <f>IF(Notes!BZ1278="","",Notes!BZ1278)</f>
        <v/>
      </c>
      <c r="C1282" s="7" t="str">
        <f>IF(Notes!CA1278="","",Notes!CA1278)</f>
        <v/>
      </c>
      <c r="D1282" s="7" t="str">
        <f>IF(Notes!CB1278="","",Notes!CB1278)</f>
        <v/>
      </c>
      <c r="E1282" s="7" t="str">
        <f>IF(Notes!CC1278="","",Notes!CC1278)</f>
        <v/>
      </c>
      <c r="F1282" s="7" t="str">
        <f>IF(Notes!CD1278="","",Notes!CD1278)</f>
        <v/>
      </c>
      <c r="G1282" s="7" t="str">
        <f>IF(Notes!CE1278="","",Notes!CE1278)</f>
        <v/>
      </c>
      <c r="H1282" s="7" t="str">
        <f>IF(Notes!CF1278="","",Notes!CF1278)</f>
        <v/>
      </c>
      <c r="I1282" s="7"/>
      <c r="J1282" s="7"/>
      <c r="K1282" s="7"/>
    </row>
    <row r="1283" spans="1:11" x14ac:dyDescent="0.35">
      <c r="A1283" s="7" t="str">
        <f>IF(Notes!BY1279="","",Notes!BY1279)</f>
        <v/>
      </c>
      <c r="B1283" s="7" t="str">
        <f>IF(Notes!BZ1279="","",Notes!BZ1279)</f>
        <v/>
      </c>
      <c r="C1283" s="7" t="str">
        <f>IF(Notes!CA1279="","",Notes!CA1279)</f>
        <v/>
      </c>
      <c r="D1283" s="7" t="str">
        <f>IF(Notes!CB1279="","",Notes!CB1279)</f>
        <v/>
      </c>
      <c r="E1283" s="7" t="str">
        <f>IF(Notes!CC1279="","",Notes!CC1279)</f>
        <v/>
      </c>
      <c r="F1283" s="7" t="str">
        <f>IF(Notes!CD1279="","",Notes!CD1279)</f>
        <v/>
      </c>
      <c r="G1283" s="7" t="str">
        <f>IF(Notes!CE1279="","",Notes!CE1279)</f>
        <v/>
      </c>
      <c r="H1283" s="7" t="str">
        <f>IF(Notes!CF1279="","",Notes!CF1279)</f>
        <v/>
      </c>
      <c r="I1283" s="7"/>
      <c r="J1283" s="7"/>
      <c r="K1283" s="7"/>
    </row>
    <row r="1284" spans="1:11" x14ac:dyDescent="0.35">
      <c r="A1284" s="7" t="str">
        <f>IF(Notes!BY1280="","",Notes!BY1280)</f>
        <v/>
      </c>
      <c r="B1284" s="7" t="str">
        <f>IF(Notes!BZ1280="","",Notes!BZ1280)</f>
        <v/>
      </c>
      <c r="C1284" s="7" t="str">
        <f>IF(Notes!CA1280="","",Notes!CA1280)</f>
        <v/>
      </c>
      <c r="D1284" s="7" t="str">
        <f>IF(Notes!CB1280="","",Notes!CB1280)</f>
        <v/>
      </c>
      <c r="E1284" s="7" t="str">
        <f>IF(Notes!CC1280="","",Notes!CC1280)</f>
        <v/>
      </c>
      <c r="F1284" s="7" t="str">
        <f>IF(Notes!CD1280="","",Notes!CD1280)</f>
        <v/>
      </c>
      <c r="G1284" s="7" t="str">
        <f>IF(Notes!CE1280="","",Notes!CE1280)</f>
        <v/>
      </c>
      <c r="H1284" s="7" t="str">
        <f>IF(Notes!CF1280="","",Notes!CF1280)</f>
        <v/>
      </c>
      <c r="I1284" s="7"/>
      <c r="J1284" s="7"/>
      <c r="K1284" s="7"/>
    </row>
    <row r="1285" spans="1:11" x14ac:dyDescent="0.35">
      <c r="A1285" s="7" t="str">
        <f>IF(Notes!BY1281="","",Notes!BY1281)</f>
        <v/>
      </c>
      <c r="B1285" s="7" t="str">
        <f>IF(Notes!BZ1281="","",Notes!BZ1281)</f>
        <v/>
      </c>
      <c r="C1285" s="7" t="str">
        <f>IF(Notes!CA1281="","",Notes!CA1281)</f>
        <v/>
      </c>
      <c r="D1285" s="7" t="str">
        <f>IF(Notes!CB1281="","",Notes!CB1281)</f>
        <v/>
      </c>
      <c r="E1285" s="7" t="str">
        <f>IF(Notes!CC1281="","",Notes!CC1281)</f>
        <v/>
      </c>
      <c r="F1285" s="7" t="str">
        <f>IF(Notes!CD1281="","",Notes!CD1281)</f>
        <v/>
      </c>
      <c r="G1285" s="7" t="str">
        <f>IF(Notes!CE1281="","",Notes!CE1281)</f>
        <v/>
      </c>
      <c r="H1285" s="7" t="str">
        <f>IF(Notes!CF1281="","",Notes!CF1281)</f>
        <v/>
      </c>
      <c r="I1285" s="7"/>
      <c r="J1285" s="7"/>
      <c r="K1285" s="7"/>
    </row>
    <row r="1286" spans="1:11" x14ac:dyDescent="0.35">
      <c r="A1286" s="7" t="str">
        <f>IF(Notes!BY1282="","",Notes!BY1282)</f>
        <v/>
      </c>
      <c r="B1286" s="7" t="str">
        <f>IF(Notes!BZ1282="","",Notes!BZ1282)</f>
        <v/>
      </c>
      <c r="C1286" s="7" t="str">
        <f>IF(Notes!CA1282="","",Notes!CA1282)</f>
        <v/>
      </c>
      <c r="D1286" s="7" t="str">
        <f>IF(Notes!CB1282="","",Notes!CB1282)</f>
        <v/>
      </c>
      <c r="E1286" s="7" t="str">
        <f>IF(Notes!CC1282="","",Notes!CC1282)</f>
        <v/>
      </c>
      <c r="F1286" s="7" t="str">
        <f>IF(Notes!CD1282="","",Notes!CD1282)</f>
        <v/>
      </c>
      <c r="G1286" s="7" t="str">
        <f>IF(Notes!CE1282="","",Notes!CE1282)</f>
        <v/>
      </c>
      <c r="H1286" s="7" t="str">
        <f>IF(Notes!CF1282="","",Notes!CF1282)</f>
        <v/>
      </c>
      <c r="I1286" s="7"/>
      <c r="J1286" s="7"/>
      <c r="K1286" s="7"/>
    </row>
    <row r="1287" spans="1:11" x14ac:dyDescent="0.35">
      <c r="A1287" s="7" t="str">
        <f>IF(Notes!BY1283="","",Notes!BY1283)</f>
        <v/>
      </c>
      <c r="B1287" s="7" t="str">
        <f>IF(Notes!BZ1283="","",Notes!BZ1283)</f>
        <v/>
      </c>
      <c r="C1287" s="7" t="str">
        <f>IF(Notes!CA1283="","",Notes!CA1283)</f>
        <v/>
      </c>
      <c r="D1287" s="7" t="str">
        <f>IF(Notes!CB1283="","",Notes!CB1283)</f>
        <v/>
      </c>
      <c r="E1287" s="7" t="str">
        <f>IF(Notes!CC1283="","",Notes!CC1283)</f>
        <v/>
      </c>
      <c r="F1287" s="7" t="str">
        <f>IF(Notes!CD1283="","",Notes!CD1283)</f>
        <v/>
      </c>
      <c r="G1287" s="7" t="str">
        <f>IF(Notes!CE1283="","",Notes!CE1283)</f>
        <v/>
      </c>
      <c r="H1287" s="7" t="str">
        <f>IF(Notes!CF1283="","",Notes!CF1283)</f>
        <v/>
      </c>
      <c r="I1287" s="7"/>
      <c r="J1287" s="7"/>
      <c r="K1287" s="7"/>
    </row>
    <row r="1288" spans="1:11" x14ac:dyDescent="0.35">
      <c r="A1288" s="7" t="str">
        <f>IF(Notes!BY1284="","",Notes!BY1284)</f>
        <v/>
      </c>
      <c r="B1288" s="7" t="str">
        <f>IF(Notes!BZ1284="","",Notes!BZ1284)</f>
        <v/>
      </c>
      <c r="C1288" s="7" t="str">
        <f>IF(Notes!CA1284="","",Notes!CA1284)</f>
        <v/>
      </c>
      <c r="D1288" s="7" t="str">
        <f>IF(Notes!CB1284="","",Notes!CB1284)</f>
        <v/>
      </c>
      <c r="E1288" s="7" t="str">
        <f>IF(Notes!CC1284="","",Notes!CC1284)</f>
        <v/>
      </c>
      <c r="F1288" s="7" t="str">
        <f>IF(Notes!CD1284="","",Notes!CD1284)</f>
        <v/>
      </c>
      <c r="G1288" s="7" t="str">
        <f>IF(Notes!CE1284="","",Notes!CE1284)</f>
        <v/>
      </c>
      <c r="H1288" s="7" t="str">
        <f>IF(Notes!CF1284="","",Notes!CF1284)</f>
        <v/>
      </c>
      <c r="I1288" s="7"/>
      <c r="J1288" s="7"/>
      <c r="K1288" s="7"/>
    </row>
    <row r="1289" spans="1:11" x14ac:dyDescent="0.35">
      <c r="A1289" s="7" t="str">
        <f>IF(Notes!BY1285="","",Notes!BY1285)</f>
        <v/>
      </c>
      <c r="B1289" s="7" t="str">
        <f>IF(Notes!BZ1285="","",Notes!BZ1285)</f>
        <v/>
      </c>
      <c r="C1289" s="7" t="str">
        <f>IF(Notes!CA1285="","",Notes!CA1285)</f>
        <v/>
      </c>
      <c r="D1289" s="7" t="str">
        <f>IF(Notes!CB1285="","",Notes!CB1285)</f>
        <v/>
      </c>
      <c r="E1289" s="7" t="str">
        <f>IF(Notes!CC1285="","",Notes!CC1285)</f>
        <v/>
      </c>
      <c r="F1289" s="7" t="str">
        <f>IF(Notes!CD1285="","",Notes!CD1285)</f>
        <v/>
      </c>
      <c r="G1289" s="7" t="str">
        <f>IF(Notes!CE1285="","",Notes!CE1285)</f>
        <v/>
      </c>
      <c r="H1289" s="7" t="str">
        <f>IF(Notes!CF1285="","",Notes!CF1285)</f>
        <v/>
      </c>
      <c r="I1289" s="7"/>
      <c r="J1289" s="7"/>
      <c r="K1289" s="7"/>
    </row>
    <row r="1290" spans="1:11" x14ac:dyDescent="0.35">
      <c r="A1290" s="7" t="str">
        <f>IF(Notes!BY1286="","",Notes!BY1286)</f>
        <v/>
      </c>
      <c r="B1290" s="7" t="str">
        <f>IF(Notes!BZ1286="","",Notes!BZ1286)</f>
        <v/>
      </c>
      <c r="C1290" s="7" t="str">
        <f>IF(Notes!CA1286="","",Notes!CA1286)</f>
        <v/>
      </c>
      <c r="D1290" s="7" t="str">
        <f>IF(Notes!CB1286="","",Notes!CB1286)</f>
        <v/>
      </c>
      <c r="E1290" s="7" t="str">
        <f>IF(Notes!CC1286="","",Notes!CC1286)</f>
        <v/>
      </c>
      <c r="F1290" s="7" t="str">
        <f>IF(Notes!CD1286="","",Notes!CD1286)</f>
        <v/>
      </c>
      <c r="G1290" s="7" t="str">
        <f>IF(Notes!CE1286="","",Notes!CE1286)</f>
        <v/>
      </c>
      <c r="H1290" s="7" t="str">
        <f>IF(Notes!CF1286="","",Notes!CF1286)</f>
        <v/>
      </c>
      <c r="I1290" s="7"/>
      <c r="J1290" s="7"/>
      <c r="K1290" s="7"/>
    </row>
    <row r="1291" spans="1:11" x14ac:dyDescent="0.35">
      <c r="A1291" s="7" t="str">
        <f>IF(Notes!BY1287="","",Notes!BY1287)</f>
        <v/>
      </c>
      <c r="B1291" s="7" t="str">
        <f>IF(Notes!BZ1287="","",Notes!BZ1287)</f>
        <v/>
      </c>
      <c r="C1291" s="7" t="str">
        <f>IF(Notes!CA1287="","",Notes!CA1287)</f>
        <v/>
      </c>
      <c r="D1291" s="7" t="str">
        <f>IF(Notes!CB1287="","",Notes!CB1287)</f>
        <v/>
      </c>
      <c r="E1291" s="7" t="str">
        <f>IF(Notes!CC1287="","",Notes!CC1287)</f>
        <v/>
      </c>
      <c r="F1291" s="7" t="str">
        <f>IF(Notes!CD1287="","",Notes!CD1287)</f>
        <v/>
      </c>
      <c r="G1291" s="7" t="str">
        <f>IF(Notes!CE1287="","",Notes!CE1287)</f>
        <v/>
      </c>
      <c r="H1291" s="7" t="str">
        <f>IF(Notes!CF1287="","",Notes!CF1287)</f>
        <v/>
      </c>
      <c r="I1291" s="7"/>
      <c r="J1291" s="7"/>
      <c r="K1291" s="7"/>
    </row>
    <row r="1292" spans="1:11" x14ac:dyDescent="0.35">
      <c r="A1292" s="7" t="str">
        <f>IF(Notes!BY1288="","",Notes!BY1288)</f>
        <v/>
      </c>
      <c r="B1292" s="7" t="str">
        <f>IF(Notes!BZ1288="","",Notes!BZ1288)</f>
        <v/>
      </c>
      <c r="C1292" s="7" t="str">
        <f>IF(Notes!CA1288="","",Notes!CA1288)</f>
        <v/>
      </c>
      <c r="D1292" s="7" t="str">
        <f>IF(Notes!CB1288="","",Notes!CB1288)</f>
        <v/>
      </c>
      <c r="E1292" s="7" t="str">
        <f>IF(Notes!CC1288="","",Notes!CC1288)</f>
        <v/>
      </c>
      <c r="F1292" s="7" t="str">
        <f>IF(Notes!CD1288="","",Notes!CD1288)</f>
        <v/>
      </c>
      <c r="G1292" s="7" t="str">
        <f>IF(Notes!CE1288="","",Notes!CE1288)</f>
        <v/>
      </c>
      <c r="H1292" s="7" t="str">
        <f>IF(Notes!CF1288="","",Notes!CF1288)</f>
        <v/>
      </c>
      <c r="I1292" s="7"/>
      <c r="J1292" s="7"/>
      <c r="K1292" s="7"/>
    </row>
    <row r="1293" spans="1:11" x14ac:dyDescent="0.35">
      <c r="A1293" s="7" t="str">
        <f>IF(Notes!BY1289="","",Notes!BY1289)</f>
        <v/>
      </c>
      <c r="B1293" s="7" t="str">
        <f>IF(Notes!BZ1289="","",Notes!BZ1289)</f>
        <v/>
      </c>
      <c r="C1293" s="7" t="str">
        <f>IF(Notes!CA1289="","",Notes!CA1289)</f>
        <v/>
      </c>
      <c r="D1293" s="7" t="str">
        <f>IF(Notes!CB1289="","",Notes!CB1289)</f>
        <v/>
      </c>
      <c r="E1293" s="7" t="str">
        <f>IF(Notes!CC1289="","",Notes!CC1289)</f>
        <v/>
      </c>
      <c r="F1293" s="7" t="str">
        <f>IF(Notes!CD1289="","",Notes!CD1289)</f>
        <v/>
      </c>
      <c r="G1293" s="7" t="str">
        <f>IF(Notes!CE1289="","",Notes!CE1289)</f>
        <v/>
      </c>
      <c r="H1293" s="7" t="str">
        <f>IF(Notes!CF1289="","",Notes!CF1289)</f>
        <v/>
      </c>
      <c r="I1293" s="7"/>
      <c r="J1293" s="7"/>
      <c r="K1293" s="7"/>
    </row>
    <row r="1294" spans="1:11" x14ac:dyDescent="0.35">
      <c r="A1294" s="7" t="str">
        <f>IF(Notes!BY1290="","",Notes!BY1290)</f>
        <v/>
      </c>
      <c r="B1294" s="7" t="str">
        <f>IF(Notes!BZ1290="","",Notes!BZ1290)</f>
        <v/>
      </c>
      <c r="C1294" s="7" t="str">
        <f>IF(Notes!CA1290="","",Notes!CA1290)</f>
        <v/>
      </c>
      <c r="D1294" s="7" t="str">
        <f>IF(Notes!CB1290="","",Notes!CB1290)</f>
        <v/>
      </c>
      <c r="E1294" s="7" t="str">
        <f>IF(Notes!CC1290="","",Notes!CC1290)</f>
        <v/>
      </c>
      <c r="F1294" s="7" t="str">
        <f>IF(Notes!CD1290="","",Notes!CD1290)</f>
        <v/>
      </c>
      <c r="G1294" s="7" t="str">
        <f>IF(Notes!CE1290="","",Notes!CE1290)</f>
        <v/>
      </c>
      <c r="H1294" s="7" t="str">
        <f>IF(Notes!CF1290="","",Notes!CF1290)</f>
        <v/>
      </c>
      <c r="I1294" s="7"/>
      <c r="J1294" s="7"/>
      <c r="K1294" s="7"/>
    </row>
    <row r="1295" spans="1:11" x14ac:dyDescent="0.35">
      <c r="A1295" s="7" t="str">
        <f>IF(Notes!BY1291="","",Notes!BY1291)</f>
        <v/>
      </c>
      <c r="B1295" s="7" t="str">
        <f>IF(Notes!BZ1291="","",Notes!BZ1291)</f>
        <v/>
      </c>
      <c r="C1295" s="7" t="str">
        <f>IF(Notes!CA1291="","",Notes!CA1291)</f>
        <v/>
      </c>
      <c r="D1295" s="7" t="str">
        <f>IF(Notes!CB1291="","",Notes!CB1291)</f>
        <v/>
      </c>
      <c r="E1295" s="7" t="str">
        <f>IF(Notes!CC1291="","",Notes!CC1291)</f>
        <v/>
      </c>
      <c r="F1295" s="7" t="str">
        <f>IF(Notes!CD1291="","",Notes!CD1291)</f>
        <v/>
      </c>
      <c r="G1295" s="7" t="str">
        <f>IF(Notes!CE1291="","",Notes!CE1291)</f>
        <v/>
      </c>
      <c r="H1295" s="7" t="str">
        <f>IF(Notes!CF1291="","",Notes!CF1291)</f>
        <v/>
      </c>
      <c r="I1295" s="7"/>
      <c r="J1295" s="7"/>
      <c r="K1295" s="7"/>
    </row>
    <row r="1296" spans="1:11" x14ac:dyDescent="0.35">
      <c r="A1296" s="7" t="str">
        <f>IF(Notes!BY1292="","",Notes!BY1292)</f>
        <v/>
      </c>
      <c r="B1296" s="7" t="str">
        <f>IF(Notes!BZ1292="","",Notes!BZ1292)</f>
        <v/>
      </c>
      <c r="C1296" s="7" t="str">
        <f>IF(Notes!CA1292="","",Notes!CA1292)</f>
        <v/>
      </c>
      <c r="D1296" s="7" t="str">
        <f>IF(Notes!CB1292="","",Notes!CB1292)</f>
        <v/>
      </c>
      <c r="E1296" s="7" t="str">
        <f>IF(Notes!CC1292="","",Notes!CC1292)</f>
        <v/>
      </c>
      <c r="F1296" s="7" t="str">
        <f>IF(Notes!CD1292="","",Notes!CD1292)</f>
        <v/>
      </c>
      <c r="G1296" s="7" t="str">
        <f>IF(Notes!CE1292="","",Notes!CE1292)</f>
        <v/>
      </c>
      <c r="H1296" s="7" t="str">
        <f>IF(Notes!CF1292="","",Notes!CF1292)</f>
        <v/>
      </c>
      <c r="I1296" s="7"/>
      <c r="J1296" s="7"/>
      <c r="K1296" s="7"/>
    </row>
    <row r="1297" spans="1:11" x14ac:dyDescent="0.35">
      <c r="A1297" s="7" t="str">
        <f>IF(Notes!BY1293="","",Notes!BY1293)</f>
        <v/>
      </c>
      <c r="B1297" s="7" t="str">
        <f>IF(Notes!BZ1293="","",Notes!BZ1293)</f>
        <v/>
      </c>
      <c r="C1297" s="7" t="str">
        <f>IF(Notes!CA1293="","",Notes!CA1293)</f>
        <v/>
      </c>
      <c r="D1297" s="7" t="str">
        <f>IF(Notes!CB1293="","",Notes!CB1293)</f>
        <v/>
      </c>
      <c r="E1297" s="7" t="str">
        <f>IF(Notes!CC1293="","",Notes!CC1293)</f>
        <v/>
      </c>
      <c r="F1297" s="7" t="str">
        <f>IF(Notes!CD1293="","",Notes!CD1293)</f>
        <v/>
      </c>
      <c r="G1297" s="7" t="str">
        <f>IF(Notes!CE1293="","",Notes!CE1293)</f>
        <v/>
      </c>
      <c r="H1297" s="7" t="str">
        <f>IF(Notes!CF1293="","",Notes!CF1293)</f>
        <v/>
      </c>
      <c r="I1297" s="7"/>
      <c r="J1297" s="7"/>
      <c r="K1297" s="7"/>
    </row>
    <row r="1298" spans="1:11" x14ac:dyDescent="0.35">
      <c r="A1298" s="7" t="str">
        <f>IF(Notes!BY1294="","",Notes!BY1294)</f>
        <v/>
      </c>
      <c r="B1298" s="7" t="str">
        <f>IF(Notes!BZ1294="","",Notes!BZ1294)</f>
        <v/>
      </c>
      <c r="C1298" s="7" t="str">
        <f>IF(Notes!CA1294="","",Notes!CA1294)</f>
        <v/>
      </c>
      <c r="D1298" s="7" t="str">
        <f>IF(Notes!CB1294="","",Notes!CB1294)</f>
        <v/>
      </c>
      <c r="E1298" s="7" t="str">
        <f>IF(Notes!CC1294="","",Notes!CC1294)</f>
        <v/>
      </c>
      <c r="F1298" s="7" t="str">
        <f>IF(Notes!CD1294="","",Notes!CD1294)</f>
        <v/>
      </c>
      <c r="G1298" s="7" t="str">
        <f>IF(Notes!CE1294="","",Notes!CE1294)</f>
        <v/>
      </c>
      <c r="H1298" s="7" t="str">
        <f>IF(Notes!CF1294="","",Notes!CF1294)</f>
        <v/>
      </c>
      <c r="I1298" s="7"/>
      <c r="J1298" s="7"/>
      <c r="K1298" s="7"/>
    </row>
    <row r="1299" spans="1:11" x14ac:dyDescent="0.35">
      <c r="A1299" s="7" t="str">
        <f>IF(Notes!BY1295="","",Notes!BY1295)</f>
        <v/>
      </c>
      <c r="B1299" s="7" t="str">
        <f>IF(Notes!BZ1295="","",Notes!BZ1295)</f>
        <v/>
      </c>
      <c r="C1299" s="7" t="str">
        <f>IF(Notes!CA1295="","",Notes!CA1295)</f>
        <v/>
      </c>
      <c r="D1299" s="7" t="str">
        <f>IF(Notes!CB1295="","",Notes!CB1295)</f>
        <v/>
      </c>
      <c r="E1299" s="7" t="str">
        <f>IF(Notes!CC1295="","",Notes!CC1295)</f>
        <v/>
      </c>
      <c r="F1299" s="7" t="str">
        <f>IF(Notes!CD1295="","",Notes!CD1295)</f>
        <v/>
      </c>
      <c r="G1299" s="7" t="str">
        <f>IF(Notes!CE1295="","",Notes!CE1295)</f>
        <v/>
      </c>
      <c r="H1299" s="7" t="str">
        <f>IF(Notes!CF1295="","",Notes!CF1295)</f>
        <v/>
      </c>
      <c r="I1299" s="7"/>
      <c r="J1299" s="7"/>
      <c r="K1299" s="7"/>
    </row>
    <row r="1300" spans="1:11" x14ac:dyDescent="0.35">
      <c r="A1300" s="7" t="str">
        <f>IF(Notes!BY1296="","",Notes!BY1296)</f>
        <v/>
      </c>
      <c r="B1300" s="7" t="str">
        <f>IF(Notes!BZ1296="","",Notes!BZ1296)</f>
        <v/>
      </c>
      <c r="C1300" s="7" t="str">
        <f>IF(Notes!CA1296="","",Notes!CA1296)</f>
        <v/>
      </c>
      <c r="D1300" s="7" t="str">
        <f>IF(Notes!CB1296="","",Notes!CB1296)</f>
        <v/>
      </c>
      <c r="E1300" s="7" t="str">
        <f>IF(Notes!CC1296="","",Notes!CC1296)</f>
        <v/>
      </c>
      <c r="F1300" s="7" t="str">
        <f>IF(Notes!CD1296="","",Notes!CD1296)</f>
        <v/>
      </c>
      <c r="G1300" s="7" t="str">
        <f>IF(Notes!CE1296="","",Notes!CE1296)</f>
        <v/>
      </c>
      <c r="H1300" s="7" t="str">
        <f>IF(Notes!CF1296="","",Notes!CF1296)</f>
        <v/>
      </c>
      <c r="I1300" s="7"/>
      <c r="J1300" s="7"/>
      <c r="K1300" s="7"/>
    </row>
    <row r="1301" spans="1:11" x14ac:dyDescent="0.35">
      <c r="A1301" s="7" t="str">
        <f>IF(Notes!BY1297="","",Notes!BY1297)</f>
        <v/>
      </c>
      <c r="B1301" s="7" t="str">
        <f>IF(Notes!BZ1297="","",Notes!BZ1297)</f>
        <v/>
      </c>
      <c r="C1301" s="7" t="str">
        <f>IF(Notes!CA1297="","",Notes!CA1297)</f>
        <v/>
      </c>
      <c r="D1301" s="7" t="str">
        <f>IF(Notes!CB1297="","",Notes!CB1297)</f>
        <v/>
      </c>
      <c r="E1301" s="7" t="str">
        <f>IF(Notes!CC1297="","",Notes!CC1297)</f>
        <v/>
      </c>
      <c r="F1301" s="7" t="str">
        <f>IF(Notes!CD1297="","",Notes!CD1297)</f>
        <v/>
      </c>
      <c r="G1301" s="7" t="str">
        <f>IF(Notes!CE1297="","",Notes!CE1297)</f>
        <v/>
      </c>
      <c r="H1301" s="7" t="str">
        <f>IF(Notes!CF1297="","",Notes!CF1297)</f>
        <v/>
      </c>
      <c r="I1301" s="7"/>
      <c r="J1301" s="7"/>
      <c r="K1301" s="7"/>
    </row>
    <row r="1302" spans="1:11" x14ac:dyDescent="0.35">
      <c r="A1302" s="7" t="str">
        <f>IF(Notes!BY1298="","",Notes!BY1298)</f>
        <v/>
      </c>
      <c r="B1302" s="7" t="str">
        <f>IF(Notes!BZ1298="","",Notes!BZ1298)</f>
        <v/>
      </c>
      <c r="C1302" s="7" t="str">
        <f>IF(Notes!CA1298="","",Notes!CA1298)</f>
        <v/>
      </c>
      <c r="D1302" s="7" t="str">
        <f>IF(Notes!CB1298="","",Notes!CB1298)</f>
        <v/>
      </c>
      <c r="E1302" s="7" t="str">
        <f>IF(Notes!CC1298="","",Notes!CC1298)</f>
        <v/>
      </c>
      <c r="F1302" s="7" t="str">
        <f>IF(Notes!CD1298="","",Notes!CD1298)</f>
        <v/>
      </c>
      <c r="G1302" s="7" t="str">
        <f>IF(Notes!CE1298="","",Notes!CE1298)</f>
        <v/>
      </c>
      <c r="H1302" s="7" t="str">
        <f>IF(Notes!CF1298="","",Notes!CF1298)</f>
        <v/>
      </c>
      <c r="I1302" s="7"/>
      <c r="J1302" s="7"/>
      <c r="K1302" s="7"/>
    </row>
    <row r="1303" spans="1:11" x14ac:dyDescent="0.35">
      <c r="A1303" s="7" t="str">
        <f>IF(Notes!BY1299="","",Notes!BY1299)</f>
        <v/>
      </c>
      <c r="B1303" s="7" t="str">
        <f>IF(Notes!BZ1299="","",Notes!BZ1299)</f>
        <v/>
      </c>
      <c r="C1303" s="7" t="str">
        <f>IF(Notes!CA1299="","",Notes!CA1299)</f>
        <v/>
      </c>
      <c r="D1303" s="7" t="str">
        <f>IF(Notes!CB1299="","",Notes!CB1299)</f>
        <v/>
      </c>
      <c r="E1303" s="7" t="str">
        <f>IF(Notes!CC1299="","",Notes!CC1299)</f>
        <v/>
      </c>
      <c r="F1303" s="7" t="str">
        <f>IF(Notes!CD1299="","",Notes!CD1299)</f>
        <v/>
      </c>
      <c r="G1303" s="7" t="str">
        <f>IF(Notes!CE1299="","",Notes!CE1299)</f>
        <v/>
      </c>
      <c r="H1303" s="7" t="str">
        <f>IF(Notes!CF1299="","",Notes!CF1299)</f>
        <v/>
      </c>
      <c r="I1303" s="7"/>
      <c r="J1303" s="7"/>
      <c r="K1303" s="7"/>
    </row>
    <row r="1304" spans="1:11" x14ac:dyDescent="0.35">
      <c r="A1304" s="7" t="str">
        <f>IF(Notes!BY1300="","",Notes!BY1300)</f>
        <v/>
      </c>
      <c r="B1304" s="7" t="str">
        <f>IF(Notes!BZ1300="","",Notes!BZ1300)</f>
        <v/>
      </c>
      <c r="C1304" s="7" t="str">
        <f>IF(Notes!CA1300="","",Notes!CA1300)</f>
        <v/>
      </c>
      <c r="D1304" s="7" t="str">
        <f>IF(Notes!CB1300="","",Notes!CB1300)</f>
        <v/>
      </c>
      <c r="E1304" s="7" t="str">
        <f>IF(Notes!CC1300="","",Notes!CC1300)</f>
        <v/>
      </c>
      <c r="F1304" s="7" t="str">
        <f>IF(Notes!CD1300="","",Notes!CD1300)</f>
        <v/>
      </c>
      <c r="G1304" s="7" t="str">
        <f>IF(Notes!CE1300="","",Notes!CE1300)</f>
        <v/>
      </c>
      <c r="H1304" s="7" t="str">
        <f>IF(Notes!CF1300="","",Notes!CF1300)</f>
        <v/>
      </c>
      <c r="I1304" s="7"/>
      <c r="J1304" s="7"/>
      <c r="K1304" s="7"/>
    </row>
    <row r="1305" spans="1:11" x14ac:dyDescent="0.35">
      <c r="A1305" s="7" t="str">
        <f>IF(Notes!BY1301="","",Notes!BY1301)</f>
        <v/>
      </c>
      <c r="B1305" s="7" t="str">
        <f>IF(Notes!BZ1301="","",Notes!BZ1301)</f>
        <v/>
      </c>
      <c r="C1305" s="7" t="str">
        <f>IF(Notes!CA1301="","",Notes!CA1301)</f>
        <v/>
      </c>
      <c r="D1305" s="7" t="str">
        <f>IF(Notes!CB1301="","",Notes!CB1301)</f>
        <v/>
      </c>
      <c r="E1305" s="7" t="str">
        <f>IF(Notes!CC1301="","",Notes!CC1301)</f>
        <v/>
      </c>
      <c r="F1305" s="7" t="str">
        <f>IF(Notes!CD1301="","",Notes!CD1301)</f>
        <v/>
      </c>
      <c r="G1305" s="7" t="str">
        <f>IF(Notes!CE1301="","",Notes!CE1301)</f>
        <v/>
      </c>
      <c r="H1305" s="7" t="str">
        <f>IF(Notes!CF1301="","",Notes!CF1301)</f>
        <v/>
      </c>
      <c r="I1305" s="7"/>
      <c r="J1305" s="7"/>
      <c r="K1305" s="7"/>
    </row>
    <row r="1306" spans="1:11" x14ac:dyDescent="0.35">
      <c r="A1306" s="7" t="str">
        <f>IF(Notes!BY1302="","",Notes!BY1302)</f>
        <v/>
      </c>
      <c r="B1306" s="7" t="str">
        <f>IF(Notes!BZ1302="","",Notes!BZ1302)</f>
        <v/>
      </c>
      <c r="C1306" s="7" t="str">
        <f>IF(Notes!CA1302="","",Notes!CA1302)</f>
        <v/>
      </c>
      <c r="D1306" s="7" t="str">
        <f>IF(Notes!CB1302="","",Notes!CB1302)</f>
        <v/>
      </c>
      <c r="E1306" s="7" t="str">
        <f>IF(Notes!CC1302="","",Notes!CC1302)</f>
        <v/>
      </c>
      <c r="F1306" s="7" t="str">
        <f>IF(Notes!CD1302="","",Notes!CD1302)</f>
        <v/>
      </c>
      <c r="G1306" s="7" t="str">
        <f>IF(Notes!CE1302="","",Notes!CE1302)</f>
        <v/>
      </c>
      <c r="H1306" s="7" t="str">
        <f>IF(Notes!CF1302="","",Notes!CF1302)</f>
        <v/>
      </c>
      <c r="I1306" s="7"/>
      <c r="J1306" s="7"/>
      <c r="K1306" s="7"/>
    </row>
    <row r="1307" spans="1:11" x14ac:dyDescent="0.35">
      <c r="A1307" s="7" t="str">
        <f>IF(Notes!BY1303="","",Notes!BY1303)</f>
        <v/>
      </c>
      <c r="B1307" s="7" t="str">
        <f>IF(Notes!BZ1303="","",Notes!BZ1303)</f>
        <v/>
      </c>
      <c r="C1307" s="7" t="str">
        <f>IF(Notes!CA1303="","",Notes!CA1303)</f>
        <v/>
      </c>
      <c r="D1307" s="7" t="str">
        <f>IF(Notes!CB1303="","",Notes!CB1303)</f>
        <v/>
      </c>
      <c r="E1307" s="7" t="str">
        <f>IF(Notes!CC1303="","",Notes!CC1303)</f>
        <v/>
      </c>
      <c r="F1307" s="7" t="str">
        <f>IF(Notes!CD1303="","",Notes!CD1303)</f>
        <v/>
      </c>
      <c r="G1307" s="7" t="str">
        <f>IF(Notes!CE1303="","",Notes!CE1303)</f>
        <v/>
      </c>
      <c r="H1307" s="7" t="str">
        <f>IF(Notes!CF1303="","",Notes!CF1303)</f>
        <v/>
      </c>
      <c r="I1307" s="7"/>
      <c r="J1307" s="7"/>
      <c r="K1307" s="7"/>
    </row>
    <row r="1308" spans="1:11" x14ac:dyDescent="0.35">
      <c r="A1308" s="7" t="str">
        <f>IF(Notes!BY1304="","",Notes!BY1304)</f>
        <v/>
      </c>
      <c r="B1308" s="7" t="str">
        <f>IF(Notes!BZ1304="","",Notes!BZ1304)</f>
        <v/>
      </c>
      <c r="C1308" s="7" t="str">
        <f>IF(Notes!CA1304="","",Notes!CA1304)</f>
        <v/>
      </c>
      <c r="D1308" s="7" t="str">
        <f>IF(Notes!CB1304="","",Notes!CB1304)</f>
        <v/>
      </c>
      <c r="E1308" s="7" t="str">
        <f>IF(Notes!CC1304="","",Notes!CC1304)</f>
        <v/>
      </c>
      <c r="F1308" s="7" t="str">
        <f>IF(Notes!CD1304="","",Notes!CD1304)</f>
        <v/>
      </c>
      <c r="G1308" s="7" t="str">
        <f>IF(Notes!CE1304="","",Notes!CE1304)</f>
        <v/>
      </c>
      <c r="H1308" s="7" t="str">
        <f>IF(Notes!CF1304="","",Notes!CF1304)</f>
        <v/>
      </c>
      <c r="I1308" s="7"/>
      <c r="J1308" s="7"/>
      <c r="K1308" s="7"/>
    </row>
    <row r="1309" spans="1:11" x14ac:dyDescent="0.35">
      <c r="A1309" s="7" t="str">
        <f>IF(Notes!BY1305="","",Notes!BY1305)</f>
        <v/>
      </c>
      <c r="B1309" s="7" t="str">
        <f>IF(Notes!BZ1305="","",Notes!BZ1305)</f>
        <v/>
      </c>
      <c r="C1309" s="7" t="str">
        <f>IF(Notes!CA1305="","",Notes!CA1305)</f>
        <v/>
      </c>
      <c r="D1309" s="7" t="str">
        <f>IF(Notes!CB1305="","",Notes!CB1305)</f>
        <v/>
      </c>
      <c r="E1309" s="7" t="str">
        <f>IF(Notes!CC1305="","",Notes!CC1305)</f>
        <v/>
      </c>
      <c r="F1309" s="7" t="str">
        <f>IF(Notes!CD1305="","",Notes!CD1305)</f>
        <v/>
      </c>
      <c r="G1309" s="7" t="str">
        <f>IF(Notes!CE1305="","",Notes!CE1305)</f>
        <v/>
      </c>
      <c r="H1309" s="7" t="str">
        <f>IF(Notes!CF1305="","",Notes!CF1305)</f>
        <v/>
      </c>
      <c r="I1309" s="7"/>
      <c r="J1309" s="7"/>
      <c r="K1309" s="7"/>
    </row>
    <row r="1310" spans="1:11" x14ac:dyDescent="0.35">
      <c r="A1310" s="7" t="str">
        <f>IF(Notes!BY1306="","",Notes!BY1306)</f>
        <v/>
      </c>
      <c r="B1310" s="7" t="str">
        <f>IF(Notes!BZ1306="","",Notes!BZ1306)</f>
        <v/>
      </c>
      <c r="C1310" s="7" t="str">
        <f>IF(Notes!CA1306="","",Notes!CA1306)</f>
        <v/>
      </c>
      <c r="D1310" s="7" t="str">
        <f>IF(Notes!CB1306="","",Notes!CB1306)</f>
        <v/>
      </c>
      <c r="E1310" s="7" t="str">
        <f>IF(Notes!CC1306="","",Notes!CC1306)</f>
        <v/>
      </c>
      <c r="F1310" s="7" t="str">
        <f>IF(Notes!CD1306="","",Notes!CD1306)</f>
        <v/>
      </c>
      <c r="G1310" s="7" t="str">
        <f>IF(Notes!CE1306="","",Notes!CE1306)</f>
        <v/>
      </c>
      <c r="H1310" s="7" t="str">
        <f>IF(Notes!CF1306="","",Notes!CF1306)</f>
        <v/>
      </c>
      <c r="I1310" s="7"/>
      <c r="J1310" s="7"/>
      <c r="K1310" s="7"/>
    </row>
    <row r="1311" spans="1:11" x14ac:dyDescent="0.35">
      <c r="A1311" s="7" t="str">
        <f>IF(Notes!BY1307="","",Notes!BY1307)</f>
        <v/>
      </c>
      <c r="B1311" s="7" t="str">
        <f>IF(Notes!BZ1307="","",Notes!BZ1307)</f>
        <v/>
      </c>
      <c r="C1311" s="7" t="str">
        <f>IF(Notes!CA1307="","",Notes!CA1307)</f>
        <v/>
      </c>
      <c r="D1311" s="7" t="str">
        <f>IF(Notes!CB1307="","",Notes!CB1307)</f>
        <v/>
      </c>
      <c r="E1311" s="7" t="str">
        <f>IF(Notes!CC1307="","",Notes!CC1307)</f>
        <v/>
      </c>
      <c r="F1311" s="7" t="str">
        <f>IF(Notes!CD1307="","",Notes!CD1307)</f>
        <v/>
      </c>
      <c r="G1311" s="7" t="str">
        <f>IF(Notes!CE1307="","",Notes!CE1307)</f>
        <v/>
      </c>
      <c r="H1311" s="7" t="str">
        <f>IF(Notes!CF1307="","",Notes!CF1307)</f>
        <v/>
      </c>
      <c r="I1311" s="7"/>
      <c r="J1311" s="7"/>
      <c r="K1311" s="7"/>
    </row>
    <row r="1312" spans="1:11" x14ac:dyDescent="0.35">
      <c r="A1312" s="7" t="str">
        <f>IF(Notes!BY1308="","",Notes!BY1308)</f>
        <v/>
      </c>
      <c r="B1312" s="7" t="str">
        <f>IF(Notes!BZ1308="","",Notes!BZ1308)</f>
        <v/>
      </c>
      <c r="C1312" s="7" t="str">
        <f>IF(Notes!CA1308="","",Notes!CA1308)</f>
        <v/>
      </c>
      <c r="D1312" s="7" t="str">
        <f>IF(Notes!CB1308="","",Notes!CB1308)</f>
        <v/>
      </c>
      <c r="E1312" s="7" t="str">
        <f>IF(Notes!CC1308="","",Notes!CC1308)</f>
        <v/>
      </c>
      <c r="F1312" s="7" t="str">
        <f>IF(Notes!CD1308="","",Notes!CD1308)</f>
        <v/>
      </c>
      <c r="G1312" s="7" t="str">
        <f>IF(Notes!CE1308="","",Notes!CE1308)</f>
        <v/>
      </c>
      <c r="H1312" s="7" t="str">
        <f>IF(Notes!CF1308="","",Notes!CF1308)</f>
        <v/>
      </c>
      <c r="I1312" s="7"/>
      <c r="J1312" s="7"/>
      <c r="K1312" s="7"/>
    </row>
    <row r="1313" spans="1:11" x14ac:dyDescent="0.35">
      <c r="A1313" s="7" t="str">
        <f>IF(Notes!BY1309="","",Notes!BY1309)</f>
        <v/>
      </c>
      <c r="B1313" s="7" t="str">
        <f>IF(Notes!BZ1309="","",Notes!BZ1309)</f>
        <v/>
      </c>
      <c r="C1313" s="7" t="str">
        <f>IF(Notes!CA1309="","",Notes!CA1309)</f>
        <v/>
      </c>
      <c r="D1313" s="7" t="str">
        <f>IF(Notes!CB1309="","",Notes!CB1309)</f>
        <v/>
      </c>
      <c r="E1313" s="7" t="str">
        <f>IF(Notes!CC1309="","",Notes!CC1309)</f>
        <v/>
      </c>
      <c r="F1313" s="7" t="str">
        <f>IF(Notes!CD1309="","",Notes!CD1309)</f>
        <v/>
      </c>
      <c r="G1313" s="7" t="str">
        <f>IF(Notes!CE1309="","",Notes!CE1309)</f>
        <v/>
      </c>
      <c r="H1313" s="7" t="str">
        <f>IF(Notes!CF1309="","",Notes!CF1309)</f>
        <v/>
      </c>
      <c r="I1313" s="7"/>
      <c r="J1313" s="7"/>
      <c r="K1313" s="7"/>
    </row>
    <row r="1314" spans="1:11" x14ac:dyDescent="0.35">
      <c r="A1314" s="7" t="str">
        <f>IF(Notes!BY1310="","",Notes!BY1310)</f>
        <v/>
      </c>
      <c r="B1314" s="7" t="str">
        <f>IF(Notes!BZ1310="","",Notes!BZ1310)</f>
        <v/>
      </c>
      <c r="C1314" s="7" t="str">
        <f>IF(Notes!CA1310="","",Notes!CA1310)</f>
        <v/>
      </c>
      <c r="D1314" s="7" t="str">
        <f>IF(Notes!CB1310="","",Notes!CB1310)</f>
        <v/>
      </c>
      <c r="E1314" s="7" t="str">
        <f>IF(Notes!CC1310="","",Notes!CC1310)</f>
        <v/>
      </c>
      <c r="F1314" s="7" t="str">
        <f>IF(Notes!CD1310="","",Notes!CD1310)</f>
        <v/>
      </c>
      <c r="G1314" s="7" t="str">
        <f>IF(Notes!CE1310="","",Notes!CE1310)</f>
        <v/>
      </c>
      <c r="H1314" s="7" t="str">
        <f>IF(Notes!CF1310="","",Notes!CF1310)</f>
        <v/>
      </c>
      <c r="I1314" s="7"/>
      <c r="J1314" s="7"/>
      <c r="K1314" s="7"/>
    </row>
    <row r="1315" spans="1:11" x14ac:dyDescent="0.35">
      <c r="A1315" s="7" t="str">
        <f>IF(Notes!BY1311="","",Notes!BY1311)</f>
        <v/>
      </c>
      <c r="B1315" s="7" t="str">
        <f>IF(Notes!BZ1311="","",Notes!BZ1311)</f>
        <v/>
      </c>
      <c r="C1315" s="7" t="str">
        <f>IF(Notes!CA1311="","",Notes!CA1311)</f>
        <v/>
      </c>
      <c r="D1315" s="7" t="str">
        <f>IF(Notes!CB1311="","",Notes!CB1311)</f>
        <v/>
      </c>
      <c r="E1315" s="7" t="str">
        <f>IF(Notes!CC1311="","",Notes!CC1311)</f>
        <v/>
      </c>
      <c r="F1315" s="7" t="str">
        <f>IF(Notes!CD1311="","",Notes!CD1311)</f>
        <v/>
      </c>
      <c r="G1315" s="7" t="str">
        <f>IF(Notes!CE1311="","",Notes!CE1311)</f>
        <v/>
      </c>
      <c r="H1315" s="7" t="str">
        <f>IF(Notes!CF1311="","",Notes!CF1311)</f>
        <v/>
      </c>
      <c r="I1315" s="7"/>
      <c r="J1315" s="7"/>
      <c r="K1315" s="7"/>
    </row>
    <row r="1316" spans="1:11" x14ac:dyDescent="0.35">
      <c r="A1316" s="7" t="str">
        <f>IF(Notes!BY1312="","",Notes!BY1312)</f>
        <v/>
      </c>
      <c r="B1316" s="7" t="str">
        <f>IF(Notes!BZ1312="","",Notes!BZ1312)</f>
        <v/>
      </c>
      <c r="C1316" s="7" t="str">
        <f>IF(Notes!CA1312="","",Notes!CA1312)</f>
        <v/>
      </c>
      <c r="D1316" s="7" t="str">
        <f>IF(Notes!CB1312="","",Notes!CB1312)</f>
        <v/>
      </c>
      <c r="E1316" s="7" t="str">
        <f>IF(Notes!CC1312="","",Notes!CC1312)</f>
        <v/>
      </c>
      <c r="F1316" s="7" t="str">
        <f>IF(Notes!CD1312="","",Notes!CD1312)</f>
        <v/>
      </c>
      <c r="G1316" s="7" t="str">
        <f>IF(Notes!CE1312="","",Notes!CE1312)</f>
        <v/>
      </c>
      <c r="H1316" s="7" t="str">
        <f>IF(Notes!CF1312="","",Notes!CF1312)</f>
        <v/>
      </c>
      <c r="I1316" s="7"/>
      <c r="J1316" s="7"/>
      <c r="K1316" s="7"/>
    </row>
    <row r="1317" spans="1:11" x14ac:dyDescent="0.35">
      <c r="A1317" s="7" t="str">
        <f>IF(Notes!BY1313="","",Notes!BY1313)</f>
        <v/>
      </c>
      <c r="B1317" s="7" t="str">
        <f>IF(Notes!BZ1313="","",Notes!BZ1313)</f>
        <v/>
      </c>
      <c r="C1317" s="7" t="str">
        <f>IF(Notes!CA1313="","",Notes!CA1313)</f>
        <v/>
      </c>
      <c r="D1317" s="7" t="str">
        <f>IF(Notes!CB1313="","",Notes!CB1313)</f>
        <v/>
      </c>
      <c r="E1317" s="7" t="str">
        <f>IF(Notes!CC1313="","",Notes!CC1313)</f>
        <v/>
      </c>
      <c r="F1317" s="7" t="str">
        <f>IF(Notes!CD1313="","",Notes!CD1313)</f>
        <v/>
      </c>
      <c r="G1317" s="7" t="str">
        <f>IF(Notes!CE1313="","",Notes!CE1313)</f>
        <v/>
      </c>
      <c r="H1317" s="7" t="str">
        <f>IF(Notes!CF1313="","",Notes!CF1313)</f>
        <v/>
      </c>
      <c r="I1317" s="7"/>
      <c r="J1317" s="7"/>
      <c r="K1317" s="7"/>
    </row>
    <row r="1318" spans="1:11" x14ac:dyDescent="0.35">
      <c r="A1318" s="7" t="str">
        <f>IF(Notes!BY1314="","",Notes!BY1314)</f>
        <v/>
      </c>
      <c r="B1318" s="7" t="str">
        <f>IF(Notes!BZ1314="","",Notes!BZ1314)</f>
        <v/>
      </c>
      <c r="C1318" s="7" t="str">
        <f>IF(Notes!CA1314="","",Notes!CA1314)</f>
        <v/>
      </c>
      <c r="D1318" s="7" t="str">
        <f>IF(Notes!CB1314="","",Notes!CB1314)</f>
        <v/>
      </c>
      <c r="E1318" s="7" t="str">
        <f>IF(Notes!CC1314="","",Notes!CC1314)</f>
        <v/>
      </c>
      <c r="F1318" s="7" t="str">
        <f>IF(Notes!CD1314="","",Notes!CD1314)</f>
        <v/>
      </c>
      <c r="G1318" s="7" t="str">
        <f>IF(Notes!CE1314="","",Notes!CE1314)</f>
        <v/>
      </c>
      <c r="H1318" s="7" t="str">
        <f>IF(Notes!CF1314="","",Notes!CF1314)</f>
        <v/>
      </c>
      <c r="I1318" s="7"/>
      <c r="J1318" s="7"/>
      <c r="K1318" s="7"/>
    </row>
    <row r="1319" spans="1:11" x14ac:dyDescent="0.35">
      <c r="A1319" s="7" t="str">
        <f>IF(Notes!BY1315="","",Notes!BY1315)</f>
        <v/>
      </c>
      <c r="B1319" s="7" t="str">
        <f>IF(Notes!BZ1315="","",Notes!BZ1315)</f>
        <v/>
      </c>
      <c r="C1319" s="7" t="str">
        <f>IF(Notes!CA1315="","",Notes!CA1315)</f>
        <v/>
      </c>
      <c r="D1319" s="7" t="str">
        <f>IF(Notes!CB1315="","",Notes!CB1315)</f>
        <v/>
      </c>
      <c r="E1319" s="7" t="str">
        <f>IF(Notes!CC1315="","",Notes!CC1315)</f>
        <v/>
      </c>
      <c r="F1319" s="7" t="str">
        <f>IF(Notes!CD1315="","",Notes!CD1315)</f>
        <v/>
      </c>
      <c r="G1319" s="7" t="str">
        <f>IF(Notes!CE1315="","",Notes!CE1315)</f>
        <v/>
      </c>
      <c r="H1319" s="7" t="str">
        <f>IF(Notes!CF1315="","",Notes!CF1315)</f>
        <v/>
      </c>
      <c r="I1319" s="7"/>
      <c r="J1319" s="7"/>
      <c r="K1319" s="7"/>
    </row>
    <row r="1320" spans="1:11" x14ac:dyDescent="0.35">
      <c r="A1320" s="7" t="str">
        <f>IF(Notes!BY1316="","",Notes!BY1316)</f>
        <v/>
      </c>
      <c r="B1320" s="7" t="str">
        <f>IF(Notes!BZ1316="","",Notes!BZ1316)</f>
        <v/>
      </c>
      <c r="C1320" s="7" t="str">
        <f>IF(Notes!CA1316="","",Notes!CA1316)</f>
        <v/>
      </c>
      <c r="D1320" s="7" t="str">
        <f>IF(Notes!CB1316="","",Notes!CB1316)</f>
        <v/>
      </c>
      <c r="E1320" s="7" t="str">
        <f>IF(Notes!CC1316="","",Notes!CC1316)</f>
        <v/>
      </c>
      <c r="F1320" s="7" t="str">
        <f>IF(Notes!CD1316="","",Notes!CD1316)</f>
        <v/>
      </c>
      <c r="G1320" s="7" t="str">
        <f>IF(Notes!CE1316="","",Notes!CE1316)</f>
        <v/>
      </c>
      <c r="H1320" s="7" t="str">
        <f>IF(Notes!CF1316="","",Notes!CF1316)</f>
        <v/>
      </c>
      <c r="I1320" s="7"/>
      <c r="J1320" s="7"/>
      <c r="K1320" s="7"/>
    </row>
    <row r="1321" spans="1:11" x14ac:dyDescent="0.35">
      <c r="A1321" s="7" t="str">
        <f>IF(Notes!BY1317="","",Notes!BY1317)</f>
        <v/>
      </c>
      <c r="B1321" s="7" t="str">
        <f>IF(Notes!BZ1317="","",Notes!BZ1317)</f>
        <v/>
      </c>
      <c r="C1321" s="7" t="str">
        <f>IF(Notes!CA1317="","",Notes!CA1317)</f>
        <v/>
      </c>
      <c r="D1321" s="7" t="str">
        <f>IF(Notes!CB1317="","",Notes!CB1317)</f>
        <v/>
      </c>
      <c r="E1321" s="7" t="str">
        <f>IF(Notes!CC1317="","",Notes!CC1317)</f>
        <v/>
      </c>
      <c r="F1321" s="7" t="str">
        <f>IF(Notes!CD1317="","",Notes!CD1317)</f>
        <v/>
      </c>
      <c r="G1321" s="7" t="str">
        <f>IF(Notes!CE1317="","",Notes!CE1317)</f>
        <v/>
      </c>
      <c r="H1321" s="7" t="str">
        <f>IF(Notes!CF1317="","",Notes!CF1317)</f>
        <v/>
      </c>
      <c r="I1321" s="7"/>
      <c r="J1321" s="7"/>
      <c r="K1321" s="7"/>
    </row>
    <row r="1322" spans="1:11" x14ac:dyDescent="0.35">
      <c r="A1322" s="7" t="str">
        <f>IF(Notes!BY1318="","",Notes!BY1318)</f>
        <v/>
      </c>
      <c r="B1322" s="7" t="str">
        <f>IF(Notes!BZ1318="","",Notes!BZ1318)</f>
        <v/>
      </c>
      <c r="C1322" s="7" t="str">
        <f>IF(Notes!CA1318="","",Notes!CA1318)</f>
        <v/>
      </c>
      <c r="D1322" s="7" t="str">
        <f>IF(Notes!CB1318="","",Notes!CB1318)</f>
        <v/>
      </c>
      <c r="E1322" s="7" t="str">
        <f>IF(Notes!CC1318="","",Notes!CC1318)</f>
        <v/>
      </c>
      <c r="F1322" s="7" t="str">
        <f>IF(Notes!CD1318="","",Notes!CD1318)</f>
        <v/>
      </c>
      <c r="G1322" s="7" t="str">
        <f>IF(Notes!CE1318="","",Notes!CE1318)</f>
        <v/>
      </c>
      <c r="H1322" s="7" t="str">
        <f>IF(Notes!CF1318="","",Notes!CF1318)</f>
        <v/>
      </c>
      <c r="I1322" s="7"/>
      <c r="J1322" s="7"/>
      <c r="K1322" s="7"/>
    </row>
    <row r="1323" spans="1:11" x14ac:dyDescent="0.35">
      <c r="A1323" s="7" t="str">
        <f>IF(Notes!BY1319="","",Notes!BY1319)</f>
        <v/>
      </c>
      <c r="B1323" s="7" t="str">
        <f>IF(Notes!BZ1319="","",Notes!BZ1319)</f>
        <v/>
      </c>
      <c r="C1323" s="7" t="str">
        <f>IF(Notes!CA1319="","",Notes!CA1319)</f>
        <v/>
      </c>
      <c r="D1323" s="7" t="str">
        <f>IF(Notes!CB1319="","",Notes!CB1319)</f>
        <v/>
      </c>
      <c r="E1323" s="7" t="str">
        <f>IF(Notes!CC1319="","",Notes!CC1319)</f>
        <v/>
      </c>
      <c r="F1323" s="7" t="str">
        <f>IF(Notes!CD1319="","",Notes!CD1319)</f>
        <v/>
      </c>
      <c r="G1323" s="7" t="str">
        <f>IF(Notes!CE1319="","",Notes!CE1319)</f>
        <v/>
      </c>
      <c r="H1323" s="7" t="str">
        <f>IF(Notes!CF1319="","",Notes!CF1319)</f>
        <v/>
      </c>
      <c r="I1323" s="7"/>
      <c r="J1323" s="7"/>
      <c r="K1323" s="7"/>
    </row>
    <row r="1324" spans="1:11" x14ac:dyDescent="0.35">
      <c r="A1324" s="7" t="str">
        <f>IF(Notes!BY1320="","",Notes!BY1320)</f>
        <v/>
      </c>
      <c r="B1324" s="7" t="str">
        <f>IF(Notes!BZ1320="","",Notes!BZ1320)</f>
        <v/>
      </c>
      <c r="C1324" s="7" t="str">
        <f>IF(Notes!CA1320="","",Notes!CA1320)</f>
        <v/>
      </c>
      <c r="D1324" s="7" t="str">
        <f>IF(Notes!CB1320="","",Notes!CB1320)</f>
        <v/>
      </c>
      <c r="E1324" s="7" t="str">
        <f>IF(Notes!CC1320="","",Notes!CC1320)</f>
        <v/>
      </c>
      <c r="F1324" s="7" t="str">
        <f>IF(Notes!CD1320="","",Notes!CD1320)</f>
        <v/>
      </c>
      <c r="G1324" s="7" t="str">
        <f>IF(Notes!CE1320="","",Notes!CE1320)</f>
        <v/>
      </c>
      <c r="H1324" s="7" t="str">
        <f>IF(Notes!CF1320="","",Notes!CF1320)</f>
        <v/>
      </c>
      <c r="I1324" s="7"/>
      <c r="J1324" s="7"/>
      <c r="K1324" s="7"/>
    </row>
    <row r="1325" spans="1:11" x14ac:dyDescent="0.35">
      <c r="A1325" s="7" t="str">
        <f>IF(Notes!BY1321="","",Notes!BY1321)</f>
        <v/>
      </c>
      <c r="B1325" s="7" t="str">
        <f>IF(Notes!BZ1321="","",Notes!BZ1321)</f>
        <v/>
      </c>
      <c r="C1325" s="7" t="str">
        <f>IF(Notes!CA1321="","",Notes!CA1321)</f>
        <v/>
      </c>
      <c r="D1325" s="7" t="str">
        <f>IF(Notes!CB1321="","",Notes!CB1321)</f>
        <v/>
      </c>
      <c r="E1325" s="7" t="str">
        <f>IF(Notes!CC1321="","",Notes!CC1321)</f>
        <v/>
      </c>
      <c r="F1325" s="7" t="str">
        <f>IF(Notes!CD1321="","",Notes!CD1321)</f>
        <v/>
      </c>
      <c r="G1325" s="7" t="str">
        <f>IF(Notes!CE1321="","",Notes!CE1321)</f>
        <v/>
      </c>
      <c r="H1325" s="7" t="str">
        <f>IF(Notes!CF1321="","",Notes!CF1321)</f>
        <v/>
      </c>
      <c r="I1325" s="7"/>
      <c r="J1325" s="7"/>
      <c r="K1325" s="7"/>
    </row>
    <row r="1326" spans="1:11" x14ac:dyDescent="0.35">
      <c r="A1326" s="7" t="str">
        <f>IF(Notes!BY1322="","",Notes!BY1322)</f>
        <v/>
      </c>
      <c r="B1326" s="7" t="str">
        <f>IF(Notes!BZ1322="","",Notes!BZ1322)</f>
        <v/>
      </c>
      <c r="C1326" s="7" t="str">
        <f>IF(Notes!CA1322="","",Notes!CA1322)</f>
        <v/>
      </c>
      <c r="D1326" s="7" t="str">
        <f>IF(Notes!CB1322="","",Notes!CB1322)</f>
        <v/>
      </c>
      <c r="E1326" s="7" t="str">
        <f>IF(Notes!CC1322="","",Notes!CC1322)</f>
        <v/>
      </c>
      <c r="F1326" s="7" t="str">
        <f>IF(Notes!CD1322="","",Notes!CD1322)</f>
        <v/>
      </c>
      <c r="G1326" s="7" t="str">
        <f>IF(Notes!CE1322="","",Notes!CE1322)</f>
        <v/>
      </c>
      <c r="H1326" s="7" t="str">
        <f>IF(Notes!CF1322="","",Notes!CF1322)</f>
        <v/>
      </c>
      <c r="I1326" s="7"/>
      <c r="J1326" s="7"/>
      <c r="K1326" s="7"/>
    </row>
    <row r="1327" spans="1:11" x14ac:dyDescent="0.35">
      <c r="A1327" s="7" t="str">
        <f>IF(Notes!BY1323="","",Notes!BY1323)</f>
        <v/>
      </c>
      <c r="B1327" s="7" t="str">
        <f>IF(Notes!BZ1323="","",Notes!BZ1323)</f>
        <v/>
      </c>
      <c r="C1327" s="7" t="str">
        <f>IF(Notes!CA1323="","",Notes!CA1323)</f>
        <v/>
      </c>
      <c r="D1327" s="7" t="str">
        <f>IF(Notes!CB1323="","",Notes!CB1323)</f>
        <v/>
      </c>
      <c r="E1327" s="7" t="str">
        <f>IF(Notes!CC1323="","",Notes!CC1323)</f>
        <v/>
      </c>
      <c r="F1327" s="7" t="str">
        <f>IF(Notes!CD1323="","",Notes!CD1323)</f>
        <v/>
      </c>
      <c r="G1327" s="7" t="str">
        <f>IF(Notes!CE1323="","",Notes!CE1323)</f>
        <v/>
      </c>
      <c r="H1327" s="7" t="str">
        <f>IF(Notes!CF1323="","",Notes!CF1323)</f>
        <v/>
      </c>
      <c r="I1327" s="7"/>
      <c r="J1327" s="7"/>
      <c r="K1327" s="7"/>
    </row>
    <row r="1328" spans="1:11" x14ac:dyDescent="0.35">
      <c r="A1328" s="7" t="str">
        <f>IF(Notes!BY1324="","",Notes!BY1324)</f>
        <v/>
      </c>
      <c r="B1328" s="7" t="str">
        <f>IF(Notes!BZ1324="","",Notes!BZ1324)</f>
        <v/>
      </c>
      <c r="C1328" s="7" t="str">
        <f>IF(Notes!CA1324="","",Notes!CA1324)</f>
        <v/>
      </c>
      <c r="D1328" s="7" t="str">
        <f>IF(Notes!CB1324="","",Notes!CB1324)</f>
        <v/>
      </c>
      <c r="E1328" s="7" t="str">
        <f>IF(Notes!CC1324="","",Notes!CC1324)</f>
        <v/>
      </c>
      <c r="F1328" s="7" t="str">
        <f>IF(Notes!CD1324="","",Notes!CD1324)</f>
        <v/>
      </c>
      <c r="G1328" s="7" t="str">
        <f>IF(Notes!CE1324="","",Notes!CE1324)</f>
        <v/>
      </c>
      <c r="H1328" s="7" t="str">
        <f>IF(Notes!CF1324="","",Notes!CF1324)</f>
        <v/>
      </c>
      <c r="I1328" s="7"/>
      <c r="J1328" s="7"/>
      <c r="K1328" s="7"/>
    </row>
    <row r="1329" spans="1:11" x14ac:dyDescent="0.35">
      <c r="A1329" s="7" t="str">
        <f>IF(Notes!BY1325="","",Notes!BY1325)</f>
        <v/>
      </c>
      <c r="B1329" s="7" t="str">
        <f>IF(Notes!BZ1325="","",Notes!BZ1325)</f>
        <v/>
      </c>
      <c r="C1329" s="7" t="str">
        <f>IF(Notes!CA1325="","",Notes!CA1325)</f>
        <v/>
      </c>
      <c r="D1329" s="7" t="str">
        <f>IF(Notes!CB1325="","",Notes!CB1325)</f>
        <v/>
      </c>
      <c r="E1329" s="7" t="str">
        <f>IF(Notes!CC1325="","",Notes!CC1325)</f>
        <v/>
      </c>
      <c r="F1329" s="7" t="str">
        <f>IF(Notes!CD1325="","",Notes!CD1325)</f>
        <v/>
      </c>
      <c r="G1329" s="7" t="str">
        <f>IF(Notes!CE1325="","",Notes!CE1325)</f>
        <v/>
      </c>
      <c r="H1329" s="7" t="str">
        <f>IF(Notes!CF1325="","",Notes!CF1325)</f>
        <v/>
      </c>
      <c r="I1329" s="7"/>
      <c r="J1329" s="7"/>
      <c r="K1329" s="7"/>
    </row>
    <row r="1330" spans="1:11" x14ac:dyDescent="0.35">
      <c r="A1330" s="7" t="str">
        <f>IF(Notes!BY1326="","",Notes!BY1326)</f>
        <v/>
      </c>
      <c r="B1330" s="7" t="str">
        <f>IF(Notes!BZ1326="","",Notes!BZ1326)</f>
        <v/>
      </c>
      <c r="C1330" s="7" t="str">
        <f>IF(Notes!CA1326="","",Notes!CA1326)</f>
        <v/>
      </c>
      <c r="D1330" s="7" t="str">
        <f>IF(Notes!CB1326="","",Notes!CB1326)</f>
        <v/>
      </c>
      <c r="E1330" s="7" t="str">
        <f>IF(Notes!CC1326="","",Notes!CC1326)</f>
        <v/>
      </c>
      <c r="F1330" s="7" t="str">
        <f>IF(Notes!CD1326="","",Notes!CD1326)</f>
        <v/>
      </c>
      <c r="G1330" s="7" t="str">
        <f>IF(Notes!CE1326="","",Notes!CE1326)</f>
        <v/>
      </c>
      <c r="H1330" s="7" t="str">
        <f>IF(Notes!CF1326="","",Notes!CF1326)</f>
        <v/>
      </c>
      <c r="I1330" s="7"/>
      <c r="J1330" s="7"/>
      <c r="K1330" s="7"/>
    </row>
    <row r="1331" spans="1:11" x14ac:dyDescent="0.35">
      <c r="A1331" s="7" t="str">
        <f>IF(Notes!BY1327="","",Notes!BY1327)</f>
        <v/>
      </c>
      <c r="B1331" s="7" t="str">
        <f>IF(Notes!BZ1327="","",Notes!BZ1327)</f>
        <v/>
      </c>
      <c r="C1331" s="7" t="str">
        <f>IF(Notes!CA1327="","",Notes!CA1327)</f>
        <v/>
      </c>
      <c r="D1331" s="7" t="str">
        <f>IF(Notes!CB1327="","",Notes!CB1327)</f>
        <v/>
      </c>
      <c r="E1331" s="7" t="str">
        <f>IF(Notes!CC1327="","",Notes!CC1327)</f>
        <v/>
      </c>
      <c r="F1331" s="7" t="str">
        <f>IF(Notes!CD1327="","",Notes!CD1327)</f>
        <v/>
      </c>
      <c r="G1331" s="7" t="str">
        <f>IF(Notes!CE1327="","",Notes!CE1327)</f>
        <v/>
      </c>
      <c r="H1331" s="7" t="str">
        <f>IF(Notes!CF1327="","",Notes!CF1327)</f>
        <v/>
      </c>
      <c r="I1331" s="7"/>
      <c r="J1331" s="7"/>
      <c r="K1331" s="7"/>
    </row>
    <row r="1332" spans="1:11" x14ac:dyDescent="0.35">
      <c r="A1332" s="7" t="str">
        <f>IF(Notes!BY1328="","",Notes!BY1328)</f>
        <v/>
      </c>
      <c r="B1332" s="7" t="str">
        <f>IF(Notes!BZ1328="","",Notes!BZ1328)</f>
        <v/>
      </c>
      <c r="C1332" s="7" t="str">
        <f>IF(Notes!CA1328="","",Notes!CA1328)</f>
        <v/>
      </c>
      <c r="D1332" s="7" t="str">
        <f>IF(Notes!CB1328="","",Notes!CB1328)</f>
        <v/>
      </c>
      <c r="E1332" s="7" t="str">
        <f>IF(Notes!CC1328="","",Notes!CC1328)</f>
        <v/>
      </c>
      <c r="F1332" s="7" t="str">
        <f>IF(Notes!CD1328="","",Notes!CD1328)</f>
        <v/>
      </c>
      <c r="G1332" s="7" t="str">
        <f>IF(Notes!CE1328="","",Notes!CE1328)</f>
        <v/>
      </c>
      <c r="H1332" s="7" t="str">
        <f>IF(Notes!CF1328="","",Notes!CF1328)</f>
        <v/>
      </c>
      <c r="I1332" s="7"/>
      <c r="J1332" s="7"/>
      <c r="K1332" s="7"/>
    </row>
    <row r="1333" spans="1:11" x14ac:dyDescent="0.35">
      <c r="A1333" s="7" t="str">
        <f>IF(Notes!BY1329="","",Notes!BY1329)</f>
        <v/>
      </c>
      <c r="B1333" s="7" t="str">
        <f>IF(Notes!BZ1329="","",Notes!BZ1329)</f>
        <v/>
      </c>
      <c r="C1333" s="7" t="str">
        <f>IF(Notes!CA1329="","",Notes!CA1329)</f>
        <v/>
      </c>
      <c r="D1333" s="7" t="str">
        <f>IF(Notes!CB1329="","",Notes!CB1329)</f>
        <v/>
      </c>
      <c r="E1333" s="7" t="str">
        <f>IF(Notes!CC1329="","",Notes!CC1329)</f>
        <v/>
      </c>
      <c r="F1333" s="7" t="str">
        <f>IF(Notes!CD1329="","",Notes!CD1329)</f>
        <v/>
      </c>
      <c r="G1333" s="7" t="str">
        <f>IF(Notes!CE1329="","",Notes!CE1329)</f>
        <v/>
      </c>
      <c r="H1333" s="7" t="str">
        <f>IF(Notes!CF1329="","",Notes!CF1329)</f>
        <v/>
      </c>
      <c r="I1333" s="7"/>
      <c r="J1333" s="7"/>
      <c r="K1333" s="7"/>
    </row>
    <row r="1334" spans="1:11" x14ac:dyDescent="0.35">
      <c r="A1334" s="7" t="str">
        <f>IF(Notes!BY1330="","",Notes!BY1330)</f>
        <v/>
      </c>
      <c r="B1334" s="7" t="str">
        <f>IF(Notes!BZ1330="","",Notes!BZ1330)</f>
        <v/>
      </c>
      <c r="C1334" s="7" t="str">
        <f>IF(Notes!CA1330="","",Notes!CA1330)</f>
        <v/>
      </c>
      <c r="D1334" s="7" t="str">
        <f>IF(Notes!CB1330="","",Notes!CB1330)</f>
        <v/>
      </c>
      <c r="E1334" s="7" t="str">
        <f>IF(Notes!CC1330="","",Notes!CC1330)</f>
        <v/>
      </c>
      <c r="F1334" s="7" t="str">
        <f>IF(Notes!CD1330="","",Notes!CD1330)</f>
        <v/>
      </c>
      <c r="G1334" s="7" t="str">
        <f>IF(Notes!CE1330="","",Notes!CE1330)</f>
        <v/>
      </c>
      <c r="H1334" s="7" t="str">
        <f>IF(Notes!CF1330="","",Notes!CF1330)</f>
        <v/>
      </c>
      <c r="I1334" s="7"/>
      <c r="J1334" s="7"/>
      <c r="K1334" s="7"/>
    </row>
    <row r="1335" spans="1:11" x14ac:dyDescent="0.35">
      <c r="A1335" s="7" t="str">
        <f>IF(Notes!BY1331="","",Notes!BY1331)</f>
        <v/>
      </c>
      <c r="B1335" s="7" t="str">
        <f>IF(Notes!BZ1331="","",Notes!BZ1331)</f>
        <v/>
      </c>
      <c r="C1335" s="7" t="str">
        <f>IF(Notes!CA1331="","",Notes!CA1331)</f>
        <v/>
      </c>
      <c r="D1335" s="7" t="str">
        <f>IF(Notes!CB1331="","",Notes!CB1331)</f>
        <v/>
      </c>
      <c r="E1335" s="7" t="str">
        <f>IF(Notes!CC1331="","",Notes!CC1331)</f>
        <v/>
      </c>
      <c r="F1335" s="7" t="str">
        <f>IF(Notes!CD1331="","",Notes!CD1331)</f>
        <v/>
      </c>
      <c r="G1335" s="7" t="str">
        <f>IF(Notes!CE1331="","",Notes!CE1331)</f>
        <v/>
      </c>
      <c r="H1335" s="7" t="str">
        <f>IF(Notes!CF1331="","",Notes!CF1331)</f>
        <v/>
      </c>
      <c r="I1335" s="7"/>
      <c r="J1335" s="7"/>
      <c r="K1335" s="7"/>
    </row>
    <row r="1336" spans="1:11" x14ac:dyDescent="0.35">
      <c r="A1336" s="7" t="str">
        <f>IF(Notes!BY1332="","",Notes!BY1332)</f>
        <v/>
      </c>
      <c r="B1336" s="7" t="str">
        <f>IF(Notes!BZ1332="","",Notes!BZ1332)</f>
        <v/>
      </c>
      <c r="C1336" s="7" t="str">
        <f>IF(Notes!CA1332="","",Notes!CA1332)</f>
        <v/>
      </c>
      <c r="D1336" s="7" t="str">
        <f>IF(Notes!CB1332="","",Notes!CB1332)</f>
        <v/>
      </c>
      <c r="E1336" s="7" t="str">
        <f>IF(Notes!CC1332="","",Notes!CC1332)</f>
        <v/>
      </c>
      <c r="F1336" s="7" t="str">
        <f>IF(Notes!CD1332="","",Notes!CD1332)</f>
        <v/>
      </c>
      <c r="G1336" s="7" t="str">
        <f>IF(Notes!CE1332="","",Notes!CE1332)</f>
        <v/>
      </c>
      <c r="H1336" s="7" t="str">
        <f>IF(Notes!CF1332="","",Notes!CF1332)</f>
        <v/>
      </c>
      <c r="I1336" s="7"/>
      <c r="J1336" s="7"/>
      <c r="K1336" s="7"/>
    </row>
    <row r="1337" spans="1:11" x14ac:dyDescent="0.35">
      <c r="A1337" s="7" t="str">
        <f>IF(Notes!BY1333="","",Notes!BY1333)</f>
        <v/>
      </c>
      <c r="B1337" s="7" t="str">
        <f>IF(Notes!BZ1333="","",Notes!BZ1333)</f>
        <v/>
      </c>
      <c r="C1337" s="7" t="str">
        <f>IF(Notes!CA1333="","",Notes!CA1333)</f>
        <v/>
      </c>
      <c r="D1337" s="7" t="str">
        <f>IF(Notes!CB1333="","",Notes!CB1333)</f>
        <v/>
      </c>
      <c r="E1337" s="7" t="str">
        <f>IF(Notes!CC1333="","",Notes!CC1333)</f>
        <v/>
      </c>
      <c r="F1337" s="7" t="str">
        <f>IF(Notes!CD1333="","",Notes!CD1333)</f>
        <v/>
      </c>
      <c r="G1337" s="7" t="str">
        <f>IF(Notes!CE1333="","",Notes!CE1333)</f>
        <v/>
      </c>
      <c r="H1337" s="7" t="str">
        <f>IF(Notes!CF1333="","",Notes!CF1333)</f>
        <v/>
      </c>
      <c r="I1337" s="7"/>
      <c r="J1337" s="7"/>
      <c r="K1337" s="7"/>
    </row>
    <row r="1338" spans="1:11" x14ac:dyDescent="0.35">
      <c r="A1338" s="7" t="str">
        <f>IF(Notes!BY1334="","",Notes!BY1334)</f>
        <v/>
      </c>
      <c r="B1338" s="7" t="str">
        <f>IF(Notes!BZ1334="","",Notes!BZ1334)</f>
        <v/>
      </c>
      <c r="C1338" s="7" t="str">
        <f>IF(Notes!CA1334="","",Notes!CA1334)</f>
        <v/>
      </c>
      <c r="D1338" s="7" t="str">
        <f>IF(Notes!CB1334="","",Notes!CB1334)</f>
        <v/>
      </c>
      <c r="E1338" s="7" t="str">
        <f>IF(Notes!CC1334="","",Notes!CC1334)</f>
        <v/>
      </c>
      <c r="F1338" s="7" t="str">
        <f>IF(Notes!CD1334="","",Notes!CD1334)</f>
        <v/>
      </c>
      <c r="G1338" s="7" t="str">
        <f>IF(Notes!CE1334="","",Notes!CE1334)</f>
        <v/>
      </c>
      <c r="H1338" s="7" t="str">
        <f>IF(Notes!CF1334="","",Notes!CF1334)</f>
        <v/>
      </c>
      <c r="I1338" s="7"/>
      <c r="J1338" s="7"/>
      <c r="K1338" s="7"/>
    </row>
    <row r="1339" spans="1:11" x14ac:dyDescent="0.35">
      <c r="A1339" s="7" t="str">
        <f>IF(Notes!BY1335="","",Notes!BY1335)</f>
        <v/>
      </c>
      <c r="B1339" s="7" t="str">
        <f>IF(Notes!BZ1335="","",Notes!BZ1335)</f>
        <v/>
      </c>
      <c r="C1339" s="7" t="str">
        <f>IF(Notes!CA1335="","",Notes!CA1335)</f>
        <v/>
      </c>
      <c r="D1339" s="7" t="str">
        <f>IF(Notes!CB1335="","",Notes!CB1335)</f>
        <v/>
      </c>
      <c r="E1339" s="7" t="str">
        <f>IF(Notes!CC1335="","",Notes!CC1335)</f>
        <v/>
      </c>
      <c r="F1339" s="7" t="str">
        <f>IF(Notes!CD1335="","",Notes!CD1335)</f>
        <v/>
      </c>
      <c r="G1339" s="7" t="str">
        <f>IF(Notes!CE1335="","",Notes!CE1335)</f>
        <v/>
      </c>
      <c r="H1339" s="7" t="str">
        <f>IF(Notes!CF1335="","",Notes!CF1335)</f>
        <v/>
      </c>
      <c r="I1339" s="7"/>
      <c r="J1339" s="7"/>
      <c r="K1339" s="7"/>
    </row>
    <row r="1340" spans="1:11" x14ac:dyDescent="0.35">
      <c r="A1340" s="7" t="str">
        <f>IF(Notes!BY1336="","",Notes!BY1336)</f>
        <v/>
      </c>
      <c r="B1340" s="7" t="str">
        <f>IF(Notes!BZ1336="","",Notes!BZ1336)</f>
        <v/>
      </c>
      <c r="C1340" s="7" t="str">
        <f>IF(Notes!CA1336="","",Notes!CA1336)</f>
        <v/>
      </c>
      <c r="D1340" s="7" t="str">
        <f>IF(Notes!CB1336="","",Notes!CB1336)</f>
        <v/>
      </c>
      <c r="E1340" s="7" t="str">
        <f>IF(Notes!CC1336="","",Notes!CC1336)</f>
        <v/>
      </c>
      <c r="F1340" s="7" t="str">
        <f>IF(Notes!CD1336="","",Notes!CD1336)</f>
        <v/>
      </c>
      <c r="G1340" s="7" t="str">
        <f>IF(Notes!CE1336="","",Notes!CE1336)</f>
        <v/>
      </c>
      <c r="H1340" s="7" t="str">
        <f>IF(Notes!CF1336="","",Notes!CF1336)</f>
        <v/>
      </c>
      <c r="I1340" s="7"/>
      <c r="J1340" s="7"/>
      <c r="K1340" s="7"/>
    </row>
    <row r="1341" spans="1:11" x14ac:dyDescent="0.35">
      <c r="A1341" s="7" t="str">
        <f>IF(Notes!BY1337="","",Notes!BY1337)</f>
        <v/>
      </c>
      <c r="B1341" s="7" t="str">
        <f>IF(Notes!BZ1337="","",Notes!BZ1337)</f>
        <v/>
      </c>
      <c r="C1341" s="7" t="str">
        <f>IF(Notes!CA1337="","",Notes!CA1337)</f>
        <v/>
      </c>
      <c r="D1341" s="7" t="str">
        <f>IF(Notes!CB1337="","",Notes!CB1337)</f>
        <v/>
      </c>
      <c r="E1341" s="7" t="str">
        <f>IF(Notes!CC1337="","",Notes!CC1337)</f>
        <v/>
      </c>
      <c r="F1341" s="7" t="str">
        <f>IF(Notes!CD1337="","",Notes!CD1337)</f>
        <v/>
      </c>
      <c r="G1341" s="7" t="str">
        <f>IF(Notes!CE1337="","",Notes!CE1337)</f>
        <v/>
      </c>
      <c r="H1341" s="7" t="str">
        <f>IF(Notes!CF1337="","",Notes!CF1337)</f>
        <v/>
      </c>
      <c r="I1341" s="7"/>
      <c r="J1341" s="7"/>
      <c r="K1341" s="7"/>
    </row>
    <row r="1342" spans="1:11" x14ac:dyDescent="0.35">
      <c r="A1342" s="7" t="str">
        <f>IF(Notes!BY1338="","",Notes!BY1338)</f>
        <v/>
      </c>
      <c r="B1342" s="7" t="str">
        <f>IF(Notes!BZ1338="","",Notes!BZ1338)</f>
        <v/>
      </c>
      <c r="C1342" s="7" t="str">
        <f>IF(Notes!CA1338="","",Notes!CA1338)</f>
        <v/>
      </c>
      <c r="D1342" s="7" t="str">
        <f>IF(Notes!CB1338="","",Notes!CB1338)</f>
        <v/>
      </c>
      <c r="E1342" s="7" t="str">
        <f>IF(Notes!CC1338="","",Notes!CC1338)</f>
        <v/>
      </c>
      <c r="F1342" s="7" t="str">
        <f>IF(Notes!CD1338="","",Notes!CD1338)</f>
        <v/>
      </c>
      <c r="G1342" s="7" t="str">
        <f>IF(Notes!CE1338="","",Notes!CE1338)</f>
        <v/>
      </c>
      <c r="H1342" s="7" t="str">
        <f>IF(Notes!CF1338="","",Notes!CF1338)</f>
        <v/>
      </c>
      <c r="I1342" s="7"/>
      <c r="J1342" s="7"/>
      <c r="K1342" s="7"/>
    </row>
    <row r="1343" spans="1:11" x14ac:dyDescent="0.35">
      <c r="A1343" s="7" t="str">
        <f>IF(Notes!BY1339="","",Notes!BY1339)</f>
        <v/>
      </c>
      <c r="B1343" s="7" t="str">
        <f>IF(Notes!BZ1339="","",Notes!BZ1339)</f>
        <v/>
      </c>
      <c r="C1343" s="7" t="str">
        <f>IF(Notes!CA1339="","",Notes!CA1339)</f>
        <v/>
      </c>
      <c r="D1343" s="7" t="str">
        <f>IF(Notes!CB1339="","",Notes!CB1339)</f>
        <v/>
      </c>
      <c r="E1343" s="7" t="str">
        <f>IF(Notes!CC1339="","",Notes!CC1339)</f>
        <v/>
      </c>
      <c r="F1343" s="7" t="str">
        <f>IF(Notes!CD1339="","",Notes!CD1339)</f>
        <v/>
      </c>
      <c r="G1343" s="7" t="str">
        <f>IF(Notes!CE1339="","",Notes!CE1339)</f>
        <v/>
      </c>
      <c r="H1343" s="7" t="str">
        <f>IF(Notes!CF1339="","",Notes!CF1339)</f>
        <v/>
      </c>
      <c r="I1343" s="7"/>
      <c r="J1343" s="7"/>
      <c r="K1343" s="7"/>
    </row>
    <row r="1344" spans="1:11" x14ac:dyDescent="0.35">
      <c r="A1344" s="7" t="str">
        <f>IF(Notes!BY1340="","",Notes!BY1340)</f>
        <v/>
      </c>
      <c r="B1344" s="7" t="str">
        <f>IF(Notes!BZ1340="","",Notes!BZ1340)</f>
        <v/>
      </c>
      <c r="C1344" s="7" t="str">
        <f>IF(Notes!CA1340="","",Notes!CA1340)</f>
        <v/>
      </c>
      <c r="D1344" s="7" t="str">
        <f>IF(Notes!CB1340="","",Notes!CB1340)</f>
        <v/>
      </c>
      <c r="E1344" s="7" t="str">
        <f>IF(Notes!CC1340="","",Notes!CC1340)</f>
        <v/>
      </c>
      <c r="F1344" s="7" t="str">
        <f>IF(Notes!CD1340="","",Notes!CD1340)</f>
        <v/>
      </c>
      <c r="G1344" s="7" t="str">
        <f>IF(Notes!CE1340="","",Notes!CE1340)</f>
        <v/>
      </c>
      <c r="H1344" s="7" t="str">
        <f>IF(Notes!CF1340="","",Notes!CF1340)</f>
        <v/>
      </c>
      <c r="I1344" s="7"/>
      <c r="J1344" s="7"/>
      <c r="K1344" s="7"/>
    </row>
    <row r="1345" spans="1:11" x14ac:dyDescent="0.35">
      <c r="A1345" s="7" t="str">
        <f>IF(Notes!BY1341="","",Notes!BY1341)</f>
        <v/>
      </c>
      <c r="B1345" s="7" t="str">
        <f>IF(Notes!BZ1341="","",Notes!BZ1341)</f>
        <v/>
      </c>
      <c r="C1345" s="7" t="str">
        <f>IF(Notes!CA1341="","",Notes!CA1341)</f>
        <v/>
      </c>
      <c r="D1345" s="7" t="str">
        <f>IF(Notes!CB1341="","",Notes!CB1341)</f>
        <v/>
      </c>
      <c r="E1345" s="7" t="str">
        <f>IF(Notes!CC1341="","",Notes!CC1341)</f>
        <v/>
      </c>
      <c r="F1345" s="7" t="str">
        <f>IF(Notes!CD1341="","",Notes!CD1341)</f>
        <v/>
      </c>
      <c r="G1345" s="7" t="str">
        <f>IF(Notes!CE1341="","",Notes!CE1341)</f>
        <v/>
      </c>
      <c r="H1345" s="7" t="str">
        <f>IF(Notes!CF1341="","",Notes!CF1341)</f>
        <v/>
      </c>
      <c r="I1345" s="7"/>
      <c r="J1345" s="7"/>
      <c r="K1345" s="7"/>
    </row>
    <row r="1346" spans="1:11" x14ac:dyDescent="0.35">
      <c r="A1346" s="7" t="str">
        <f>IF(Notes!BY1342="","",Notes!BY1342)</f>
        <v/>
      </c>
      <c r="B1346" s="7" t="str">
        <f>IF(Notes!BZ1342="","",Notes!BZ1342)</f>
        <v/>
      </c>
      <c r="C1346" s="7" t="str">
        <f>IF(Notes!CA1342="","",Notes!CA1342)</f>
        <v/>
      </c>
      <c r="D1346" s="7" t="str">
        <f>IF(Notes!CB1342="","",Notes!CB1342)</f>
        <v/>
      </c>
      <c r="E1346" s="7" t="str">
        <f>IF(Notes!CC1342="","",Notes!CC1342)</f>
        <v/>
      </c>
      <c r="F1346" s="7" t="str">
        <f>IF(Notes!CD1342="","",Notes!CD1342)</f>
        <v/>
      </c>
      <c r="G1346" s="7" t="str">
        <f>IF(Notes!CE1342="","",Notes!CE1342)</f>
        <v/>
      </c>
      <c r="H1346" s="7" t="str">
        <f>IF(Notes!CF1342="","",Notes!CF1342)</f>
        <v/>
      </c>
      <c r="I1346" s="7"/>
      <c r="J1346" s="7"/>
      <c r="K1346" s="7"/>
    </row>
    <row r="1347" spans="1:11" x14ac:dyDescent="0.35">
      <c r="A1347" s="7" t="str">
        <f>IF(Notes!BY1343="","",Notes!BY1343)</f>
        <v/>
      </c>
      <c r="B1347" s="7" t="str">
        <f>IF(Notes!BZ1343="","",Notes!BZ1343)</f>
        <v/>
      </c>
      <c r="C1347" s="7" t="str">
        <f>IF(Notes!CA1343="","",Notes!CA1343)</f>
        <v/>
      </c>
      <c r="D1347" s="7" t="str">
        <f>IF(Notes!CB1343="","",Notes!CB1343)</f>
        <v/>
      </c>
      <c r="E1347" s="7" t="str">
        <f>IF(Notes!CC1343="","",Notes!CC1343)</f>
        <v/>
      </c>
      <c r="F1347" s="7" t="str">
        <f>IF(Notes!CD1343="","",Notes!CD1343)</f>
        <v/>
      </c>
      <c r="G1347" s="7" t="str">
        <f>IF(Notes!CE1343="","",Notes!CE1343)</f>
        <v/>
      </c>
      <c r="H1347" s="7" t="str">
        <f>IF(Notes!CF1343="","",Notes!CF1343)</f>
        <v/>
      </c>
      <c r="I1347" s="7"/>
      <c r="J1347" s="7"/>
      <c r="K1347" s="7"/>
    </row>
    <row r="1348" spans="1:11" x14ac:dyDescent="0.35">
      <c r="A1348" s="7" t="str">
        <f>IF(Notes!BY1344="","",Notes!BY1344)</f>
        <v/>
      </c>
      <c r="B1348" s="7" t="str">
        <f>IF(Notes!BZ1344="","",Notes!BZ1344)</f>
        <v/>
      </c>
      <c r="C1348" s="7" t="str">
        <f>IF(Notes!CA1344="","",Notes!CA1344)</f>
        <v/>
      </c>
      <c r="D1348" s="7" t="str">
        <f>IF(Notes!CB1344="","",Notes!CB1344)</f>
        <v/>
      </c>
      <c r="E1348" s="7" t="str">
        <f>IF(Notes!CC1344="","",Notes!CC1344)</f>
        <v/>
      </c>
      <c r="F1348" s="7" t="str">
        <f>IF(Notes!CD1344="","",Notes!CD1344)</f>
        <v/>
      </c>
      <c r="G1348" s="7" t="str">
        <f>IF(Notes!CE1344="","",Notes!CE1344)</f>
        <v/>
      </c>
      <c r="H1348" s="7" t="str">
        <f>IF(Notes!CF1344="","",Notes!CF1344)</f>
        <v/>
      </c>
      <c r="I1348" s="7"/>
      <c r="J1348" s="7"/>
      <c r="K1348" s="7"/>
    </row>
    <row r="1349" spans="1:11" x14ac:dyDescent="0.35">
      <c r="A1349" s="7" t="str">
        <f>IF(Notes!BY1345="","",Notes!BY1345)</f>
        <v/>
      </c>
      <c r="B1349" s="7" t="str">
        <f>IF(Notes!BZ1345="","",Notes!BZ1345)</f>
        <v/>
      </c>
      <c r="C1349" s="7" t="str">
        <f>IF(Notes!CA1345="","",Notes!CA1345)</f>
        <v/>
      </c>
      <c r="D1349" s="7" t="str">
        <f>IF(Notes!CB1345="","",Notes!CB1345)</f>
        <v/>
      </c>
      <c r="E1349" s="7" t="str">
        <f>IF(Notes!CC1345="","",Notes!CC1345)</f>
        <v/>
      </c>
      <c r="F1349" s="7" t="str">
        <f>IF(Notes!CD1345="","",Notes!CD1345)</f>
        <v/>
      </c>
      <c r="G1349" s="7" t="str">
        <f>IF(Notes!CE1345="","",Notes!CE1345)</f>
        <v/>
      </c>
      <c r="H1349" s="7" t="str">
        <f>IF(Notes!CF1345="","",Notes!CF1345)</f>
        <v/>
      </c>
      <c r="I1349" s="7"/>
      <c r="J1349" s="7"/>
      <c r="K1349" s="7"/>
    </row>
    <row r="1350" spans="1:11" x14ac:dyDescent="0.35">
      <c r="A1350" s="7" t="str">
        <f>IF(Notes!BY1346="","",Notes!BY1346)</f>
        <v/>
      </c>
      <c r="B1350" s="7" t="str">
        <f>IF(Notes!BZ1346="","",Notes!BZ1346)</f>
        <v/>
      </c>
      <c r="C1350" s="7" t="str">
        <f>IF(Notes!CA1346="","",Notes!CA1346)</f>
        <v/>
      </c>
      <c r="D1350" s="7" t="str">
        <f>IF(Notes!CB1346="","",Notes!CB1346)</f>
        <v/>
      </c>
      <c r="E1350" s="7" t="str">
        <f>IF(Notes!CC1346="","",Notes!CC1346)</f>
        <v/>
      </c>
      <c r="F1350" s="7" t="str">
        <f>IF(Notes!CD1346="","",Notes!CD1346)</f>
        <v/>
      </c>
      <c r="G1350" s="7" t="str">
        <f>IF(Notes!CE1346="","",Notes!CE1346)</f>
        <v/>
      </c>
      <c r="H1350" s="7" t="str">
        <f>IF(Notes!CF1346="","",Notes!CF1346)</f>
        <v/>
      </c>
      <c r="I1350" s="7"/>
      <c r="J1350" s="7"/>
      <c r="K1350" s="7"/>
    </row>
    <row r="1351" spans="1:11" x14ac:dyDescent="0.35">
      <c r="A1351" s="7" t="str">
        <f>IF(Notes!BY1347="","",Notes!BY1347)</f>
        <v/>
      </c>
      <c r="B1351" s="7" t="str">
        <f>IF(Notes!BZ1347="","",Notes!BZ1347)</f>
        <v/>
      </c>
      <c r="C1351" s="7" t="str">
        <f>IF(Notes!CA1347="","",Notes!CA1347)</f>
        <v/>
      </c>
      <c r="D1351" s="7" t="str">
        <f>IF(Notes!CB1347="","",Notes!CB1347)</f>
        <v/>
      </c>
      <c r="E1351" s="7" t="str">
        <f>IF(Notes!CC1347="","",Notes!CC1347)</f>
        <v/>
      </c>
      <c r="F1351" s="7" t="str">
        <f>IF(Notes!CD1347="","",Notes!CD1347)</f>
        <v/>
      </c>
      <c r="G1351" s="7" t="str">
        <f>IF(Notes!CE1347="","",Notes!CE1347)</f>
        <v/>
      </c>
      <c r="H1351" s="7" t="str">
        <f>IF(Notes!CF1347="","",Notes!CF1347)</f>
        <v/>
      </c>
      <c r="I1351" s="7"/>
      <c r="J1351" s="7"/>
      <c r="K1351" s="7"/>
    </row>
    <row r="1352" spans="1:11" x14ac:dyDescent="0.35">
      <c r="A1352" s="7" t="str">
        <f>IF(Notes!BY1348="","",Notes!BY1348)</f>
        <v/>
      </c>
      <c r="B1352" s="7" t="str">
        <f>IF(Notes!BZ1348="","",Notes!BZ1348)</f>
        <v/>
      </c>
      <c r="C1352" s="7" t="str">
        <f>IF(Notes!CA1348="","",Notes!CA1348)</f>
        <v/>
      </c>
      <c r="D1352" s="7" t="str">
        <f>IF(Notes!CB1348="","",Notes!CB1348)</f>
        <v/>
      </c>
      <c r="E1352" s="7" t="str">
        <f>IF(Notes!CC1348="","",Notes!CC1348)</f>
        <v/>
      </c>
      <c r="F1352" s="7" t="str">
        <f>IF(Notes!CD1348="","",Notes!CD1348)</f>
        <v/>
      </c>
      <c r="G1352" s="7" t="str">
        <f>IF(Notes!CE1348="","",Notes!CE1348)</f>
        <v/>
      </c>
      <c r="H1352" s="7" t="str">
        <f>IF(Notes!CF1348="","",Notes!CF1348)</f>
        <v/>
      </c>
      <c r="I1352" s="7"/>
      <c r="J1352" s="7"/>
      <c r="K1352" s="7"/>
    </row>
    <row r="1353" spans="1:11" x14ac:dyDescent="0.35">
      <c r="A1353" s="7" t="str">
        <f>IF(Notes!BY1349="","",Notes!BY1349)</f>
        <v/>
      </c>
      <c r="B1353" s="7" t="str">
        <f>IF(Notes!BZ1349="","",Notes!BZ1349)</f>
        <v/>
      </c>
      <c r="C1353" s="7" t="str">
        <f>IF(Notes!CA1349="","",Notes!CA1349)</f>
        <v/>
      </c>
      <c r="D1353" s="7" t="str">
        <f>IF(Notes!CB1349="","",Notes!CB1349)</f>
        <v/>
      </c>
      <c r="E1353" s="7" t="str">
        <f>IF(Notes!CC1349="","",Notes!CC1349)</f>
        <v/>
      </c>
      <c r="F1353" s="7" t="str">
        <f>IF(Notes!CD1349="","",Notes!CD1349)</f>
        <v/>
      </c>
      <c r="G1353" s="7" t="str">
        <f>IF(Notes!CE1349="","",Notes!CE1349)</f>
        <v/>
      </c>
      <c r="H1353" s="7" t="str">
        <f>IF(Notes!CF1349="","",Notes!CF1349)</f>
        <v/>
      </c>
      <c r="I1353" s="7"/>
      <c r="J1353" s="7"/>
      <c r="K1353" s="7"/>
    </row>
    <row r="1354" spans="1:11" x14ac:dyDescent="0.35">
      <c r="A1354" s="7" t="str">
        <f>IF(Notes!BY1350="","",Notes!BY1350)</f>
        <v/>
      </c>
      <c r="B1354" s="7" t="str">
        <f>IF(Notes!BZ1350="","",Notes!BZ1350)</f>
        <v/>
      </c>
      <c r="C1354" s="7" t="str">
        <f>IF(Notes!CA1350="","",Notes!CA1350)</f>
        <v/>
      </c>
      <c r="D1354" s="7" t="str">
        <f>IF(Notes!CB1350="","",Notes!CB1350)</f>
        <v/>
      </c>
      <c r="E1354" s="7" t="str">
        <f>IF(Notes!CC1350="","",Notes!CC1350)</f>
        <v/>
      </c>
      <c r="F1354" s="7" t="str">
        <f>IF(Notes!CD1350="","",Notes!CD1350)</f>
        <v/>
      </c>
      <c r="G1354" s="7" t="str">
        <f>IF(Notes!CE1350="","",Notes!CE1350)</f>
        <v/>
      </c>
      <c r="H1354" s="7" t="str">
        <f>IF(Notes!CF1350="","",Notes!CF1350)</f>
        <v/>
      </c>
      <c r="I1354" s="7"/>
      <c r="J1354" s="7"/>
      <c r="K1354" s="7"/>
    </row>
    <row r="1355" spans="1:11" x14ac:dyDescent="0.35">
      <c r="A1355" s="7" t="str">
        <f>IF(Notes!BY1351="","",Notes!BY1351)</f>
        <v/>
      </c>
      <c r="B1355" s="7" t="str">
        <f>IF(Notes!BZ1351="","",Notes!BZ1351)</f>
        <v/>
      </c>
      <c r="C1355" s="7" t="str">
        <f>IF(Notes!CA1351="","",Notes!CA1351)</f>
        <v/>
      </c>
      <c r="D1355" s="7" t="str">
        <f>IF(Notes!CB1351="","",Notes!CB1351)</f>
        <v/>
      </c>
      <c r="E1355" s="7" t="str">
        <f>IF(Notes!CC1351="","",Notes!CC1351)</f>
        <v/>
      </c>
      <c r="F1355" s="7" t="str">
        <f>IF(Notes!CD1351="","",Notes!CD1351)</f>
        <v/>
      </c>
      <c r="G1355" s="7" t="str">
        <f>IF(Notes!CE1351="","",Notes!CE1351)</f>
        <v/>
      </c>
      <c r="H1355" s="7" t="str">
        <f>IF(Notes!CF1351="","",Notes!CF1351)</f>
        <v/>
      </c>
      <c r="I1355" s="7"/>
      <c r="J1355" s="7"/>
      <c r="K1355" s="7"/>
    </row>
    <row r="1356" spans="1:11" x14ac:dyDescent="0.35">
      <c r="A1356" s="7" t="str">
        <f>IF(Notes!BY1352="","",Notes!BY1352)</f>
        <v/>
      </c>
      <c r="B1356" s="7" t="str">
        <f>IF(Notes!BZ1352="","",Notes!BZ1352)</f>
        <v/>
      </c>
      <c r="C1356" s="7" t="str">
        <f>IF(Notes!CA1352="","",Notes!CA1352)</f>
        <v/>
      </c>
      <c r="D1356" s="7" t="str">
        <f>IF(Notes!CB1352="","",Notes!CB1352)</f>
        <v/>
      </c>
      <c r="E1356" s="7" t="str">
        <f>IF(Notes!CC1352="","",Notes!CC1352)</f>
        <v/>
      </c>
      <c r="F1356" s="7" t="str">
        <f>IF(Notes!CD1352="","",Notes!CD1352)</f>
        <v/>
      </c>
      <c r="G1356" s="7" t="str">
        <f>IF(Notes!CE1352="","",Notes!CE1352)</f>
        <v/>
      </c>
      <c r="H1356" s="7" t="str">
        <f>IF(Notes!CF1352="","",Notes!CF1352)</f>
        <v/>
      </c>
      <c r="I1356" s="7"/>
      <c r="J1356" s="7"/>
      <c r="K1356" s="7"/>
    </row>
    <row r="1357" spans="1:11" x14ac:dyDescent="0.35">
      <c r="A1357" s="7" t="str">
        <f>IF(Notes!BY1353="","",Notes!BY1353)</f>
        <v/>
      </c>
      <c r="B1357" s="7" t="str">
        <f>IF(Notes!BZ1353="","",Notes!BZ1353)</f>
        <v/>
      </c>
      <c r="C1357" s="7" t="str">
        <f>IF(Notes!CA1353="","",Notes!CA1353)</f>
        <v/>
      </c>
      <c r="D1357" s="7" t="str">
        <f>IF(Notes!CB1353="","",Notes!CB1353)</f>
        <v/>
      </c>
      <c r="E1357" s="7" t="str">
        <f>IF(Notes!CC1353="","",Notes!CC1353)</f>
        <v/>
      </c>
      <c r="F1357" s="7" t="str">
        <f>IF(Notes!CD1353="","",Notes!CD1353)</f>
        <v/>
      </c>
      <c r="G1357" s="7" t="str">
        <f>IF(Notes!CE1353="","",Notes!CE1353)</f>
        <v/>
      </c>
      <c r="H1357" s="7" t="str">
        <f>IF(Notes!CF1353="","",Notes!CF1353)</f>
        <v/>
      </c>
      <c r="I1357" s="7"/>
      <c r="J1357" s="7"/>
      <c r="K1357" s="7"/>
    </row>
    <row r="1358" spans="1:11" x14ac:dyDescent="0.35">
      <c r="A1358" s="7" t="str">
        <f>IF(Notes!BY1354="","",Notes!BY1354)</f>
        <v/>
      </c>
      <c r="B1358" s="7" t="str">
        <f>IF(Notes!BZ1354="","",Notes!BZ1354)</f>
        <v/>
      </c>
      <c r="C1358" s="7" t="str">
        <f>IF(Notes!CA1354="","",Notes!CA1354)</f>
        <v/>
      </c>
      <c r="D1358" s="7" t="str">
        <f>IF(Notes!CB1354="","",Notes!CB1354)</f>
        <v/>
      </c>
      <c r="E1358" s="7" t="str">
        <f>IF(Notes!CC1354="","",Notes!CC1354)</f>
        <v/>
      </c>
      <c r="F1358" s="7" t="str">
        <f>IF(Notes!CD1354="","",Notes!CD1354)</f>
        <v/>
      </c>
      <c r="G1358" s="7" t="str">
        <f>IF(Notes!CE1354="","",Notes!CE1354)</f>
        <v/>
      </c>
      <c r="H1358" s="7" t="str">
        <f>IF(Notes!CF1354="","",Notes!CF1354)</f>
        <v/>
      </c>
      <c r="I1358" s="7"/>
      <c r="J1358" s="7"/>
      <c r="K1358" s="7"/>
    </row>
    <row r="1359" spans="1:11" x14ac:dyDescent="0.35">
      <c r="A1359" s="7" t="str">
        <f>IF(Notes!BY1355="","",Notes!BY1355)</f>
        <v/>
      </c>
      <c r="B1359" s="7" t="str">
        <f>IF(Notes!BZ1355="","",Notes!BZ1355)</f>
        <v/>
      </c>
      <c r="C1359" s="7" t="str">
        <f>IF(Notes!CA1355="","",Notes!CA1355)</f>
        <v/>
      </c>
      <c r="D1359" s="7" t="str">
        <f>IF(Notes!CB1355="","",Notes!CB1355)</f>
        <v/>
      </c>
      <c r="E1359" s="7" t="str">
        <f>IF(Notes!CC1355="","",Notes!CC1355)</f>
        <v/>
      </c>
      <c r="F1359" s="7" t="str">
        <f>IF(Notes!CD1355="","",Notes!CD1355)</f>
        <v/>
      </c>
      <c r="G1359" s="7" t="str">
        <f>IF(Notes!CE1355="","",Notes!CE1355)</f>
        <v/>
      </c>
      <c r="H1359" s="7" t="str">
        <f>IF(Notes!CF1355="","",Notes!CF1355)</f>
        <v/>
      </c>
      <c r="I1359" s="7"/>
      <c r="J1359" s="7"/>
      <c r="K1359" s="7"/>
    </row>
    <row r="1360" spans="1:11" x14ac:dyDescent="0.35">
      <c r="A1360" s="7" t="str">
        <f>IF(Notes!BY1356="","",Notes!BY1356)</f>
        <v/>
      </c>
      <c r="B1360" s="7" t="str">
        <f>IF(Notes!BZ1356="","",Notes!BZ1356)</f>
        <v/>
      </c>
      <c r="C1360" s="7" t="str">
        <f>IF(Notes!CA1356="","",Notes!CA1356)</f>
        <v/>
      </c>
      <c r="D1360" s="7" t="str">
        <f>IF(Notes!CB1356="","",Notes!CB1356)</f>
        <v/>
      </c>
      <c r="E1360" s="7" t="str">
        <f>IF(Notes!CC1356="","",Notes!CC1356)</f>
        <v/>
      </c>
      <c r="F1360" s="7" t="str">
        <f>IF(Notes!CD1356="","",Notes!CD1356)</f>
        <v/>
      </c>
      <c r="G1360" s="7" t="str">
        <f>IF(Notes!CE1356="","",Notes!CE1356)</f>
        <v/>
      </c>
      <c r="H1360" s="7" t="str">
        <f>IF(Notes!CF1356="","",Notes!CF1356)</f>
        <v/>
      </c>
      <c r="I1360" s="7"/>
      <c r="J1360" s="7"/>
      <c r="K1360" s="7"/>
    </row>
    <row r="1361" spans="1:11" x14ac:dyDescent="0.35">
      <c r="A1361" s="7" t="str">
        <f>IF(Notes!BY1357="","",Notes!BY1357)</f>
        <v/>
      </c>
      <c r="B1361" s="7" t="str">
        <f>IF(Notes!BZ1357="","",Notes!BZ1357)</f>
        <v/>
      </c>
      <c r="C1361" s="7" t="str">
        <f>IF(Notes!CA1357="","",Notes!CA1357)</f>
        <v/>
      </c>
      <c r="D1361" s="7" t="str">
        <f>IF(Notes!CB1357="","",Notes!CB1357)</f>
        <v/>
      </c>
      <c r="E1361" s="7" t="str">
        <f>IF(Notes!CC1357="","",Notes!CC1357)</f>
        <v/>
      </c>
      <c r="F1361" s="7" t="str">
        <f>IF(Notes!CD1357="","",Notes!CD1357)</f>
        <v/>
      </c>
      <c r="G1361" s="7" t="str">
        <f>IF(Notes!CE1357="","",Notes!CE1357)</f>
        <v/>
      </c>
      <c r="H1361" s="7" t="str">
        <f>IF(Notes!CF1357="","",Notes!CF1357)</f>
        <v/>
      </c>
      <c r="I1361" s="7"/>
      <c r="J1361" s="7"/>
      <c r="K1361" s="7"/>
    </row>
    <row r="1362" spans="1:11" x14ac:dyDescent="0.35">
      <c r="A1362" s="7" t="str">
        <f>IF(Notes!BY1358="","",Notes!BY1358)</f>
        <v/>
      </c>
      <c r="B1362" s="7" t="str">
        <f>IF(Notes!BZ1358="","",Notes!BZ1358)</f>
        <v/>
      </c>
      <c r="C1362" s="7" t="str">
        <f>IF(Notes!CA1358="","",Notes!CA1358)</f>
        <v/>
      </c>
      <c r="D1362" s="7" t="str">
        <f>IF(Notes!CB1358="","",Notes!CB1358)</f>
        <v/>
      </c>
      <c r="E1362" s="7" t="str">
        <f>IF(Notes!CC1358="","",Notes!CC1358)</f>
        <v/>
      </c>
      <c r="F1362" s="7" t="str">
        <f>IF(Notes!CD1358="","",Notes!CD1358)</f>
        <v/>
      </c>
      <c r="G1362" s="7" t="str">
        <f>IF(Notes!CE1358="","",Notes!CE1358)</f>
        <v/>
      </c>
      <c r="H1362" s="7" t="str">
        <f>IF(Notes!CF1358="","",Notes!CF1358)</f>
        <v/>
      </c>
      <c r="I1362" s="7"/>
      <c r="J1362" s="7"/>
      <c r="K1362" s="7"/>
    </row>
    <row r="1363" spans="1:11" x14ac:dyDescent="0.35">
      <c r="A1363" s="7" t="str">
        <f>IF(Notes!BY1359="","",Notes!BY1359)</f>
        <v/>
      </c>
      <c r="B1363" s="7" t="str">
        <f>IF(Notes!BZ1359="","",Notes!BZ1359)</f>
        <v/>
      </c>
      <c r="C1363" s="7" t="str">
        <f>IF(Notes!CA1359="","",Notes!CA1359)</f>
        <v/>
      </c>
      <c r="D1363" s="7" t="str">
        <f>IF(Notes!CB1359="","",Notes!CB1359)</f>
        <v/>
      </c>
      <c r="E1363" s="7" t="str">
        <f>IF(Notes!CC1359="","",Notes!CC1359)</f>
        <v/>
      </c>
      <c r="F1363" s="7" t="str">
        <f>IF(Notes!CD1359="","",Notes!CD1359)</f>
        <v/>
      </c>
      <c r="G1363" s="7" t="str">
        <f>IF(Notes!CE1359="","",Notes!CE1359)</f>
        <v/>
      </c>
      <c r="H1363" s="7" t="str">
        <f>IF(Notes!CF1359="","",Notes!CF1359)</f>
        <v/>
      </c>
      <c r="I1363" s="7"/>
      <c r="J1363" s="7"/>
      <c r="K1363" s="7"/>
    </row>
    <row r="1364" spans="1:11" x14ac:dyDescent="0.35">
      <c r="A1364" s="7" t="str">
        <f>IF(Notes!BY1360="","",Notes!BY1360)</f>
        <v/>
      </c>
      <c r="B1364" s="7" t="str">
        <f>IF(Notes!BZ1360="","",Notes!BZ1360)</f>
        <v/>
      </c>
      <c r="C1364" s="7" t="str">
        <f>IF(Notes!CA1360="","",Notes!CA1360)</f>
        <v/>
      </c>
      <c r="D1364" s="7" t="str">
        <f>IF(Notes!CB1360="","",Notes!CB1360)</f>
        <v/>
      </c>
      <c r="E1364" s="7" t="str">
        <f>IF(Notes!CC1360="","",Notes!CC1360)</f>
        <v/>
      </c>
      <c r="F1364" s="7" t="str">
        <f>IF(Notes!CD1360="","",Notes!CD1360)</f>
        <v/>
      </c>
      <c r="G1364" s="7" t="str">
        <f>IF(Notes!CE1360="","",Notes!CE1360)</f>
        <v/>
      </c>
      <c r="H1364" s="7" t="str">
        <f>IF(Notes!CF1360="","",Notes!CF1360)</f>
        <v/>
      </c>
      <c r="I1364" s="7"/>
      <c r="J1364" s="7"/>
      <c r="K1364" s="7"/>
    </row>
    <row r="1365" spans="1:11" x14ac:dyDescent="0.35">
      <c r="A1365" s="7" t="str">
        <f>IF(Notes!BY1361="","",Notes!BY1361)</f>
        <v/>
      </c>
      <c r="B1365" s="7" t="str">
        <f>IF(Notes!BZ1361="","",Notes!BZ1361)</f>
        <v/>
      </c>
      <c r="C1365" s="7" t="str">
        <f>IF(Notes!CA1361="","",Notes!CA1361)</f>
        <v/>
      </c>
      <c r="D1365" s="7" t="str">
        <f>IF(Notes!CB1361="","",Notes!CB1361)</f>
        <v/>
      </c>
      <c r="E1365" s="7" t="str">
        <f>IF(Notes!CC1361="","",Notes!CC1361)</f>
        <v/>
      </c>
      <c r="F1365" s="7" t="str">
        <f>IF(Notes!CD1361="","",Notes!CD1361)</f>
        <v/>
      </c>
      <c r="G1365" s="7" t="str">
        <f>IF(Notes!CE1361="","",Notes!CE1361)</f>
        <v/>
      </c>
      <c r="H1365" s="7" t="str">
        <f>IF(Notes!CF1361="","",Notes!CF1361)</f>
        <v/>
      </c>
      <c r="I1365" s="7"/>
      <c r="J1365" s="7"/>
      <c r="K1365" s="7"/>
    </row>
    <row r="1366" spans="1:11" x14ac:dyDescent="0.35">
      <c r="A1366" s="7" t="str">
        <f>IF(Notes!BY1362="","",Notes!BY1362)</f>
        <v/>
      </c>
      <c r="B1366" s="7" t="str">
        <f>IF(Notes!BZ1362="","",Notes!BZ1362)</f>
        <v/>
      </c>
      <c r="C1366" s="7" t="str">
        <f>IF(Notes!CA1362="","",Notes!CA1362)</f>
        <v/>
      </c>
      <c r="D1366" s="7" t="str">
        <f>IF(Notes!CB1362="","",Notes!CB1362)</f>
        <v/>
      </c>
      <c r="E1366" s="7" t="str">
        <f>IF(Notes!CC1362="","",Notes!CC1362)</f>
        <v/>
      </c>
      <c r="F1366" s="7" t="str">
        <f>IF(Notes!CD1362="","",Notes!CD1362)</f>
        <v/>
      </c>
      <c r="G1366" s="7" t="str">
        <f>IF(Notes!CE1362="","",Notes!CE1362)</f>
        <v/>
      </c>
      <c r="H1366" s="7" t="str">
        <f>IF(Notes!CF1362="","",Notes!CF1362)</f>
        <v/>
      </c>
      <c r="I1366" s="7"/>
      <c r="J1366" s="7"/>
      <c r="K1366" s="7"/>
    </row>
    <row r="1367" spans="1:11" x14ac:dyDescent="0.35">
      <c r="A1367" s="7" t="str">
        <f>IF(Notes!BY1363="","",Notes!BY1363)</f>
        <v/>
      </c>
      <c r="B1367" s="7" t="str">
        <f>IF(Notes!BZ1363="","",Notes!BZ1363)</f>
        <v/>
      </c>
      <c r="C1367" s="7" t="str">
        <f>IF(Notes!CA1363="","",Notes!CA1363)</f>
        <v/>
      </c>
      <c r="D1367" s="7" t="str">
        <f>IF(Notes!CB1363="","",Notes!CB1363)</f>
        <v/>
      </c>
      <c r="E1367" s="7" t="str">
        <f>IF(Notes!CC1363="","",Notes!CC1363)</f>
        <v/>
      </c>
      <c r="F1367" s="7" t="str">
        <f>IF(Notes!CD1363="","",Notes!CD1363)</f>
        <v/>
      </c>
      <c r="G1367" s="7" t="str">
        <f>IF(Notes!CE1363="","",Notes!CE1363)</f>
        <v/>
      </c>
      <c r="H1367" s="7" t="str">
        <f>IF(Notes!CF1363="","",Notes!CF1363)</f>
        <v/>
      </c>
      <c r="I1367" s="7"/>
      <c r="J1367" s="7"/>
      <c r="K1367" s="7"/>
    </row>
    <row r="1368" spans="1:11" x14ac:dyDescent="0.35">
      <c r="A1368" s="7" t="str">
        <f>IF(Notes!BY1364="","",Notes!BY1364)</f>
        <v/>
      </c>
      <c r="B1368" s="7" t="str">
        <f>IF(Notes!BZ1364="","",Notes!BZ1364)</f>
        <v/>
      </c>
      <c r="C1368" s="7" t="str">
        <f>IF(Notes!CA1364="","",Notes!CA1364)</f>
        <v/>
      </c>
      <c r="D1368" s="7" t="str">
        <f>IF(Notes!CB1364="","",Notes!CB1364)</f>
        <v/>
      </c>
      <c r="E1368" s="7" t="str">
        <f>IF(Notes!CC1364="","",Notes!CC1364)</f>
        <v/>
      </c>
      <c r="F1368" s="7" t="str">
        <f>IF(Notes!CD1364="","",Notes!CD1364)</f>
        <v/>
      </c>
      <c r="G1368" s="7" t="str">
        <f>IF(Notes!CE1364="","",Notes!CE1364)</f>
        <v/>
      </c>
      <c r="H1368" s="7" t="str">
        <f>IF(Notes!CF1364="","",Notes!CF1364)</f>
        <v/>
      </c>
      <c r="I1368" s="7"/>
      <c r="J1368" s="7"/>
      <c r="K1368" s="7"/>
    </row>
    <row r="1369" spans="1:11" x14ac:dyDescent="0.35">
      <c r="A1369" s="7" t="str">
        <f>IF(Notes!BY1365="","",Notes!BY1365)</f>
        <v/>
      </c>
      <c r="B1369" s="7" t="str">
        <f>IF(Notes!BZ1365="","",Notes!BZ1365)</f>
        <v/>
      </c>
      <c r="C1369" s="7" t="str">
        <f>IF(Notes!CA1365="","",Notes!CA1365)</f>
        <v/>
      </c>
      <c r="D1369" s="7" t="str">
        <f>IF(Notes!CB1365="","",Notes!CB1365)</f>
        <v/>
      </c>
      <c r="E1369" s="7" t="str">
        <f>IF(Notes!CC1365="","",Notes!CC1365)</f>
        <v/>
      </c>
      <c r="F1369" s="7" t="str">
        <f>IF(Notes!CD1365="","",Notes!CD1365)</f>
        <v/>
      </c>
      <c r="G1369" s="7" t="str">
        <f>IF(Notes!CE1365="","",Notes!CE1365)</f>
        <v/>
      </c>
      <c r="H1369" s="7" t="str">
        <f>IF(Notes!CF1365="","",Notes!CF1365)</f>
        <v/>
      </c>
      <c r="I1369" s="7"/>
      <c r="J1369" s="7"/>
      <c r="K1369" s="7"/>
    </row>
    <row r="1370" spans="1:11" x14ac:dyDescent="0.35">
      <c r="A1370" s="7" t="str">
        <f>IF(Notes!BY1366="","",Notes!BY1366)</f>
        <v/>
      </c>
      <c r="B1370" s="7" t="str">
        <f>IF(Notes!BZ1366="","",Notes!BZ1366)</f>
        <v/>
      </c>
      <c r="C1370" s="7" t="str">
        <f>IF(Notes!CA1366="","",Notes!CA1366)</f>
        <v/>
      </c>
      <c r="D1370" s="7" t="str">
        <f>IF(Notes!CB1366="","",Notes!CB1366)</f>
        <v/>
      </c>
      <c r="E1370" s="7" t="str">
        <f>IF(Notes!CC1366="","",Notes!CC1366)</f>
        <v/>
      </c>
      <c r="F1370" s="7" t="str">
        <f>IF(Notes!CD1366="","",Notes!CD1366)</f>
        <v/>
      </c>
      <c r="G1370" s="7" t="str">
        <f>IF(Notes!CE1366="","",Notes!CE1366)</f>
        <v/>
      </c>
      <c r="H1370" s="7" t="str">
        <f>IF(Notes!CF1366="","",Notes!CF1366)</f>
        <v/>
      </c>
      <c r="I1370" s="7"/>
      <c r="J1370" s="7"/>
      <c r="K1370" s="7"/>
    </row>
    <row r="1371" spans="1:11" x14ac:dyDescent="0.35">
      <c r="A1371" s="7" t="str">
        <f>IF(Notes!BY1367="","",Notes!BY1367)</f>
        <v/>
      </c>
      <c r="B1371" s="7" t="str">
        <f>IF(Notes!BZ1367="","",Notes!BZ1367)</f>
        <v/>
      </c>
      <c r="C1371" s="7" t="str">
        <f>IF(Notes!CA1367="","",Notes!CA1367)</f>
        <v/>
      </c>
      <c r="D1371" s="7" t="str">
        <f>IF(Notes!CB1367="","",Notes!CB1367)</f>
        <v/>
      </c>
      <c r="E1371" s="7" t="str">
        <f>IF(Notes!CC1367="","",Notes!CC1367)</f>
        <v/>
      </c>
      <c r="F1371" s="7" t="str">
        <f>IF(Notes!CD1367="","",Notes!CD1367)</f>
        <v/>
      </c>
      <c r="G1371" s="7" t="str">
        <f>IF(Notes!CE1367="","",Notes!CE1367)</f>
        <v/>
      </c>
      <c r="H1371" s="7" t="str">
        <f>IF(Notes!CF1367="","",Notes!CF1367)</f>
        <v/>
      </c>
      <c r="I1371" s="7"/>
      <c r="J1371" s="7"/>
      <c r="K1371" s="7"/>
    </row>
    <row r="1372" spans="1:11" x14ac:dyDescent="0.35">
      <c r="A1372" s="7" t="str">
        <f>IF(Notes!BY1368="","",Notes!BY1368)</f>
        <v/>
      </c>
      <c r="B1372" s="7" t="str">
        <f>IF(Notes!BZ1368="","",Notes!BZ1368)</f>
        <v/>
      </c>
      <c r="C1372" s="7" t="str">
        <f>IF(Notes!CA1368="","",Notes!CA1368)</f>
        <v/>
      </c>
      <c r="D1372" s="7" t="str">
        <f>IF(Notes!CB1368="","",Notes!CB1368)</f>
        <v/>
      </c>
      <c r="E1372" s="7" t="str">
        <f>IF(Notes!CC1368="","",Notes!CC1368)</f>
        <v/>
      </c>
      <c r="F1372" s="7" t="str">
        <f>IF(Notes!CD1368="","",Notes!CD1368)</f>
        <v/>
      </c>
      <c r="G1372" s="7" t="str">
        <f>IF(Notes!CE1368="","",Notes!CE1368)</f>
        <v/>
      </c>
      <c r="H1372" s="7" t="str">
        <f>IF(Notes!CF1368="","",Notes!CF1368)</f>
        <v/>
      </c>
      <c r="I1372" s="7"/>
      <c r="J1372" s="7"/>
      <c r="K1372" s="7"/>
    </row>
    <row r="1373" spans="1:11" x14ac:dyDescent="0.35">
      <c r="A1373" s="7" t="str">
        <f>IF(Notes!BY1369="","",Notes!BY1369)</f>
        <v/>
      </c>
      <c r="B1373" s="7" t="str">
        <f>IF(Notes!BZ1369="","",Notes!BZ1369)</f>
        <v/>
      </c>
      <c r="C1373" s="7" t="str">
        <f>IF(Notes!CA1369="","",Notes!CA1369)</f>
        <v/>
      </c>
      <c r="D1373" s="7" t="str">
        <f>IF(Notes!CB1369="","",Notes!CB1369)</f>
        <v/>
      </c>
      <c r="E1373" s="7" t="str">
        <f>IF(Notes!CC1369="","",Notes!CC1369)</f>
        <v/>
      </c>
      <c r="F1373" s="7" t="str">
        <f>IF(Notes!CD1369="","",Notes!CD1369)</f>
        <v/>
      </c>
      <c r="G1373" s="7" t="str">
        <f>IF(Notes!CE1369="","",Notes!CE1369)</f>
        <v/>
      </c>
      <c r="H1373" s="7" t="str">
        <f>IF(Notes!CF1369="","",Notes!CF1369)</f>
        <v/>
      </c>
      <c r="I1373" s="7"/>
      <c r="J1373" s="7"/>
      <c r="K1373" s="7"/>
    </row>
    <row r="1374" spans="1:11" x14ac:dyDescent="0.35">
      <c r="A1374" s="7" t="str">
        <f>IF(Notes!BY1370="","",Notes!BY1370)</f>
        <v/>
      </c>
      <c r="B1374" s="7" t="str">
        <f>IF(Notes!BZ1370="","",Notes!BZ1370)</f>
        <v/>
      </c>
      <c r="C1374" s="7" t="str">
        <f>IF(Notes!CA1370="","",Notes!CA1370)</f>
        <v/>
      </c>
      <c r="D1374" s="7" t="str">
        <f>IF(Notes!CB1370="","",Notes!CB1370)</f>
        <v/>
      </c>
      <c r="E1374" s="7" t="str">
        <f>IF(Notes!CC1370="","",Notes!CC1370)</f>
        <v/>
      </c>
      <c r="F1374" s="7" t="str">
        <f>IF(Notes!CD1370="","",Notes!CD1370)</f>
        <v/>
      </c>
      <c r="G1374" s="7" t="str">
        <f>IF(Notes!CE1370="","",Notes!CE1370)</f>
        <v/>
      </c>
      <c r="H1374" s="7" t="str">
        <f>IF(Notes!CF1370="","",Notes!CF1370)</f>
        <v/>
      </c>
      <c r="I1374" s="7"/>
      <c r="J1374" s="7"/>
      <c r="K1374" s="7"/>
    </row>
    <row r="1375" spans="1:11" x14ac:dyDescent="0.35">
      <c r="A1375" s="7" t="str">
        <f>IF(Notes!BY1371="","",Notes!BY1371)</f>
        <v/>
      </c>
      <c r="B1375" s="7" t="str">
        <f>IF(Notes!BZ1371="","",Notes!BZ1371)</f>
        <v/>
      </c>
      <c r="C1375" s="7" t="str">
        <f>IF(Notes!CA1371="","",Notes!CA1371)</f>
        <v/>
      </c>
      <c r="D1375" s="7" t="str">
        <f>IF(Notes!CB1371="","",Notes!CB1371)</f>
        <v/>
      </c>
      <c r="E1375" s="7" t="str">
        <f>IF(Notes!CC1371="","",Notes!CC1371)</f>
        <v/>
      </c>
      <c r="F1375" s="7" t="str">
        <f>IF(Notes!CD1371="","",Notes!CD1371)</f>
        <v/>
      </c>
      <c r="G1375" s="7" t="str">
        <f>IF(Notes!CE1371="","",Notes!CE1371)</f>
        <v/>
      </c>
      <c r="H1375" s="7" t="str">
        <f>IF(Notes!CF1371="","",Notes!CF1371)</f>
        <v/>
      </c>
      <c r="I1375" s="7"/>
      <c r="J1375" s="7"/>
      <c r="K1375" s="7"/>
    </row>
    <row r="1376" spans="1:11" x14ac:dyDescent="0.35">
      <c r="A1376" s="7" t="str">
        <f>IF(Notes!BY1372="","",Notes!BY1372)</f>
        <v/>
      </c>
      <c r="B1376" s="7" t="str">
        <f>IF(Notes!BZ1372="","",Notes!BZ1372)</f>
        <v/>
      </c>
      <c r="C1376" s="7" t="str">
        <f>IF(Notes!CA1372="","",Notes!CA1372)</f>
        <v/>
      </c>
      <c r="D1376" s="7" t="str">
        <f>IF(Notes!CB1372="","",Notes!CB1372)</f>
        <v/>
      </c>
      <c r="E1376" s="7" t="str">
        <f>IF(Notes!CC1372="","",Notes!CC1372)</f>
        <v/>
      </c>
      <c r="F1376" s="7" t="str">
        <f>IF(Notes!CD1372="","",Notes!CD1372)</f>
        <v/>
      </c>
      <c r="G1376" s="7" t="str">
        <f>IF(Notes!CE1372="","",Notes!CE1372)</f>
        <v/>
      </c>
      <c r="H1376" s="7" t="str">
        <f>IF(Notes!CF1372="","",Notes!CF1372)</f>
        <v/>
      </c>
      <c r="I1376" s="7"/>
      <c r="J1376" s="7"/>
      <c r="K1376" s="7"/>
    </row>
    <row r="1377" spans="1:11" x14ac:dyDescent="0.35">
      <c r="A1377" s="7" t="str">
        <f>IF(Notes!BY1373="","",Notes!BY1373)</f>
        <v/>
      </c>
      <c r="B1377" s="7" t="str">
        <f>IF(Notes!BZ1373="","",Notes!BZ1373)</f>
        <v/>
      </c>
      <c r="C1377" s="7" t="str">
        <f>IF(Notes!CA1373="","",Notes!CA1373)</f>
        <v/>
      </c>
      <c r="D1377" s="7" t="str">
        <f>IF(Notes!CB1373="","",Notes!CB1373)</f>
        <v/>
      </c>
      <c r="E1377" s="7" t="str">
        <f>IF(Notes!CC1373="","",Notes!CC1373)</f>
        <v/>
      </c>
      <c r="F1377" s="7" t="str">
        <f>IF(Notes!CD1373="","",Notes!CD1373)</f>
        <v/>
      </c>
      <c r="G1377" s="7" t="str">
        <f>IF(Notes!CE1373="","",Notes!CE1373)</f>
        <v/>
      </c>
      <c r="H1377" s="7" t="str">
        <f>IF(Notes!CF1373="","",Notes!CF1373)</f>
        <v/>
      </c>
      <c r="I1377" s="7"/>
      <c r="J1377" s="7"/>
      <c r="K1377" s="7"/>
    </row>
    <row r="1378" spans="1:11" x14ac:dyDescent="0.35">
      <c r="A1378" s="7" t="str">
        <f>IF(Notes!BY1374="","",Notes!BY1374)</f>
        <v/>
      </c>
      <c r="B1378" s="7" t="str">
        <f>IF(Notes!BZ1374="","",Notes!BZ1374)</f>
        <v/>
      </c>
      <c r="C1378" s="7" t="str">
        <f>IF(Notes!CA1374="","",Notes!CA1374)</f>
        <v/>
      </c>
      <c r="D1378" s="7" t="str">
        <f>IF(Notes!CB1374="","",Notes!CB1374)</f>
        <v/>
      </c>
      <c r="E1378" s="7" t="str">
        <f>IF(Notes!CC1374="","",Notes!CC1374)</f>
        <v/>
      </c>
      <c r="F1378" s="7" t="str">
        <f>IF(Notes!CD1374="","",Notes!CD1374)</f>
        <v/>
      </c>
      <c r="G1378" s="7" t="str">
        <f>IF(Notes!CE1374="","",Notes!CE1374)</f>
        <v/>
      </c>
      <c r="H1378" s="7" t="str">
        <f>IF(Notes!CF1374="","",Notes!CF1374)</f>
        <v/>
      </c>
      <c r="I1378" s="7"/>
      <c r="J1378" s="7"/>
      <c r="K1378" s="7"/>
    </row>
    <row r="1379" spans="1:11" x14ac:dyDescent="0.35">
      <c r="A1379" s="7" t="str">
        <f>IF(Notes!BY1375="","",Notes!BY1375)</f>
        <v/>
      </c>
      <c r="B1379" s="7" t="str">
        <f>IF(Notes!BZ1375="","",Notes!BZ1375)</f>
        <v/>
      </c>
      <c r="C1379" s="7" t="str">
        <f>IF(Notes!CA1375="","",Notes!CA1375)</f>
        <v/>
      </c>
      <c r="D1379" s="7" t="str">
        <f>IF(Notes!CB1375="","",Notes!CB1375)</f>
        <v/>
      </c>
      <c r="E1379" s="7" t="str">
        <f>IF(Notes!CC1375="","",Notes!CC1375)</f>
        <v/>
      </c>
      <c r="F1379" s="7" t="str">
        <f>IF(Notes!CD1375="","",Notes!CD1375)</f>
        <v/>
      </c>
      <c r="G1379" s="7" t="str">
        <f>IF(Notes!CE1375="","",Notes!CE1375)</f>
        <v/>
      </c>
      <c r="H1379" s="7" t="str">
        <f>IF(Notes!CF1375="","",Notes!CF1375)</f>
        <v/>
      </c>
      <c r="I1379" s="7"/>
      <c r="J1379" s="7"/>
      <c r="K1379" s="7"/>
    </row>
    <row r="1380" spans="1:11" x14ac:dyDescent="0.35">
      <c r="A1380" s="7" t="str">
        <f>IF(Notes!BY1376="","",Notes!BY1376)</f>
        <v/>
      </c>
      <c r="B1380" s="7" t="str">
        <f>IF(Notes!BZ1376="","",Notes!BZ1376)</f>
        <v/>
      </c>
      <c r="C1380" s="7" t="str">
        <f>IF(Notes!CA1376="","",Notes!CA1376)</f>
        <v/>
      </c>
      <c r="D1380" s="7" t="str">
        <f>IF(Notes!CB1376="","",Notes!CB1376)</f>
        <v/>
      </c>
      <c r="E1380" s="7" t="str">
        <f>IF(Notes!CC1376="","",Notes!CC1376)</f>
        <v/>
      </c>
      <c r="F1380" s="7" t="str">
        <f>IF(Notes!CD1376="","",Notes!CD1376)</f>
        <v/>
      </c>
      <c r="G1380" s="7" t="str">
        <f>IF(Notes!CE1376="","",Notes!CE1376)</f>
        <v/>
      </c>
      <c r="H1380" s="7" t="str">
        <f>IF(Notes!CF1376="","",Notes!CF1376)</f>
        <v/>
      </c>
      <c r="I1380" s="7"/>
      <c r="J1380" s="7"/>
      <c r="K1380" s="7"/>
    </row>
    <row r="1381" spans="1:11" x14ac:dyDescent="0.35">
      <c r="A1381" s="7" t="str">
        <f>IF(Notes!BY1377="","",Notes!BY1377)</f>
        <v/>
      </c>
      <c r="B1381" s="7" t="str">
        <f>IF(Notes!BZ1377="","",Notes!BZ1377)</f>
        <v/>
      </c>
      <c r="C1381" s="7" t="str">
        <f>IF(Notes!CA1377="","",Notes!CA1377)</f>
        <v/>
      </c>
      <c r="D1381" s="7" t="str">
        <f>IF(Notes!CB1377="","",Notes!CB1377)</f>
        <v/>
      </c>
      <c r="E1381" s="7" t="str">
        <f>IF(Notes!CC1377="","",Notes!CC1377)</f>
        <v/>
      </c>
      <c r="F1381" s="7" t="str">
        <f>IF(Notes!CD1377="","",Notes!CD1377)</f>
        <v/>
      </c>
      <c r="G1381" s="7" t="str">
        <f>IF(Notes!CE1377="","",Notes!CE1377)</f>
        <v/>
      </c>
      <c r="H1381" s="7" t="str">
        <f>IF(Notes!CF1377="","",Notes!CF1377)</f>
        <v/>
      </c>
      <c r="I1381" s="7"/>
      <c r="J1381" s="7"/>
      <c r="K1381" s="7"/>
    </row>
    <row r="1382" spans="1:11" x14ac:dyDescent="0.35">
      <c r="A1382" s="7" t="str">
        <f>IF(Notes!BY1378="","",Notes!BY1378)</f>
        <v/>
      </c>
      <c r="B1382" s="7" t="str">
        <f>IF(Notes!BZ1378="","",Notes!BZ1378)</f>
        <v/>
      </c>
      <c r="C1382" s="7" t="str">
        <f>IF(Notes!CA1378="","",Notes!CA1378)</f>
        <v/>
      </c>
      <c r="D1382" s="7" t="str">
        <f>IF(Notes!CB1378="","",Notes!CB1378)</f>
        <v/>
      </c>
      <c r="E1382" s="7" t="str">
        <f>IF(Notes!CC1378="","",Notes!CC1378)</f>
        <v/>
      </c>
      <c r="F1382" s="7" t="str">
        <f>IF(Notes!CD1378="","",Notes!CD1378)</f>
        <v/>
      </c>
      <c r="G1382" s="7" t="str">
        <f>IF(Notes!CE1378="","",Notes!CE1378)</f>
        <v/>
      </c>
      <c r="H1382" s="7" t="str">
        <f>IF(Notes!CF1378="","",Notes!CF1378)</f>
        <v/>
      </c>
      <c r="I1382" s="7"/>
      <c r="J1382" s="7"/>
      <c r="K1382" s="7"/>
    </row>
    <row r="1383" spans="1:11" x14ac:dyDescent="0.35">
      <c r="A1383" s="7" t="str">
        <f>IF(Notes!BY1379="","",Notes!BY1379)</f>
        <v/>
      </c>
      <c r="B1383" s="7" t="str">
        <f>IF(Notes!BZ1379="","",Notes!BZ1379)</f>
        <v/>
      </c>
      <c r="C1383" s="7" t="str">
        <f>IF(Notes!CA1379="","",Notes!CA1379)</f>
        <v/>
      </c>
      <c r="D1383" s="7" t="str">
        <f>IF(Notes!CB1379="","",Notes!CB1379)</f>
        <v/>
      </c>
      <c r="E1383" s="7" t="str">
        <f>IF(Notes!CC1379="","",Notes!CC1379)</f>
        <v/>
      </c>
      <c r="F1383" s="7" t="str">
        <f>IF(Notes!CD1379="","",Notes!CD1379)</f>
        <v/>
      </c>
      <c r="G1383" s="7" t="str">
        <f>IF(Notes!CE1379="","",Notes!CE1379)</f>
        <v/>
      </c>
      <c r="H1383" s="7" t="str">
        <f>IF(Notes!CF1379="","",Notes!CF1379)</f>
        <v/>
      </c>
      <c r="I1383" s="7"/>
      <c r="J1383" s="7"/>
      <c r="K1383" s="7"/>
    </row>
    <row r="1384" spans="1:11" x14ac:dyDescent="0.35">
      <c r="A1384" s="7" t="str">
        <f>IF(Notes!BY1380="","",Notes!BY1380)</f>
        <v/>
      </c>
      <c r="B1384" s="7" t="str">
        <f>IF(Notes!BZ1380="","",Notes!BZ1380)</f>
        <v/>
      </c>
      <c r="C1384" s="7" t="str">
        <f>IF(Notes!CA1380="","",Notes!CA1380)</f>
        <v/>
      </c>
      <c r="D1384" s="7" t="str">
        <f>IF(Notes!CB1380="","",Notes!CB1380)</f>
        <v/>
      </c>
      <c r="E1384" s="7" t="str">
        <f>IF(Notes!CC1380="","",Notes!CC1380)</f>
        <v/>
      </c>
      <c r="F1384" s="7" t="str">
        <f>IF(Notes!CD1380="","",Notes!CD1380)</f>
        <v/>
      </c>
      <c r="G1384" s="7" t="str">
        <f>IF(Notes!CE1380="","",Notes!CE1380)</f>
        <v/>
      </c>
      <c r="H1384" s="7" t="str">
        <f>IF(Notes!CF1380="","",Notes!CF1380)</f>
        <v/>
      </c>
      <c r="I1384" s="7"/>
      <c r="J1384" s="7"/>
      <c r="K1384" s="7"/>
    </row>
    <row r="1385" spans="1:11" x14ac:dyDescent="0.35">
      <c r="A1385" s="7" t="str">
        <f>IF(Notes!BY1381="","",Notes!BY1381)</f>
        <v/>
      </c>
      <c r="B1385" s="7" t="str">
        <f>IF(Notes!BZ1381="","",Notes!BZ1381)</f>
        <v/>
      </c>
      <c r="C1385" s="7" t="str">
        <f>IF(Notes!CA1381="","",Notes!CA1381)</f>
        <v/>
      </c>
      <c r="D1385" s="7" t="str">
        <f>IF(Notes!CB1381="","",Notes!CB1381)</f>
        <v/>
      </c>
      <c r="E1385" s="7" t="str">
        <f>IF(Notes!CC1381="","",Notes!CC1381)</f>
        <v/>
      </c>
      <c r="F1385" s="7" t="str">
        <f>IF(Notes!CD1381="","",Notes!CD1381)</f>
        <v/>
      </c>
      <c r="G1385" s="7" t="str">
        <f>IF(Notes!CE1381="","",Notes!CE1381)</f>
        <v/>
      </c>
      <c r="H1385" s="7" t="str">
        <f>IF(Notes!CF1381="","",Notes!CF1381)</f>
        <v/>
      </c>
      <c r="I1385" s="7"/>
      <c r="J1385" s="7"/>
      <c r="K1385" s="7"/>
    </row>
    <row r="1386" spans="1:11" x14ac:dyDescent="0.35">
      <c r="A1386" s="7" t="str">
        <f>IF(Notes!BY1382="","",Notes!BY1382)</f>
        <v/>
      </c>
      <c r="B1386" s="7" t="str">
        <f>IF(Notes!BZ1382="","",Notes!BZ1382)</f>
        <v/>
      </c>
      <c r="C1386" s="7" t="str">
        <f>IF(Notes!CA1382="","",Notes!CA1382)</f>
        <v/>
      </c>
      <c r="D1386" s="7" t="str">
        <f>IF(Notes!CB1382="","",Notes!CB1382)</f>
        <v/>
      </c>
      <c r="E1386" s="7" t="str">
        <f>IF(Notes!CC1382="","",Notes!CC1382)</f>
        <v/>
      </c>
      <c r="F1386" s="7" t="str">
        <f>IF(Notes!CD1382="","",Notes!CD1382)</f>
        <v/>
      </c>
      <c r="G1386" s="7" t="str">
        <f>IF(Notes!CE1382="","",Notes!CE1382)</f>
        <v/>
      </c>
      <c r="H1386" s="7" t="str">
        <f>IF(Notes!CF1382="","",Notes!CF1382)</f>
        <v/>
      </c>
      <c r="I1386" s="7"/>
      <c r="J1386" s="7"/>
      <c r="K1386" s="7"/>
    </row>
    <row r="1387" spans="1:11" x14ac:dyDescent="0.35">
      <c r="A1387" s="7" t="str">
        <f>IF(Notes!BY1383="","",Notes!BY1383)</f>
        <v/>
      </c>
      <c r="B1387" s="7" t="str">
        <f>IF(Notes!BZ1383="","",Notes!BZ1383)</f>
        <v/>
      </c>
      <c r="C1387" s="7" t="str">
        <f>IF(Notes!CA1383="","",Notes!CA1383)</f>
        <v/>
      </c>
      <c r="D1387" s="7" t="str">
        <f>IF(Notes!CB1383="","",Notes!CB1383)</f>
        <v/>
      </c>
      <c r="E1387" s="7" t="str">
        <f>IF(Notes!CC1383="","",Notes!CC1383)</f>
        <v/>
      </c>
      <c r="F1387" s="7" t="str">
        <f>IF(Notes!CD1383="","",Notes!CD1383)</f>
        <v/>
      </c>
      <c r="G1387" s="7" t="str">
        <f>IF(Notes!CE1383="","",Notes!CE1383)</f>
        <v/>
      </c>
      <c r="H1387" s="7" t="str">
        <f>IF(Notes!CF1383="","",Notes!CF1383)</f>
        <v/>
      </c>
      <c r="I1387" s="7"/>
      <c r="J1387" s="7"/>
      <c r="K1387" s="7"/>
    </row>
    <row r="1388" spans="1:11" x14ac:dyDescent="0.35">
      <c r="A1388" s="7" t="str">
        <f>IF(Notes!BY1384="","",Notes!BY1384)</f>
        <v/>
      </c>
      <c r="B1388" s="7" t="str">
        <f>IF(Notes!BZ1384="","",Notes!BZ1384)</f>
        <v/>
      </c>
      <c r="C1388" s="7" t="str">
        <f>IF(Notes!CA1384="","",Notes!CA1384)</f>
        <v/>
      </c>
      <c r="D1388" s="7" t="str">
        <f>IF(Notes!CB1384="","",Notes!CB1384)</f>
        <v/>
      </c>
      <c r="E1388" s="7" t="str">
        <f>IF(Notes!CC1384="","",Notes!CC1384)</f>
        <v/>
      </c>
      <c r="F1388" s="7" t="str">
        <f>IF(Notes!CD1384="","",Notes!CD1384)</f>
        <v/>
      </c>
      <c r="G1388" s="7" t="str">
        <f>IF(Notes!CE1384="","",Notes!CE1384)</f>
        <v/>
      </c>
      <c r="H1388" s="7" t="str">
        <f>IF(Notes!CF1384="","",Notes!CF1384)</f>
        <v/>
      </c>
      <c r="I1388" s="7"/>
      <c r="J1388" s="7"/>
      <c r="K1388" s="7"/>
    </row>
    <row r="1389" spans="1:11" x14ac:dyDescent="0.35">
      <c r="A1389" s="7" t="str">
        <f>IF(Notes!BY1385="","",Notes!BY1385)</f>
        <v/>
      </c>
      <c r="B1389" s="7" t="str">
        <f>IF(Notes!BZ1385="","",Notes!BZ1385)</f>
        <v/>
      </c>
      <c r="C1389" s="7" t="str">
        <f>IF(Notes!CA1385="","",Notes!CA1385)</f>
        <v/>
      </c>
      <c r="D1389" s="7" t="str">
        <f>IF(Notes!CB1385="","",Notes!CB1385)</f>
        <v/>
      </c>
      <c r="E1389" s="7" t="str">
        <f>IF(Notes!CC1385="","",Notes!CC1385)</f>
        <v/>
      </c>
      <c r="F1389" s="7" t="str">
        <f>IF(Notes!CD1385="","",Notes!CD1385)</f>
        <v/>
      </c>
      <c r="G1389" s="7" t="str">
        <f>IF(Notes!CE1385="","",Notes!CE1385)</f>
        <v/>
      </c>
      <c r="H1389" s="7" t="str">
        <f>IF(Notes!CF1385="","",Notes!CF1385)</f>
        <v/>
      </c>
      <c r="I1389" s="7"/>
      <c r="J1389" s="7"/>
      <c r="K1389" s="7"/>
    </row>
    <row r="1390" spans="1:11" x14ac:dyDescent="0.35">
      <c r="A1390" s="7" t="str">
        <f>IF(Notes!BY1386="","",Notes!BY1386)</f>
        <v/>
      </c>
      <c r="B1390" s="7" t="str">
        <f>IF(Notes!BZ1386="","",Notes!BZ1386)</f>
        <v/>
      </c>
      <c r="C1390" s="7" t="str">
        <f>IF(Notes!CA1386="","",Notes!CA1386)</f>
        <v/>
      </c>
      <c r="D1390" s="7" t="str">
        <f>IF(Notes!CB1386="","",Notes!CB1386)</f>
        <v/>
      </c>
      <c r="E1390" s="7" t="str">
        <f>IF(Notes!CC1386="","",Notes!CC1386)</f>
        <v/>
      </c>
      <c r="F1390" s="7" t="str">
        <f>IF(Notes!CD1386="","",Notes!CD1386)</f>
        <v/>
      </c>
      <c r="G1390" s="7" t="str">
        <f>IF(Notes!CE1386="","",Notes!CE1386)</f>
        <v/>
      </c>
      <c r="H1390" s="7" t="str">
        <f>IF(Notes!CF1386="","",Notes!CF1386)</f>
        <v/>
      </c>
      <c r="I1390" s="7"/>
      <c r="J1390" s="7"/>
      <c r="K1390" s="7"/>
    </row>
    <row r="1391" spans="1:11" x14ac:dyDescent="0.35">
      <c r="A1391" s="7" t="str">
        <f>IF(Notes!BY1387="","",Notes!BY1387)</f>
        <v/>
      </c>
      <c r="B1391" s="7" t="str">
        <f>IF(Notes!BZ1387="","",Notes!BZ1387)</f>
        <v/>
      </c>
      <c r="C1391" s="7" t="str">
        <f>IF(Notes!CA1387="","",Notes!CA1387)</f>
        <v/>
      </c>
      <c r="D1391" s="7" t="str">
        <f>IF(Notes!CB1387="","",Notes!CB1387)</f>
        <v/>
      </c>
      <c r="E1391" s="7" t="str">
        <f>IF(Notes!CC1387="","",Notes!CC1387)</f>
        <v/>
      </c>
      <c r="F1391" s="7" t="str">
        <f>IF(Notes!CD1387="","",Notes!CD1387)</f>
        <v/>
      </c>
      <c r="G1391" s="7" t="str">
        <f>IF(Notes!CE1387="","",Notes!CE1387)</f>
        <v/>
      </c>
      <c r="H1391" s="7" t="str">
        <f>IF(Notes!CF1387="","",Notes!CF1387)</f>
        <v/>
      </c>
      <c r="I1391" s="7"/>
      <c r="J1391" s="7"/>
      <c r="K1391" s="7"/>
    </row>
    <row r="1392" spans="1:11" x14ac:dyDescent="0.35">
      <c r="A1392" s="7" t="str">
        <f>IF(Notes!BY1388="","",Notes!BY1388)</f>
        <v/>
      </c>
      <c r="B1392" s="7" t="str">
        <f>IF(Notes!BZ1388="","",Notes!BZ1388)</f>
        <v/>
      </c>
      <c r="C1392" s="7" t="str">
        <f>IF(Notes!CA1388="","",Notes!CA1388)</f>
        <v/>
      </c>
      <c r="D1392" s="7" t="str">
        <f>IF(Notes!CB1388="","",Notes!CB1388)</f>
        <v/>
      </c>
      <c r="E1392" s="7" t="str">
        <f>IF(Notes!CC1388="","",Notes!CC1388)</f>
        <v/>
      </c>
      <c r="F1392" s="7" t="str">
        <f>IF(Notes!CD1388="","",Notes!CD1388)</f>
        <v/>
      </c>
      <c r="G1392" s="7" t="str">
        <f>IF(Notes!CE1388="","",Notes!CE1388)</f>
        <v/>
      </c>
      <c r="H1392" s="7" t="str">
        <f>IF(Notes!CF1388="","",Notes!CF1388)</f>
        <v/>
      </c>
      <c r="I1392" s="7"/>
      <c r="J1392" s="7"/>
      <c r="K1392" s="7"/>
    </row>
    <row r="1393" spans="1:11" x14ac:dyDescent="0.35">
      <c r="A1393" s="7" t="str">
        <f>IF(Notes!BY1389="","",Notes!BY1389)</f>
        <v/>
      </c>
      <c r="B1393" s="7" t="str">
        <f>IF(Notes!BZ1389="","",Notes!BZ1389)</f>
        <v/>
      </c>
      <c r="C1393" s="7" t="str">
        <f>IF(Notes!CA1389="","",Notes!CA1389)</f>
        <v/>
      </c>
      <c r="D1393" s="7" t="str">
        <f>IF(Notes!CB1389="","",Notes!CB1389)</f>
        <v/>
      </c>
      <c r="E1393" s="7" t="str">
        <f>IF(Notes!CC1389="","",Notes!CC1389)</f>
        <v/>
      </c>
      <c r="F1393" s="7" t="str">
        <f>IF(Notes!CD1389="","",Notes!CD1389)</f>
        <v/>
      </c>
      <c r="G1393" s="7" t="str">
        <f>IF(Notes!CE1389="","",Notes!CE1389)</f>
        <v/>
      </c>
      <c r="H1393" s="7" t="str">
        <f>IF(Notes!CF1389="","",Notes!CF1389)</f>
        <v/>
      </c>
      <c r="I1393" s="7"/>
      <c r="J1393" s="7"/>
      <c r="K1393" s="7"/>
    </row>
    <row r="1394" spans="1:11" x14ac:dyDescent="0.35">
      <c r="A1394" s="7" t="str">
        <f>IF(Notes!BY1390="","",Notes!BY1390)</f>
        <v/>
      </c>
      <c r="B1394" s="7" t="str">
        <f>IF(Notes!BZ1390="","",Notes!BZ1390)</f>
        <v/>
      </c>
      <c r="C1394" s="7" t="str">
        <f>IF(Notes!CA1390="","",Notes!CA1390)</f>
        <v/>
      </c>
      <c r="D1394" s="7" t="str">
        <f>IF(Notes!CB1390="","",Notes!CB1390)</f>
        <v/>
      </c>
      <c r="E1394" s="7" t="str">
        <f>IF(Notes!CC1390="","",Notes!CC1390)</f>
        <v/>
      </c>
      <c r="F1394" s="7" t="str">
        <f>IF(Notes!CD1390="","",Notes!CD1390)</f>
        <v/>
      </c>
      <c r="G1394" s="7" t="str">
        <f>IF(Notes!CE1390="","",Notes!CE1390)</f>
        <v/>
      </c>
      <c r="H1394" s="7" t="str">
        <f>IF(Notes!CF1390="","",Notes!CF1390)</f>
        <v/>
      </c>
      <c r="I1394" s="7"/>
      <c r="J1394" s="7"/>
      <c r="K1394" s="7"/>
    </row>
    <row r="1395" spans="1:11" x14ac:dyDescent="0.35">
      <c r="A1395" s="7" t="str">
        <f>IF(Notes!BY1391="","",Notes!BY1391)</f>
        <v/>
      </c>
      <c r="B1395" s="7" t="str">
        <f>IF(Notes!BZ1391="","",Notes!BZ1391)</f>
        <v/>
      </c>
      <c r="C1395" s="7" t="str">
        <f>IF(Notes!CA1391="","",Notes!CA1391)</f>
        <v/>
      </c>
      <c r="D1395" s="7" t="str">
        <f>IF(Notes!CB1391="","",Notes!CB1391)</f>
        <v/>
      </c>
      <c r="E1395" s="7" t="str">
        <f>IF(Notes!CC1391="","",Notes!CC1391)</f>
        <v/>
      </c>
      <c r="F1395" s="7" t="str">
        <f>IF(Notes!CD1391="","",Notes!CD1391)</f>
        <v/>
      </c>
      <c r="G1395" s="7" t="str">
        <f>IF(Notes!CE1391="","",Notes!CE1391)</f>
        <v/>
      </c>
      <c r="H1395" s="7" t="str">
        <f>IF(Notes!CF1391="","",Notes!CF1391)</f>
        <v/>
      </c>
      <c r="I1395" s="7"/>
      <c r="J1395" s="7"/>
      <c r="K1395" s="7"/>
    </row>
    <row r="1396" spans="1:11" x14ac:dyDescent="0.35">
      <c r="A1396" s="7" t="str">
        <f>IF(Notes!BY1392="","",Notes!BY1392)</f>
        <v/>
      </c>
      <c r="B1396" s="7" t="str">
        <f>IF(Notes!BZ1392="","",Notes!BZ1392)</f>
        <v/>
      </c>
      <c r="C1396" s="7" t="str">
        <f>IF(Notes!CA1392="","",Notes!CA1392)</f>
        <v/>
      </c>
      <c r="D1396" s="7" t="str">
        <f>IF(Notes!CB1392="","",Notes!CB1392)</f>
        <v/>
      </c>
      <c r="E1396" s="7" t="str">
        <f>IF(Notes!CC1392="","",Notes!CC1392)</f>
        <v/>
      </c>
      <c r="F1396" s="7" t="str">
        <f>IF(Notes!CD1392="","",Notes!CD1392)</f>
        <v/>
      </c>
      <c r="G1396" s="7" t="str">
        <f>IF(Notes!CE1392="","",Notes!CE1392)</f>
        <v/>
      </c>
      <c r="H1396" s="7" t="str">
        <f>IF(Notes!CF1392="","",Notes!CF1392)</f>
        <v/>
      </c>
      <c r="I1396" s="7"/>
      <c r="J1396" s="7"/>
      <c r="K1396" s="7"/>
    </row>
    <row r="1397" spans="1:11" x14ac:dyDescent="0.35">
      <c r="A1397" s="7" t="str">
        <f>IF(Notes!BY1393="","",Notes!BY1393)</f>
        <v/>
      </c>
      <c r="B1397" s="7" t="str">
        <f>IF(Notes!BZ1393="","",Notes!BZ1393)</f>
        <v/>
      </c>
      <c r="C1397" s="7" t="str">
        <f>IF(Notes!CA1393="","",Notes!CA1393)</f>
        <v/>
      </c>
      <c r="D1397" s="7" t="str">
        <f>IF(Notes!CB1393="","",Notes!CB1393)</f>
        <v/>
      </c>
      <c r="E1397" s="7" t="str">
        <f>IF(Notes!CC1393="","",Notes!CC1393)</f>
        <v/>
      </c>
      <c r="F1397" s="7" t="str">
        <f>IF(Notes!CD1393="","",Notes!CD1393)</f>
        <v/>
      </c>
      <c r="G1397" s="7" t="str">
        <f>IF(Notes!CE1393="","",Notes!CE1393)</f>
        <v/>
      </c>
      <c r="H1397" s="7" t="str">
        <f>IF(Notes!CF1393="","",Notes!CF1393)</f>
        <v/>
      </c>
      <c r="I1397" s="7"/>
      <c r="J1397" s="7"/>
      <c r="K1397" s="7"/>
    </row>
    <row r="1398" spans="1:11" x14ac:dyDescent="0.35">
      <c r="A1398" s="7" t="str">
        <f>IF(Notes!BY1394="","",Notes!BY1394)</f>
        <v/>
      </c>
      <c r="B1398" s="7" t="str">
        <f>IF(Notes!BZ1394="","",Notes!BZ1394)</f>
        <v/>
      </c>
      <c r="C1398" s="7" t="str">
        <f>IF(Notes!CA1394="","",Notes!CA1394)</f>
        <v/>
      </c>
      <c r="D1398" s="7" t="str">
        <f>IF(Notes!CB1394="","",Notes!CB1394)</f>
        <v/>
      </c>
      <c r="E1398" s="7" t="str">
        <f>IF(Notes!CC1394="","",Notes!CC1394)</f>
        <v/>
      </c>
      <c r="F1398" s="7" t="str">
        <f>IF(Notes!CD1394="","",Notes!CD1394)</f>
        <v/>
      </c>
      <c r="G1398" s="7" t="str">
        <f>IF(Notes!CE1394="","",Notes!CE1394)</f>
        <v/>
      </c>
      <c r="H1398" s="7" t="str">
        <f>IF(Notes!CF1394="","",Notes!CF1394)</f>
        <v/>
      </c>
      <c r="I1398" s="7"/>
      <c r="J1398" s="7"/>
      <c r="K1398" s="7"/>
    </row>
    <row r="1399" spans="1:11" x14ac:dyDescent="0.35">
      <c r="A1399" s="7" t="str">
        <f>IF(Notes!BY1395="","",Notes!BY1395)</f>
        <v/>
      </c>
      <c r="B1399" s="7" t="str">
        <f>IF(Notes!BZ1395="","",Notes!BZ1395)</f>
        <v/>
      </c>
      <c r="C1399" s="7" t="str">
        <f>IF(Notes!CA1395="","",Notes!CA1395)</f>
        <v/>
      </c>
      <c r="D1399" s="7" t="str">
        <f>IF(Notes!CB1395="","",Notes!CB1395)</f>
        <v/>
      </c>
      <c r="E1399" s="7" t="str">
        <f>IF(Notes!CC1395="","",Notes!CC1395)</f>
        <v/>
      </c>
      <c r="F1399" s="7" t="str">
        <f>IF(Notes!CD1395="","",Notes!CD1395)</f>
        <v/>
      </c>
      <c r="G1399" s="7" t="str">
        <f>IF(Notes!CE1395="","",Notes!CE1395)</f>
        <v/>
      </c>
      <c r="H1399" s="7" t="str">
        <f>IF(Notes!CF1395="","",Notes!CF1395)</f>
        <v/>
      </c>
      <c r="I1399" s="7"/>
      <c r="J1399" s="7"/>
      <c r="K1399" s="7"/>
    </row>
    <row r="1400" spans="1:11" x14ac:dyDescent="0.35">
      <c r="A1400" s="7" t="str">
        <f>IF(Notes!BY1396="","",Notes!BY1396)</f>
        <v/>
      </c>
      <c r="B1400" s="7" t="str">
        <f>IF(Notes!BZ1396="","",Notes!BZ1396)</f>
        <v/>
      </c>
      <c r="C1400" s="7" t="str">
        <f>IF(Notes!CA1396="","",Notes!CA1396)</f>
        <v/>
      </c>
      <c r="D1400" s="7" t="str">
        <f>IF(Notes!CB1396="","",Notes!CB1396)</f>
        <v/>
      </c>
      <c r="E1400" s="7" t="str">
        <f>IF(Notes!CC1396="","",Notes!CC1396)</f>
        <v/>
      </c>
      <c r="F1400" s="7" t="str">
        <f>IF(Notes!CD1396="","",Notes!CD1396)</f>
        <v/>
      </c>
      <c r="G1400" s="7" t="str">
        <f>IF(Notes!CE1396="","",Notes!CE1396)</f>
        <v/>
      </c>
      <c r="H1400" s="7" t="str">
        <f>IF(Notes!CF1396="","",Notes!CF1396)</f>
        <v/>
      </c>
      <c r="I1400" s="7"/>
      <c r="J1400" s="7"/>
      <c r="K1400" s="7"/>
    </row>
    <row r="1401" spans="1:11" x14ac:dyDescent="0.35">
      <c r="A1401" s="7" t="str">
        <f>IF(Notes!BY1397="","",Notes!BY1397)</f>
        <v/>
      </c>
      <c r="B1401" s="7" t="str">
        <f>IF(Notes!BZ1397="","",Notes!BZ1397)</f>
        <v/>
      </c>
      <c r="C1401" s="7" t="str">
        <f>IF(Notes!CA1397="","",Notes!CA1397)</f>
        <v/>
      </c>
      <c r="D1401" s="7" t="str">
        <f>IF(Notes!CB1397="","",Notes!CB1397)</f>
        <v/>
      </c>
      <c r="E1401" s="7" t="str">
        <f>IF(Notes!CC1397="","",Notes!CC1397)</f>
        <v/>
      </c>
      <c r="F1401" s="7" t="str">
        <f>IF(Notes!CD1397="","",Notes!CD1397)</f>
        <v/>
      </c>
      <c r="G1401" s="7" t="str">
        <f>IF(Notes!CE1397="","",Notes!CE1397)</f>
        <v/>
      </c>
      <c r="H1401" s="7" t="str">
        <f>IF(Notes!CF1397="","",Notes!CF1397)</f>
        <v/>
      </c>
      <c r="I1401" s="7"/>
      <c r="J1401" s="7"/>
      <c r="K1401" s="7"/>
    </row>
    <row r="1402" spans="1:11" x14ac:dyDescent="0.35">
      <c r="A1402" s="7" t="str">
        <f>IF(Notes!BY1398="","",Notes!BY1398)</f>
        <v/>
      </c>
      <c r="B1402" s="7" t="str">
        <f>IF(Notes!BZ1398="","",Notes!BZ1398)</f>
        <v/>
      </c>
      <c r="C1402" s="7" t="str">
        <f>IF(Notes!CA1398="","",Notes!CA1398)</f>
        <v/>
      </c>
      <c r="D1402" s="7" t="str">
        <f>IF(Notes!CB1398="","",Notes!CB1398)</f>
        <v/>
      </c>
      <c r="E1402" s="7" t="str">
        <f>IF(Notes!CC1398="","",Notes!CC1398)</f>
        <v/>
      </c>
      <c r="F1402" s="7" t="str">
        <f>IF(Notes!CD1398="","",Notes!CD1398)</f>
        <v/>
      </c>
      <c r="G1402" s="7" t="str">
        <f>IF(Notes!CE1398="","",Notes!CE1398)</f>
        <v/>
      </c>
      <c r="H1402" s="7" t="str">
        <f>IF(Notes!CF1398="","",Notes!CF1398)</f>
        <v/>
      </c>
      <c r="I1402" s="7"/>
      <c r="J1402" s="7"/>
      <c r="K1402" s="7"/>
    </row>
    <row r="1403" spans="1:11" x14ac:dyDescent="0.35">
      <c r="A1403" s="7" t="str">
        <f>IF(Notes!BY1399="","",Notes!BY1399)</f>
        <v/>
      </c>
      <c r="B1403" s="7" t="str">
        <f>IF(Notes!BZ1399="","",Notes!BZ1399)</f>
        <v/>
      </c>
      <c r="C1403" s="7" t="str">
        <f>IF(Notes!CA1399="","",Notes!CA1399)</f>
        <v/>
      </c>
      <c r="D1403" s="7" t="str">
        <f>IF(Notes!CB1399="","",Notes!CB1399)</f>
        <v/>
      </c>
      <c r="E1403" s="7" t="str">
        <f>IF(Notes!CC1399="","",Notes!CC1399)</f>
        <v/>
      </c>
      <c r="F1403" s="7" t="str">
        <f>IF(Notes!CD1399="","",Notes!CD1399)</f>
        <v/>
      </c>
      <c r="G1403" s="7" t="str">
        <f>IF(Notes!CE1399="","",Notes!CE1399)</f>
        <v/>
      </c>
      <c r="H1403" s="7" t="str">
        <f>IF(Notes!CF1399="","",Notes!CF1399)</f>
        <v/>
      </c>
      <c r="I1403" s="7"/>
      <c r="J1403" s="7"/>
      <c r="K1403" s="7"/>
    </row>
    <row r="1404" spans="1:11" x14ac:dyDescent="0.35">
      <c r="A1404" s="7" t="str">
        <f>IF(Notes!BY1400="","",Notes!BY1400)</f>
        <v/>
      </c>
      <c r="B1404" s="7" t="str">
        <f>IF(Notes!BZ1400="","",Notes!BZ1400)</f>
        <v/>
      </c>
      <c r="C1404" s="7" t="str">
        <f>IF(Notes!CA1400="","",Notes!CA1400)</f>
        <v/>
      </c>
      <c r="D1404" s="7" t="str">
        <f>IF(Notes!CB1400="","",Notes!CB1400)</f>
        <v/>
      </c>
      <c r="E1404" s="7" t="str">
        <f>IF(Notes!CC1400="","",Notes!CC1400)</f>
        <v/>
      </c>
      <c r="F1404" s="7" t="str">
        <f>IF(Notes!CD1400="","",Notes!CD1400)</f>
        <v/>
      </c>
      <c r="G1404" s="7" t="str">
        <f>IF(Notes!CE1400="","",Notes!CE1400)</f>
        <v/>
      </c>
      <c r="H1404" s="7" t="str">
        <f>IF(Notes!CF1400="","",Notes!CF1400)</f>
        <v/>
      </c>
      <c r="I1404" s="7"/>
      <c r="J1404" s="7"/>
      <c r="K1404" s="7"/>
    </row>
    <row r="1405" spans="1:11" x14ac:dyDescent="0.35">
      <c r="A1405" s="7" t="str">
        <f>IF(Notes!BY1401="","",Notes!BY1401)</f>
        <v/>
      </c>
      <c r="B1405" s="7" t="str">
        <f>IF(Notes!BZ1401="","",Notes!BZ1401)</f>
        <v/>
      </c>
      <c r="C1405" s="7" t="str">
        <f>IF(Notes!CA1401="","",Notes!CA1401)</f>
        <v/>
      </c>
      <c r="D1405" s="7" t="str">
        <f>IF(Notes!CB1401="","",Notes!CB1401)</f>
        <v/>
      </c>
      <c r="E1405" s="7" t="str">
        <f>IF(Notes!CC1401="","",Notes!CC1401)</f>
        <v/>
      </c>
      <c r="F1405" s="7" t="str">
        <f>IF(Notes!CD1401="","",Notes!CD1401)</f>
        <v/>
      </c>
      <c r="G1405" s="7" t="str">
        <f>IF(Notes!CE1401="","",Notes!CE1401)</f>
        <v/>
      </c>
      <c r="H1405" s="7" t="str">
        <f>IF(Notes!CF1401="","",Notes!CF1401)</f>
        <v/>
      </c>
      <c r="I1405" s="7"/>
      <c r="J1405" s="7"/>
      <c r="K1405" s="7"/>
    </row>
    <row r="1406" spans="1:11" x14ac:dyDescent="0.35">
      <c r="A1406" s="7" t="str">
        <f>IF(Notes!BY1402="","",Notes!BY1402)</f>
        <v/>
      </c>
      <c r="B1406" s="7" t="str">
        <f>IF(Notes!BZ1402="","",Notes!BZ1402)</f>
        <v/>
      </c>
      <c r="C1406" s="7" t="str">
        <f>IF(Notes!CA1402="","",Notes!CA1402)</f>
        <v/>
      </c>
      <c r="D1406" s="7" t="str">
        <f>IF(Notes!CB1402="","",Notes!CB1402)</f>
        <v/>
      </c>
      <c r="E1406" s="7" t="str">
        <f>IF(Notes!CC1402="","",Notes!CC1402)</f>
        <v/>
      </c>
      <c r="F1406" s="7" t="str">
        <f>IF(Notes!CD1402="","",Notes!CD1402)</f>
        <v/>
      </c>
      <c r="G1406" s="7" t="str">
        <f>IF(Notes!CE1402="","",Notes!CE1402)</f>
        <v/>
      </c>
      <c r="H1406" s="7" t="str">
        <f>IF(Notes!CF1402="","",Notes!CF1402)</f>
        <v/>
      </c>
      <c r="I1406" s="7"/>
      <c r="J1406" s="7"/>
      <c r="K1406" s="7"/>
    </row>
    <row r="1407" spans="1:11" x14ac:dyDescent="0.35">
      <c r="A1407" s="7" t="str">
        <f>IF(Notes!BY1403="","",Notes!BY1403)</f>
        <v/>
      </c>
      <c r="B1407" s="7" t="str">
        <f>IF(Notes!BZ1403="","",Notes!BZ1403)</f>
        <v/>
      </c>
      <c r="C1407" s="7" t="str">
        <f>IF(Notes!CA1403="","",Notes!CA1403)</f>
        <v/>
      </c>
      <c r="D1407" s="7" t="str">
        <f>IF(Notes!CB1403="","",Notes!CB1403)</f>
        <v/>
      </c>
      <c r="E1407" s="7" t="str">
        <f>IF(Notes!CC1403="","",Notes!CC1403)</f>
        <v/>
      </c>
      <c r="F1407" s="7" t="str">
        <f>IF(Notes!CD1403="","",Notes!CD1403)</f>
        <v/>
      </c>
      <c r="G1407" s="7" t="str">
        <f>IF(Notes!CE1403="","",Notes!CE1403)</f>
        <v/>
      </c>
      <c r="H1407" s="7" t="str">
        <f>IF(Notes!CF1403="","",Notes!CF1403)</f>
        <v/>
      </c>
      <c r="I1407" s="7"/>
      <c r="J1407" s="7"/>
      <c r="K1407" s="7"/>
    </row>
    <row r="1408" spans="1:11" x14ac:dyDescent="0.35">
      <c r="A1408" s="7" t="str">
        <f>IF(Notes!BY1404="","",Notes!BY1404)</f>
        <v/>
      </c>
      <c r="B1408" s="7" t="str">
        <f>IF(Notes!BZ1404="","",Notes!BZ1404)</f>
        <v/>
      </c>
      <c r="C1408" s="7" t="str">
        <f>IF(Notes!CA1404="","",Notes!CA1404)</f>
        <v/>
      </c>
      <c r="D1408" s="7" t="str">
        <f>IF(Notes!CB1404="","",Notes!CB1404)</f>
        <v/>
      </c>
      <c r="E1408" s="7" t="str">
        <f>IF(Notes!CC1404="","",Notes!CC1404)</f>
        <v/>
      </c>
      <c r="F1408" s="7" t="str">
        <f>IF(Notes!CD1404="","",Notes!CD1404)</f>
        <v/>
      </c>
      <c r="G1408" s="7" t="str">
        <f>IF(Notes!CE1404="","",Notes!CE1404)</f>
        <v/>
      </c>
      <c r="H1408" s="7" t="str">
        <f>IF(Notes!CF1404="","",Notes!CF1404)</f>
        <v/>
      </c>
      <c r="I1408" s="7"/>
      <c r="J1408" s="7"/>
      <c r="K1408" s="7"/>
    </row>
    <row r="1409" spans="1:11" x14ac:dyDescent="0.35">
      <c r="A1409" s="7" t="str">
        <f>IF(Notes!BY1405="","",Notes!BY1405)</f>
        <v/>
      </c>
      <c r="B1409" s="7" t="str">
        <f>IF(Notes!BZ1405="","",Notes!BZ1405)</f>
        <v/>
      </c>
      <c r="C1409" s="7" t="str">
        <f>IF(Notes!CA1405="","",Notes!CA1405)</f>
        <v/>
      </c>
      <c r="D1409" s="7" t="str">
        <f>IF(Notes!CB1405="","",Notes!CB1405)</f>
        <v/>
      </c>
      <c r="E1409" s="7" t="str">
        <f>IF(Notes!CC1405="","",Notes!CC1405)</f>
        <v/>
      </c>
      <c r="F1409" s="7" t="str">
        <f>IF(Notes!CD1405="","",Notes!CD1405)</f>
        <v/>
      </c>
      <c r="G1409" s="7" t="str">
        <f>IF(Notes!CE1405="","",Notes!CE1405)</f>
        <v/>
      </c>
      <c r="H1409" s="7" t="str">
        <f>IF(Notes!CF1405="","",Notes!CF1405)</f>
        <v/>
      </c>
      <c r="I1409" s="7"/>
      <c r="J1409" s="7"/>
      <c r="K1409" s="7"/>
    </row>
    <row r="1410" spans="1:11" x14ac:dyDescent="0.35">
      <c r="A1410" s="7" t="str">
        <f>IF(Notes!BY1406="","",Notes!BY1406)</f>
        <v/>
      </c>
      <c r="B1410" s="7" t="str">
        <f>IF(Notes!BZ1406="","",Notes!BZ1406)</f>
        <v/>
      </c>
      <c r="C1410" s="7" t="str">
        <f>IF(Notes!CA1406="","",Notes!CA1406)</f>
        <v/>
      </c>
      <c r="D1410" s="7" t="str">
        <f>IF(Notes!CB1406="","",Notes!CB1406)</f>
        <v/>
      </c>
      <c r="E1410" s="7" t="str">
        <f>IF(Notes!CC1406="","",Notes!CC1406)</f>
        <v/>
      </c>
      <c r="F1410" s="7" t="str">
        <f>IF(Notes!CD1406="","",Notes!CD1406)</f>
        <v/>
      </c>
      <c r="G1410" s="7" t="str">
        <f>IF(Notes!CE1406="","",Notes!CE1406)</f>
        <v/>
      </c>
      <c r="H1410" s="7" t="str">
        <f>IF(Notes!CF1406="","",Notes!CF1406)</f>
        <v/>
      </c>
      <c r="I1410" s="7"/>
      <c r="J1410" s="7"/>
      <c r="K1410" s="7"/>
    </row>
    <row r="1411" spans="1:11" x14ac:dyDescent="0.35">
      <c r="A1411" s="7" t="str">
        <f>IF(Notes!BY1407="","",Notes!BY1407)</f>
        <v/>
      </c>
      <c r="B1411" s="7" t="str">
        <f>IF(Notes!BZ1407="","",Notes!BZ1407)</f>
        <v/>
      </c>
      <c r="C1411" s="7" t="str">
        <f>IF(Notes!CA1407="","",Notes!CA1407)</f>
        <v/>
      </c>
      <c r="D1411" s="7" t="str">
        <f>IF(Notes!CB1407="","",Notes!CB1407)</f>
        <v/>
      </c>
      <c r="E1411" s="7" t="str">
        <f>IF(Notes!CC1407="","",Notes!CC1407)</f>
        <v/>
      </c>
      <c r="F1411" s="7" t="str">
        <f>IF(Notes!CD1407="","",Notes!CD1407)</f>
        <v/>
      </c>
      <c r="G1411" s="7" t="str">
        <f>IF(Notes!CE1407="","",Notes!CE1407)</f>
        <v/>
      </c>
      <c r="H1411" s="7" t="str">
        <f>IF(Notes!CF1407="","",Notes!CF1407)</f>
        <v/>
      </c>
      <c r="I1411" s="7"/>
      <c r="J1411" s="7"/>
      <c r="K1411" s="7"/>
    </row>
    <row r="1412" spans="1:11" x14ac:dyDescent="0.35">
      <c r="A1412" s="7" t="str">
        <f>IF(Notes!BY1408="","",Notes!BY1408)</f>
        <v/>
      </c>
      <c r="B1412" s="7" t="str">
        <f>IF(Notes!BZ1408="","",Notes!BZ1408)</f>
        <v/>
      </c>
      <c r="C1412" s="7" t="str">
        <f>IF(Notes!CA1408="","",Notes!CA1408)</f>
        <v/>
      </c>
      <c r="D1412" s="7" t="str">
        <f>IF(Notes!CB1408="","",Notes!CB1408)</f>
        <v/>
      </c>
      <c r="E1412" s="7" t="str">
        <f>IF(Notes!CC1408="","",Notes!CC1408)</f>
        <v/>
      </c>
      <c r="F1412" s="7" t="str">
        <f>IF(Notes!CD1408="","",Notes!CD1408)</f>
        <v/>
      </c>
      <c r="G1412" s="7" t="str">
        <f>IF(Notes!CE1408="","",Notes!CE1408)</f>
        <v/>
      </c>
      <c r="H1412" s="7" t="str">
        <f>IF(Notes!CF1408="","",Notes!CF1408)</f>
        <v/>
      </c>
      <c r="I1412" s="7"/>
      <c r="J1412" s="7"/>
      <c r="K1412" s="7"/>
    </row>
    <row r="1413" spans="1:11" x14ac:dyDescent="0.35">
      <c r="A1413" s="7" t="str">
        <f>IF(Notes!BY1409="","",Notes!BY1409)</f>
        <v/>
      </c>
      <c r="B1413" s="7" t="str">
        <f>IF(Notes!BZ1409="","",Notes!BZ1409)</f>
        <v/>
      </c>
      <c r="C1413" s="7" t="str">
        <f>IF(Notes!CA1409="","",Notes!CA1409)</f>
        <v/>
      </c>
      <c r="D1413" s="7" t="str">
        <f>IF(Notes!CB1409="","",Notes!CB1409)</f>
        <v/>
      </c>
      <c r="E1413" s="7" t="str">
        <f>IF(Notes!CC1409="","",Notes!CC1409)</f>
        <v/>
      </c>
      <c r="F1413" s="7" t="str">
        <f>IF(Notes!CD1409="","",Notes!CD1409)</f>
        <v/>
      </c>
      <c r="G1413" s="7" t="str">
        <f>IF(Notes!CE1409="","",Notes!CE1409)</f>
        <v/>
      </c>
      <c r="H1413" s="7" t="str">
        <f>IF(Notes!CF1409="","",Notes!CF1409)</f>
        <v/>
      </c>
      <c r="I1413" s="7"/>
      <c r="J1413" s="7"/>
      <c r="K1413" s="7"/>
    </row>
    <row r="1414" spans="1:11" x14ac:dyDescent="0.35">
      <c r="A1414" s="7" t="str">
        <f>IF(Notes!BY1410="","",Notes!BY1410)</f>
        <v/>
      </c>
      <c r="B1414" s="7" t="str">
        <f>IF(Notes!BZ1410="","",Notes!BZ1410)</f>
        <v/>
      </c>
      <c r="C1414" s="7" t="str">
        <f>IF(Notes!CA1410="","",Notes!CA1410)</f>
        <v/>
      </c>
      <c r="D1414" s="7" t="str">
        <f>IF(Notes!CB1410="","",Notes!CB1410)</f>
        <v/>
      </c>
      <c r="E1414" s="7" t="str">
        <f>IF(Notes!CC1410="","",Notes!CC1410)</f>
        <v/>
      </c>
      <c r="F1414" s="7" t="str">
        <f>IF(Notes!CD1410="","",Notes!CD1410)</f>
        <v/>
      </c>
      <c r="G1414" s="7" t="str">
        <f>IF(Notes!CE1410="","",Notes!CE1410)</f>
        <v/>
      </c>
      <c r="H1414" s="7" t="str">
        <f>IF(Notes!CF1410="","",Notes!CF1410)</f>
        <v/>
      </c>
      <c r="I1414" s="7"/>
      <c r="J1414" s="7"/>
      <c r="K1414" s="7"/>
    </row>
    <row r="1415" spans="1:11" x14ac:dyDescent="0.35">
      <c r="A1415" s="7" t="str">
        <f>IF(Notes!BY1411="","",Notes!BY1411)</f>
        <v/>
      </c>
      <c r="B1415" s="7" t="str">
        <f>IF(Notes!BZ1411="","",Notes!BZ1411)</f>
        <v/>
      </c>
      <c r="C1415" s="7" t="str">
        <f>IF(Notes!CA1411="","",Notes!CA1411)</f>
        <v/>
      </c>
      <c r="D1415" s="7" t="str">
        <f>IF(Notes!CB1411="","",Notes!CB1411)</f>
        <v/>
      </c>
      <c r="E1415" s="7" t="str">
        <f>IF(Notes!CC1411="","",Notes!CC1411)</f>
        <v/>
      </c>
      <c r="F1415" s="7" t="str">
        <f>IF(Notes!CD1411="","",Notes!CD1411)</f>
        <v/>
      </c>
      <c r="G1415" s="7" t="str">
        <f>IF(Notes!CE1411="","",Notes!CE1411)</f>
        <v/>
      </c>
      <c r="H1415" s="7" t="str">
        <f>IF(Notes!CF1411="","",Notes!CF1411)</f>
        <v/>
      </c>
      <c r="I1415" s="7"/>
      <c r="J1415" s="7"/>
      <c r="K1415" s="7"/>
    </row>
    <row r="1416" spans="1:11" x14ac:dyDescent="0.35">
      <c r="A1416" s="7" t="str">
        <f>IF(Notes!BY1412="","",Notes!BY1412)</f>
        <v/>
      </c>
      <c r="B1416" s="7" t="str">
        <f>IF(Notes!BZ1412="","",Notes!BZ1412)</f>
        <v/>
      </c>
      <c r="C1416" s="7" t="str">
        <f>IF(Notes!CA1412="","",Notes!CA1412)</f>
        <v/>
      </c>
      <c r="D1416" s="7" t="str">
        <f>IF(Notes!CB1412="","",Notes!CB1412)</f>
        <v/>
      </c>
      <c r="E1416" s="7" t="str">
        <f>IF(Notes!CC1412="","",Notes!CC1412)</f>
        <v/>
      </c>
      <c r="F1416" s="7" t="str">
        <f>IF(Notes!CD1412="","",Notes!CD1412)</f>
        <v/>
      </c>
      <c r="G1416" s="7" t="str">
        <f>IF(Notes!CE1412="","",Notes!CE1412)</f>
        <v/>
      </c>
      <c r="H1416" s="7" t="str">
        <f>IF(Notes!CF1412="","",Notes!CF1412)</f>
        <v/>
      </c>
      <c r="I1416" s="7"/>
      <c r="J1416" s="7"/>
      <c r="K1416" s="7"/>
    </row>
    <row r="1417" spans="1:11" x14ac:dyDescent="0.35">
      <c r="A1417" s="7" t="str">
        <f>IF(Notes!BY1413="","",Notes!BY1413)</f>
        <v/>
      </c>
      <c r="B1417" s="7" t="str">
        <f>IF(Notes!BZ1413="","",Notes!BZ1413)</f>
        <v/>
      </c>
      <c r="C1417" s="7" t="str">
        <f>IF(Notes!CA1413="","",Notes!CA1413)</f>
        <v/>
      </c>
      <c r="D1417" s="7" t="str">
        <f>IF(Notes!CB1413="","",Notes!CB1413)</f>
        <v/>
      </c>
      <c r="E1417" s="7" t="str">
        <f>IF(Notes!CC1413="","",Notes!CC1413)</f>
        <v/>
      </c>
      <c r="F1417" s="7" t="str">
        <f>IF(Notes!CD1413="","",Notes!CD1413)</f>
        <v/>
      </c>
      <c r="G1417" s="7" t="str">
        <f>IF(Notes!CE1413="","",Notes!CE1413)</f>
        <v/>
      </c>
      <c r="H1417" s="7" t="str">
        <f>IF(Notes!CF1413="","",Notes!CF1413)</f>
        <v/>
      </c>
      <c r="I1417" s="7"/>
      <c r="J1417" s="7"/>
      <c r="K1417" s="7"/>
    </row>
    <row r="1418" spans="1:11" x14ac:dyDescent="0.35">
      <c r="A1418" s="7" t="str">
        <f>IF(Notes!BY1414="","",Notes!BY1414)</f>
        <v/>
      </c>
      <c r="B1418" s="7" t="str">
        <f>IF(Notes!BZ1414="","",Notes!BZ1414)</f>
        <v/>
      </c>
      <c r="C1418" s="7" t="str">
        <f>IF(Notes!CA1414="","",Notes!CA1414)</f>
        <v/>
      </c>
      <c r="D1418" s="7" t="str">
        <f>IF(Notes!CB1414="","",Notes!CB1414)</f>
        <v/>
      </c>
      <c r="E1418" s="7" t="str">
        <f>IF(Notes!CC1414="","",Notes!CC1414)</f>
        <v/>
      </c>
      <c r="F1418" s="7" t="str">
        <f>IF(Notes!CD1414="","",Notes!CD1414)</f>
        <v/>
      </c>
      <c r="G1418" s="7" t="str">
        <f>IF(Notes!CE1414="","",Notes!CE1414)</f>
        <v/>
      </c>
      <c r="H1418" s="7" t="str">
        <f>IF(Notes!CF1414="","",Notes!CF1414)</f>
        <v/>
      </c>
      <c r="I1418" s="7"/>
      <c r="J1418" s="7"/>
      <c r="K1418" s="7"/>
    </row>
    <row r="1419" spans="1:11" x14ac:dyDescent="0.35">
      <c r="A1419" s="7" t="str">
        <f>IF(Notes!BY1415="","",Notes!BY1415)</f>
        <v/>
      </c>
      <c r="B1419" s="7" t="str">
        <f>IF(Notes!BZ1415="","",Notes!BZ1415)</f>
        <v/>
      </c>
      <c r="C1419" s="7" t="str">
        <f>IF(Notes!CA1415="","",Notes!CA1415)</f>
        <v/>
      </c>
      <c r="D1419" s="7" t="str">
        <f>IF(Notes!CB1415="","",Notes!CB1415)</f>
        <v/>
      </c>
      <c r="E1419" s="7" t="str">
        <f>IF(Notes!CC1415="","",Notes!CC1415)</f>
        <v/>
      </c>
      <c r="F1419" s="7" t="str">
        <f>IF(Notes!CD1415="","",Notes!CD1415)</f>
        <v/>
      </c>
      <c r="G1419" s="7" t="str">
        <f>IF(Notes!CE1415="","",Notes!CE1415)</f>
        <v/>
      </c>
      <c r="H1419" s="7" t="str">
        <f>IF(Notes!CF1415="","",Notes!CF1415)</f>
        <v/>
      </c>
      <c r="I1419" s="7"/>
      <c r="J1419" s="7"/>
      <c r="K1419" s="7"/>
    </row>
    <row r="1420" spans="1:11" x14ac:dyDescent="0.35">
      <c r="A1420" s="7" t="str">
        <f>IF(Notes!BY1416="","",Notes!BY1416)</f>
        <v/>
      </c>
      <c r="B1420" s="7" t="str">
        <f>IF(Notes!BZ1416="","",Notes!BZ1416)</f>
        <v/>
      </c>
      <c r="C1420" s="7" t="str">
        <f>IF(Notes!CA1416="","",Notes!CA1416)</f>
        <v/>
      </c>
      <c r="D1420" s="7" t="str">
        <f>IF(Notes!CB1416="","",Notes!CB1416)</f>
        <v/>
      </c>
      <c r="E1420" s="7" t="str">
        <f>IF(Notes!CC1416="","",Notes!CC1416)</f>
        <v/>
      </c>
      <c r="F1420" s="7" t="str">
        <f>IF(Notes!CD1416="","",Notes!CD1416)</f>
        <v/>
      </c>
      <c r="G1420" s="7" t="str">
        <f>IF(Notes!CE1416="","",Notes!CE1416)</f>
        <v/>
      </c>
      <c r="H1420" s="7" t="str">
        <f>IF(Notes!CF1416="","",Notes!CF1416)</f>
        <v/>
      </c>
      <c r="I1420" s="7"/>
      <c r="J1420" s="7"/>
      <c r="K1420" s="7"/>
    </row>
    <row r="1421" spans="1:11" x14ac:dyDescent="0.35">
      <c r="A1421" s="7" t="str">
        <f>IF(Notes!BY1417="","",Notes!BY1417)</f>
        <v/>
      </c>
      <c r="B1421" s="7" t="str">
        <f>IF(Notes!BZ1417="","",Notes!BZ1417)</f>
        <v/>
      </c>
      <c r="C1421" s="7" t="str">
        <f>IF(Notes!CA1417="","",Notes!CA1417)</f>
        <v/>
      </c>
      <c r="D1421" s="7" t="str">
        <f>IF(Notes!CB1417="","",Notes!CB1417)</f>
        <v/>
      </c>
      <c r="E1421" s="7" t="str">
        <f>IF(Notes!CC1417="","",Notes!CC1417)</f>
        <v/>
      </c>
      <c r="F1421" s="7" t="str">
        <f>IF(Notes!CD1417="","",Notes!CD1417)</f>
        <v/>
      </c>
      <c r="G1421" s="7" t="str">
        <f>IF(Notes!CE1417="","",Notes!CE1417)</f>
        <v/>
      </c>
      <c r="H1421" s="7" t="str">
        <f>IF(Notes!CF1417="","",Notes!CF1417)</f>
        <v/>
      </c>
      <c r="I1421" s="7"/>
      <c r="J1421" s="7"/>
      <c r="K1421" s="7"/>
    </row>
    <row r="1422" spans="1:11" x14ac:dyDescent="0.35">
      <c r="A1422" s="7" t="str">
        <f>IF(Notes!BY1418="","",Notes!BY1418)</f>
        <v/>
      </c>
      <c r="B1422" s="7" t="str">
        <f>IF(Notes!BZ1418="","",Notes!BZ1418)</f>
        <v/>
      </c>
      <c r="C1422" s="7" t="str">
        <f>IF(Notes!CA1418="","",Notes!CA1418)</f>
        <v/>
      </c>
      <c r="D1422" s="7" t="str">
        <f>IF(Notes!CB1418="","",Notes!CB1418)</f>
        <v/>
      </c>
      <c r="E1422" s="7" t="str">
        <f>IF(Notes!CC1418="","",Notes!CC1418)</f>
        <v/>
      </c>
      <c r="F1422" s="7" t="str">
        <f>IF(Notes!CD1418="","",Notes!CD1418)</f>
        <v/>
      </c>
      <c r="G1422" s="7" t="str">
        <f>IF(Notes!CE1418="","",Notes!CE1418)</f>
        <v/>
      </c>
      <c r="H1422" s="7" t="str">
        <f>IF(Notes!CF1418="","",Notes!CF1418)</f>
        <v/>
      </c>
      <c r="I1422" s="7"/>
      <c r="J1422" s="7"/>
      <c r="K1422" s="7"/>
    </row>
    <row r="1423" spans="1:11" x14ac:dyDescent="0.35">
      <c r="A1423" s="7" t="str">
        <f>IF(Notes!BY1419="","",Notes!BY1419)</f>
        <v/>
      </c>
      <c r="B1423" s="7" t="str">
        <f>IF(Notes!BZ1419="","",Notes!BZ1419)</f>
        <v/>
      </c>
      <c r="C1423" s="7" t="str">
        <f>IF(Notes!CA1419="","",Notes!CA1419)</f>
        <v/>
      </c>
      <c r="D1423" s="7" t="str">
        <f>IF(Notes!CB1419="","",Notes!CB1419)</f>
        <v/>
      </c>
      <c r="E1423" s="7" t="str">
        <f>IF(Notes!CC1419="","",Notes!CC1419)</f>
        <v/>
      </c>
      <c r="F1423" s="7" t="str">
        <f>IF(Notes!CD1419="","",Notes!CD1419)</f>
        <v/>
      </c>
      <c r="G1423" s="7" t="str">
        <f>IF(Notes!CE1419="","",Notes!CE1419)</f>
        <v/>
      </c>
      <c r="H1423" s="7" t="str">
        <f>IF(Notes!CF1419="","",Notes!CF1419)</f>
        <v/>
      </c>
      <c r="I1423" s="7"/>
      <c r="J1423" s="7"/>
      <c r="K1423" s="7"/>
    </row>
    <row r="1424" spans="1:11" x14ac:dyDescent="0.35">
      <c r="A1424" s="7" t="str">
        <f>IF(Notes!BY1420="","",Notes!BY1420)</f>
        <v/>
      </c>
      <c r="B1424" s="7" t="str">
        <f>IF(Notes!BZ1420="","",Notes!BZ1420)</f>
        <v/>
      </c>
      <c r="C1424" s="7" t="str">
        <f>IF(Notes!CA1420="","",Notes!CA1420)</f>
        <v/>
      </c>
      <c r="D1424" s="7" t="str">
        <f>IF(Notes!CB1420="","",Notes!CB1420)</f>
        <v/>
      </c>
      <c r="E1424" s="7" t="str">
        <f>IF(Notes!CC1420="","",Notes!CC1420)</f>
        <v/>
      </c>
      <c r="F1424" s="7" t="str">
        <f>IF(Notes!CD1420="","",Notes!CD1420)</f>
        <v/>
      </c>
      <c r="G1424" s="7" t="str">
        <f>IF(Notes!CE1420="","",Notes!CE1420)</f>
        <v/>
      </c>
      <c r="H1424" s="7" t="str">
        <f>IF(Notes!CF1420="","",Notes!CF1420)</f>
        <v/>
      </c>
      <c r="I1424" s="7"/>
      <c r="J1424" s="7"/>
      <c r="K1424" s="7"/>
    </row>
    <row r="1425" spans="1:11" x14ac:dyDescent="0.35">
      <c r="A1425" s="7" t="str">
        <f>IF(Notes!BY1421="","",Notes!BY1421)</f>
        <v/>
      </c>
      <c r="B1425" s="7" t="str">
        <f>IF(Notes!BZ1421="","",Notes!BZ1421)</f>
        <v/>
      </c>
      <c r="C1425" s="7" t="str">
        <f>IF(Notes!CA1421="","",Notes!CA1421)</f>
        <v/>
      </c>
      <c r="D1425" s="7" t="str">
        <f>IF(Notes!CB1421="","",Notes!CB1421)</f>
        <v/>
      </c>
      <c r="E1425" s="7" t="str">
        <f>IF(Notes!CC1421="","",Notes!CC1421)</f>
        <v/>
      </c>
      <c r="F1425" s="7" t="str">
        <f>IF(Notes!CD1421="","",Notes!CD1421)</f>
        <v/>
      </c>
      <c r="G1425" s="7" t="str">
        <f>IF(Notes!CE1421="","",Notes!CE1421)</f>
        <v/>
      </c>
      <c r="H1425" s="7" t="str">
        <f>IF(Notes!CF1421="","",Notes!CF1421)</f>
        <v/>
      </c>
      <c r="I1425" s="7"/>
      <c r="J1425" s="7"/>
      <c r="K1425" s="7"/>
    </row>
    <row r="1426" spans="1:11" x14ac:dyDescent="0.35">
      <c r="A1426" s="7" t="str">
        <f>IF(Notes!BY1422="","",Notes!BY1422)</f>
        <v/>
      </c>
      <c r="B1426" s="7" t="str">
        <f>IF(Notes!BZ1422="","",Notes!BZ1422)</f>
        <v/>
      </c>
      <c r="C1426" s="7" t="str">
        <f>IF(Notes!CA1422="","",Notes!CA1422)</f>
        <v/>
      </c>
      <c r="D1426" s="7" t="str">
        <f>IF(Notes!CB1422="","",Notes!CB1422)</f>
        <v/>
      </c>
      <c r="E1426" s="7" t="str">
        <f>IF(Notes!CC1422="","",Notes!CC1422)</f>
        <v/>
      </c>
      <c r="F1426" s="7" t="str">
        <f>IF(Notes!CD1422="","",Notes!CD1422)</f>
        <v/>
      </c>
      <c r="G1426" s="7" t="str">
        <f>IF(Notes!CE1422="","",Notes!CE1422)</f>
        <v/>
      </c>
      <c r="H1426" s="7" t="str">
        <f>IF(Notes!CF1422="","",Notes!CF1422)</f>
        <v/>
      </c>
      <c r="I1426" s="7"/>
      <c r="J1426" s="7"/>
      <c r="K1426" s="7"/>
    </row>
    <row r="1427" spans="1:11" x14ac:dyDescent="0.35">
      <c r="A1427" s="7" t="str">
        <f>IF(Notes!BY1423="","",Notes!BY1423)</f>
        <v/>
      </c>
      <c r="B1427" s="7" t="str">
        <f>IF(Notes!BZ1423="","",Notes!BZ1423)</f>
        <v/>
      </c>
      <c r="C1427" s="7" t="str">
        <f>IF(Notes!CA1423="","",Notes!CA1423)</f>
        <v/>
      </c>
      <c r="D1427" s="7" t="str">
        <f>IF(Notes!CB1423="","",Notes!CB1423)</f>
        <v/>
      </c>
      <c r="E1427" s="7" t="str">
        <f>IF(Notes!CC1423="","",Notes!CC1423)</f>
        <v/>
      </c>
      <c r="F1427" s="7" t="str">
        <f>IF(Notes!CD1423="","",Notes!CD1423)</f>
        <v/>
      </c>
      <c r="G1427" s="7" t="str">
        <f>IF(Notes!CE1423="","",Notes!CE1423)</f>
        <v/>
      </c>
      <c r="H1427" s="7" t="str">
        <f>IF(Notes!CF1423="","",Notes!CF1423)</f>
        <v/>
      </c>
      <c r="I1427" s="7"/>
      <c r="J1427" s="7"/>
      <c r="K1427" s="7"/>
    </row>
    <row r="1428" spans="1:11" x14ac:dyDescent="0.35">
      <c r="A1428" s="7" t="str">
        <f>IF(Notes!BY1424="","",Notes!BY1424)</f>
        <v/>
      </c>
      <c r="B1428" s="7" t="str">
        <f>IF(Notes!BZ1424="","",Notes!BZ1424)</f>
        <v/>
      </c>
      <c r="C1428" s="7" t="str">
        <f>IF(Notes!CA1424="","",Notes!CA1424)</f>
        <v/>
      </c>
      <c r="D1428" s="7" t="str">
        <f>IF(Notes!CB1424="","",Notes!CB1424)</f>
        <v/>
      </c>
      <c r="E1428" s="7" t="str">
        <f>IF(Notes!CC1424="","",Notes!CC1424)</f>
        <v/>
      </c>
      <c r="F1428" s="7" t="str">
        <f>IF(Notes!CD1424="","",Notes!CD1424)</f>
        <v/>
      </c>
      <c r="G1428" s="7" t="str">
        <f>IF(Notes!CE1424="","",Notes!CE1424)</f>
        <v/>
      </c>
      <c r="H1428" s="7" t="str">
        <f>IF(Notes!CF1424="","",Notes!CF1424)</f>
        <v/>
      </c>
      <c r="I1428" s="7"/>
      <c r="J1428" s="7"/>
      <c r="K1428" s="7"/>
    </row>
    <row r="1429" spans="1:11" x14ac:dyDescent="0.35">
      <c r="A1429" s="7" t="str">
        <f>IF(Notes!BY1425="","",Notes!BY1425)</f>
        <v/>
      </c>
      <c r="B1429" s="7" t="str">
        <f>IF(Notes!BZ1425="","",Notes!BZ1425)</f>
        <v/>
      </c>
      <c r="C1429" s="7" t="str">
        <f>IF(Notes!CA1425="","",Notes!CA1425)</f>
        <v/>
      </c>
      <c r="D1429" s="7" t="str">
        <f>IF(Notes!CB1425="","",Notes!CB1425)</f>
        <v/>
      </c>
      <c r="E1429" s="7" t="str">
        <f>IF(Notes!CC1425="","",Notes!CC1425)</f>
        <v/>
      </c>
      <c r="F1429" s="7" t="str">
        <f>IF(Notes!CD1425="","",Notes!CD1425)</f>
        <v/>
      </c>
      <c r="G1429" s="7" t="str">
        <f>IF(Notes!CE1425="","",Notes!CE1425)</f>
        <v/>
      </c>
      <c r="H1429" s="7" t="str">
        <f>IF(Notes!CF1425="","",Notes!CF1425)</f>
        <v/>
      </c>
      <c r="I1429" s="7"/>
      <c r="J1429" s="7"/>
      <c r="K1429" s="7"/>
    </row>
    <row r="1430" spans="1:11" x14ac:dyDescent="0.35">
      <c r="A1430" s="7" t="str">
        <f>IF(Notes!BY1426="","",Notes!BY1426)</f>
        <v/>
      </c>
      <c r="B1430" s="7" t="str">
        <f>IF(Notes!BZ1426="","",Notes!BZ1426)</f>
        <v/>
      </c>
      <c r="C1430" s="7" t="str">
        <f>IF(Notes!CA1426="","",Notes!CA1426)</f>
        <v/>
      </c>
      <c r="D1430" s="7" t="str">
        <f>IF(Notes!CB1426="","",Notes!CB1426)</f>
        <v/>
      </c>
      <c r="E1430" s="7" t="str">
        <f>IF(Notes!CC1426="","",Notes!CC1426)</f>
        <v/>
      </c>
      <c r="F1430" s="7" t="str">
        <f>IF(Notes!CD1426="","",Notes!CD1426)</f>
        <v/>
      </c>
      <c r="G1430" s="7" t="str">
        <f>IF(Notes!CE1426="","",Notes!CE1426)</f>
        <v/>
      </c>
      <c r="H1430" s="7" t="str">
        <f>IF(Notes!CF1426="","",Notes!CF1426)</f>
        <v/>
      </c>
      <c r="I1430" s="7"/>
      <c r="J1430" s="7"/>
      <c r="K1430" s="7"/>
    </row>
    <row r="1431" spans="1:11" x14ac:dyDescent="0.35">
      <c r="A1431" s="7" t="str">
        <f>IF(Notes!BY1427="","",Notes!BY1427)</f>
        <v/>
      </c>
      <c r="B1431" s="7" t="str">
        <f>IF(Notes!BZ1427="","",Notes!BZ1427)</f>
        <v/>
      </c>
      <c r="C1431" s="7" t="str">
        <f>IF(Notes!CA1427="","",Notes!CA1427)</f>
        <v/>
      </c>
      <c r="D1431" s="7" t="str">
        <f>IF(Notes!CB1427="","",Notes!CB1427)</f>
        <v/>
      </c>
      <c r="E1431" s="7" t="str">
        <f>IF(Notes!CC1427="","",Notes!CC1427)</f>
        <v/>
      </c>
      <c r="F1431" s="7" t="str">
        <f>IF(Notes!CD1427="","",Notes!CD1427)</f>
        <v/>
      </c>
      <c r="G1431" s="7" t="str">
        <f>IF(Notes!CE1427="","",Notes!CE1427)</f>
        <v/>
      </c>
      <c r="H1431" s="7" t="str">
        <f>IF(Notes!CF1427="","",Notes!CF1427)</f>
        <v/>
      </c>
      <c r="I1431" s="7"/>
      <c r="J1431" s="7"/>
      <c r="K1431" s="7"/>
    </row>
    <row r="1432" spans="1:11" x14ac:dyDescent="0.35">
      <c r="A1432" s="7" t="str">
        <f>IF(Notes!BY1428="","",Notes!BY1428)</f>
        <v/>
      </c>
      <c r="B1432" s="7" t="str">
        <f>IF(Notes!BZ1428="","",Notes!BZ1428)</f>
        <v/>
      </c>
      <c r="C1432" s="7" t="str">
        <f>IF(Notes!CA1428="","",Notes!CA1428)</f>
        <v/>
      </c>
      <c r="D1432" s="7" t="str">
        <f>IF(Notes!CB1428="","",Notes!CB1428)</f>
        <v/>
      </c>
      <c r="E1432" s="7" t="str">
        <f>IF(Notes!CC1428="","",Notes!CC1428)</f>
        <v/>
      </c>
      <c r="F1432" s="7" t="str">
        <f>IF(Notes!CD1428="","",Notes!CD1428)</f>
        <v/>
      </c>
      <c r="G1432" s="7" t="str">
        <f>IF(Notes!CE1428="","",Notes!CE1428)</f>
        <v/>
      </c>
      <c r="H1432" s="7" t="str">
        <f>IF(Notes!CF1428="","",Notes!CF1428)</f>
        <v/>
      </c>
      <c r="I1432" s="7"/>
      <c r="J1432" s="7"/>
      <c r="K1432" s="7"/>
    </row>
    <row r="1433" spans="1:11" x14ac:dyDescent="0.35">
      <c r="A1433" s="7" t="str">
        <f>IF(Notes!BY1429="","",Notes!BY1429)</f>
        <v/>
      </c>
      <c r="B1433" s="7" t="str">
        <f>IF(Notes!BZ1429="","",Notes!BZ1429)</f>
        <v/>
      </c>
      <c r="C1433" s="7" t="str">
        <f>IF(Notes!CA1429="","",Notes!CA1429)</f>
        <v/>
      </c>
      <c r="D1433" s="7" t="str">
        <f>IF(Notes!CB1429="","",Notes!CB1429)</f>
        <v/>
      </c>
      <c r="E1433" s="7" t="str">
        <f>IF(Notes!CC1429="","",Notes!CC1429)</f>
        <v/>
      </c>
      <c r="F1433" s="7" t="str">
        <f>IF(Notes!CD1429="","",Notes!CD1429)</f>
        <v/>
      </c>
      <c r="G1433" s="7" t="str">
        <f>IF(Notes!CE1429="","",Notes!CE1429)</f>
        <v/>
      </c>
      <c r="H1433" s="7" t="str">
        <f>IF(Notes!CF1429="","",Notes!CF1429)</f>
        <v/>
      </c>
      <c r="I1433" s="7"/>
      <c r="J1433" s="7"/>
      <c r="K1433" s="7"/>
    </row>
    <row r="1434" spans="1:11" x14ac:dyDescent="0.35">
      <c r="A1434" s="7" t="str">
        <f>IF(Notes!BY1430="","",Notes!BY1430)</f>
        <v/>
      </c>
      <c r="B1434" s="7" t="str">
        <f>IF(Notes!BZ1430="","",Notes!BZ1430)</f>
        <v/>
      </c>
      <c r="C1434" s="7" t="str">
        <f>IF(Notes!CA1430="","",Notes!CA1430)</f>
        <v/>
      </c>
      <c r="D1434" s="7" t="str">
        <f>IF(Notes!CB1430="","",Notes!CB1430)</f>
        <v/>
      </c>
      <c r="E1434" s="7" t="str">
        <f>IF(Notes!CC1430="","",Notes!CC1430)</f>
        <v/>
      </c>
      <c r="F1434" s="7" t="str">
        <f>IF(Notes!CD1430="","",Notes!CD1430)</f>
        <v/>
      </c>
      <c r="G1434" s="7" t="str">
        <f>IF(Notes!CE1430="","",Notes!CE1430)</f>
        <v/>
      </c>
      <c r="H1434" s="7" t="str">
        <f>IF(Notes!CF1430="","",Notes!CF1430)</f>
        <v/>
      </c>
      <c r="I1434" s="7"/>
      <c r="J1434" s="7"/>
      <c r="K1434" s="7"/>
    </row>
    <row r="1435" spans="1:11" x14ac:dyDescent="0.35">
      <c r="A1435" s="7" t="str">
        <f>IF(Notes!BY1431="","",Notes!BY1431)</f>
        <v/>
      </c>
      <c r="B1435" s="7" t="str">
        <f>IF(Notes!BZ1431="","",Notes!BZ1431)</f>
        <v/>
      </c>
      <c r="C1435" s="7" t="str">
        <f>IF(Notes!CA1431="","",Notes!CA1431)</f>
        <v/>
      </c>
      <c r="D1435" s="7" t="str">
        <f>IF(Notes!CB1431="","",Notes!CB1431)</f>
        <v/>
      </c>
      <c r="E1435" s="7" t="str">
        <f>IF(Notes!CC1431="","",Notes!CC1431)</f>
        <v/>
      </c>
      <c r="F1435" s="7" t="str">
        <f>IF(Notes!CD1431="","",Notes!CD1431)</f>
        <v/>
      </c>
      <c r="G1435" s="7" t="str">
        <f>IF(Notes!CE1431="","",Notes!CE1431)</f>
        <v/>
      </c>
      <c r="H1435" s="7" t="str">
        <f>IF(Notes!CF1431="","",Notes!CF1431)</f>
        <v/>
      </c>
      <c r="I1435" s="7"/>
      <c r="J1435" s="7"/>
      <c r="K1435" s="7"/>
    </row>
    <row r="1436" spans="1:11" x14ac:dyDescent="0.35">
      <c r="A1436" s="7" t="str">
        <f>IF(Notes!BY1432="","",Notes!BY1432)</f>
        <v/>
      </c>
      <c r="B1436" s="7" t="str">
        <f>IF(Notes!BZ1432="","",Notes!BZ1432)</f>
        <v/>
      </c>
      <c r="C1436" s="7" t="str">
        <f>IF(Notes!CA1432="","",Notes!CA1432)</f>
        <v/>
      </c>
      <c r="D1436" s="7" t="str">
        <f>IF(Notes!CB1432="","",Notes!CB1432)</f>
        <v/>
      </c>
      <c r="E1436" s="7" t="str">
        <f>IF(Notes!CC1432="","",Notes!CC1432)</f>
        <v/>
      </c>
      <c r="F1436" s="7" t="str">
        <f>IF(Notes!CD1432="","",Notes!CD1432)</f>
        <v/>
      </c>
      <c r="G1436" s="7" t="str">
        <f>IF(Notes!CE1432="","",Notes!CE1432)</f>
        <v/>
      </c>
      <c r="H1436" s="7" t="str">
        <f>IF(Notes!CF1432="","",Notes!CF1432)</f>
        <v/>
      </c>
      <c r="I1436" s="7"/>
      <c r="J1436" s="7"/>
      <c r="K1436" s="7"/>
    </row>
    <row r="1437" spans="1:11" x14ac:dyDescent="0.35">
      <c r="A1437" s="7" t="str">
        <f>IF(Notes!BY1433="","",Notes!BY1433)</f>
        <v/>
      </c>
      <c r="B1437" s="7" t="str">
        <f>IF(Notes!BZ1433="","",Notes!BZ1433)</f>
        <v/>
      </c>
      <c r="C1437" s="7" t="str">
        <f>IF(Notes!CA1433="","",Notes!CA1433)</f>
        <v/>
      </c>
      <c r="D1437" s="7" t="str">
        <f>IF(Notes!CB1433="","",Notes!CB1433)</f>
        <v/>
      </c>
      <c r="E1437" s="7" t="str">
        <f>IF(Notes!CC1433="","",Notes!CC1433)</f>
        <v/>
      </c>
      <c r="F1437" s="7" t="str">
        <f>IF(Notes!CD1433="","",Notes!CD1433)</f>
        <v/>
      </c>
      <c r="G1437" s="7" t="str">
        <f>IF(Notes!CE1433="","",Notes!CE1433)</f>
        <v/>
      </c>
      <c r="H1437" s="7" t="str">
        <f>IF(Notes!CF1433="","",Notes!CF1433)</f>
        <v/>
      </c>
      <c r="I1437" s="7"/>
      <c r="J1437" s="7"/>
      <c r="K1437" s="7"/>
    </row>
    <row r="1438" spans="1:11" x14ac:dyDescent="0.35">
      <c r="A1438" s="7" t="str">
        <f>IF(Notes!BY1434="","",Notes!BY1434)</f>
        <v/>
      </c>
      <c r="B1438" s="7" t="str">
        <f>IF(Notes!BZ1434="","",Notes!BZ1434)</f>
        <v/>
      </c>
      <c r="C1438" s="7" t="str">
        <f>IF(Notes!CA1434="","",Notes!CA1434)</f>
        <v/>
      </c>
      <c r="D1438" s="7" t="str">
        <f>IF(Notes!CB1434="","",Notes!CB1434)</f>
        <v/>
      </c>
      <c r="E1438" s="7" t="str">
        <f>IF(Notes!CC1434="","",Notes!CC1434)</f>
        <v/>
      </c>
      <c r="F1438" s="7" t="str">
        <f>IF(Notes!CD1434="","",Notes!CD1434)</f>
        <v/>
      </c>
      <c r="G1438" s="7" t="str">
        <f>IF(Notes!CE1434="","",Notes!CE1434)</f>
        <v/>
      </c>
      <c r="H1438" s="7" t="str">
        <f>IF(Notes!CF1434="","",Notes!CF1434)</f>
        <v/>
      </c>
      <c r="I1438" s="7"/>
      <c r="J1438" s="7"/>
      <c r="K1438" s="7"/>
    </row>
    <row r="1439" spans="1:11" x14ac:dyDescent="0.35">
      <c r="A1439" s="7" t="str">
        <f>IF(Notes!BY1435="","",Notes!BY1435)</f>
        <v/>
      </c>
      <c r="B1439" s="7" t="str">
        <f>IF(Notes!BZ1435="","",Notes!BZ1435)</f>
        <v/>
      </c>
      <c r="C1439" s="7" t="str">
        <f>IF(Notes!CA1435="","",Notes!CA1435)</f>
        <v/>
      </c>
      <c r="D1439" s="7" t="str">
        <f>IF(Notes!CB1435="","",Notes!CB1435)</f>
        <v/>
      </c>
      <c r="E1439" s="7" t="str">
        <f>IF(Notes!CC1435="","",Notes!CC1435)</f>
        <v/>
      </c>
      <c r="F1439" s="7" t="str">
        <f>IF(Notes!CD1435="","",Notes!CD1435)</f>
        <v/>
      </c>
      <c r="G1439" s="7" t="str">
        <f>IF(Notes!CE1435="","",Notes!CE1435)</f>
        <v/>
      </c>
      <c r="H1439" s="7" t="str">
        <f>IF(Notes!CF1435="","",Notes!CF1435)</f>
        <v/>
      </c>
      <c r="I1439" s="7"/>
      <c r="J1439" s="7"/>
      <c r="K1439" s="7"/>
    </row>
    <row r="1440" spans="1:11" x14ac:dyDescent="0.35">
      <c r="A1440" s="7" t="str">
        <f>IF(Notes!BY1436="","",Notes!BY1436)</f>
        <v/>
      </c>
      <c r="B1440" s="7" t="str">
        <f>IF(Notes!BZ1436="","",Notes!BZ1436)</f>
        <v/>
      </c>
      <c r="C1440" s="7" t="str">
        <f>IF(Notes!CA1436="","",Notes!CA1436)</f>
        <v/>
      </c>
      <c r="D1440" s="7" t="str">
        <f>IF(Notes!CB1436="","",Notes!CB1436)</f>
        <v/>
      </c>
      <c r="E1440" s="7" t="str">
        <f>IF(Notes!CC1436="","",Notes!CC1436)</f>
        <v/>
      </c>
      <c r="F1440" s="7" t="str">
        <f>IF(Notes!CD1436="","",Notes!CD1436)</f>
        <v/>
      </c>
      <c r="G1440" s="7" t="str">
        <f>IF(Notes!CE1436="","",Notes!CE1436)</f>
        <v/>
      </c>
      <c r="H1440" s="7" t="str">
        <f>IF(Notes!CF1436="","",Notes!CF1436)</f>
        <v/>
      </c>
      <c r="I1440" s="7"/>
      <c r="J1440" s="7"/>
      <c r="K1440" s="7"/>
    </row>
    <row r="1441" spans="1:11" x14ac:dyDescent="0.35">
      <c r="A1441" s="7" t="str">
        <f>IF(Notes!BY1437="","",Notes!BY1437)</f>
        <v/>
      </c>
      <c r="B1441" s="7" t="str">
        <f>IF(Notes!BZ1437="","",Notes!BZ1437)</f>
        <v/>
      </c>
      <c r="C1441" s="7" t="str">
        <f>IF(Notes!CA1437="","",Notes!CA1437)</f>
        <v/>
      </c>
      <c r="D1441" s="7" t="str">
        <f>IF(Notes!CB1437="","",Notes!CB1437)</f>
        <v/>
      </c>
      <c r="E1441" s="7" t="str">
        <f>IF(Notes!CC1437="","",Notes!CC1437)</f>
        <v/>
      </c>
      <c r="F1441" s="7" t="str">
        <f>IF(Notes!CD1437="","",Notes!CD1437)</f>
        <v/>
      </c>
      <c r="G1441" s="7" t="str">
        <f>IF(Notes!CE1437="","",Notes!CE1437)</f>
        <v/>
      </c>
      <c r="H1441" s="7" t="str">
        <f>IF(Notes!CF1437="","",Notes!CF1437)</f>
        <v/>
      </c>
      <c r="I1441" s="7"/>
      <c r="J1441" s="7"/>
      <c r="K1441" s="7"/>
    </row>
    <row r="1442" spans="1:11" x14ac:dyDescent="0.35">
      <c r="A1442" s="7" t="str">
        <f>IF(Notes!BY1438="","",Notes!BY1438)</f>
        <v/>
      </c>
      <c r="B1442" s="7" t="str">
        <f>IF(Notes!BZ1438="","",Notes!BZ1438)</f>
        <v/>
      </c>
      <c r="C1442" s="7" t="str">
        <f>IF(Notes!CA1438="","",Notes!CA1438)</f>
        <v/>
      </c>
      <c r="D1442" s="7" t="str">
        <f>IF(Notes!CB1438="","",Notes!CB1438)</f>
        <v/>
      </c>
      <c r="E1442" s="7" t="str">
        <f>IF(Notes!CC1438="","",Notes!CC1438)</f>
        <v/>
      </c>
      <c r="F1442" s="7" t="str">
        <f>IF(Notes!CD1438="","",Notes!CD1438)</f>
        <v/>
      </c>
      <c r="G1442" s="7" t="str">
        <f>IF(Notes!CE1438="","",Notes!CE1438)</f>
        <v/>
      </c>
      <c r="H1442" s="7" t="str">
        <f>IF(Notes!CF1438="","",Notes!CF1438)</f>
        <v/>
      </c>
      <c r="I1442" s="7"/>
      <c r="J1442" s="7"/>
      <c r="K1442" s="7"/>
    </row>
    <row r="1443" spans="1:11" x14ac:dyDescent="0.35">
      <c r="A1443" s="7" t="str">
        <f>IF(Notes!BY1439="","",Notes!BY1439)</f>
        <v/>
      </c>
      <c r="B1443" s="7" t="str">
        <f>IF(Notes!BZ1439="","",Notes!BZ1439)</f>
        <v/>
      </c>
      <c r="C1443" s="7" t="str">
        <f>IF(Notes!CA1439="","",Notes!CA1439)</f>
        <v/>
      </c>
      <c r="D1443" s="7" t="str">
        <f>IF(Notes!CB1439="","",Notes!CB1439)</f>
        <v/>
      </c>
      <c r="E1443" s="7" t="str">
        <f>IF(Notes!CC1439="","",Notes!CC1439)</f>
        <v/>
      </c>
      <c r="F1443" s="7" t="str">
        <f>IF(Notes!CD1439="","",Notes!CD1439)</f>
        <v/>
      </c>
      <c r="G1443" s="7" t="str">
        <f>IF(Notes!CE1439="","",Notes!CE1439)</f>
        <v/>
      </c>
      <c r="H1443" s="7" t="str">
        <f>IF(Notes!CF1439="","",Notes!CF1439)</f>
        <v/>
      </c>
      <c r="I1443" s="7"/>
      <c r="J1443" s="7"/>
      <c r="K1443" s="7"/>
    </row>
    <row r="1444" spans="1:11" x14ac:dyDescent="0.35">
      <c r="A1444" s="7" t="str">
        <f>IF(Notes!BY1440="","",Notes!BY1440)</f>
        <v/>
      </c>
      <c r="B1444" s="7" t="str">
        <f>IF(Notes!BZ1440="","",Notes!BZ1440)</f>
        <v/>
      </c>
      <c r="C1444" s="7" t="str">
        <f>IF(Notes!CA1440="","",Notes!CA1440)</f>
        <v/>
      </c>
      <c r="D1444" s="7" t="str">
        <f>IF(Notes!CB1440="","",Notes!CB1440)</f>
        <v/>
      </c>
      <c r="E1444" s="7" t="str">
        <f>IF(Notes!CC1440="","",Notes!CC1440)</f>
        <v/>
      </c>
      <c r="F1444" s="7" t="str">
        <f>IF(Notes!CD1440="","",Notes!CD1440)</f>
        <v/>
      </c>
      <c r="G1444" s="7" t="str">
        <f>IF(Notes!CE1440="","",Notes!CE1440)</f>
        <v/>
      </c>
      <c r="H1444" s="7" t="str">
        <f>IF(Notes!CF1440="","",Notes!CF1440)</f>
        <v/>
      </c>
      <c r="I1444" s="7"/>
      <c r="J1444" s="7"/>
      <c r="K1444" s="7"/>
    </row>
    <row r="1445" spans="1:11" x14ac:dyDescent="0.35">
      <c r="A1445" s="7" t="str">
        <f>IF(Notes!BY1441="","",Notes!BY1441)</f>
        <v/>
      </c>
      <c r="B1445" s="7" t="str">
        <f>IF(Notes!BZ1441="","",Notes!BZ1441)</f>
        <v/>
      </c>
      <c r="C1445" s="7" t="str">
        <f>IF(Notes!CA1441="","",Notes!CA1441)</f>
        <v/>
      </c>
      <c r="D1445" s="7" t="str">
        <f>IF(Notes!CB1441="","",Notes!CB1441)</f>
        <v/>
      </c>
      <c r="E1445" s="7" t="str">
        <f>IF(Notes!CC1441="","",Notes!CC1441)</f>
        <v/>
      </c>
      <c r="F1445" s="7" t="str">
        <f>IF(Notes!CD1441="","",Notes!CD1441)</f>
        <v/>
      </c>
      <c r="G1445" s="7" t="str">
        <f>IF(Notes!CE1441="","",Notes!CE1441)</f>
        <v/>
      </c>
      <c r="H1445" s="7" t="str">
        <f>IF(Notes!CF1441="","",Notes!CF1441)</f>
        <v/>
      </c>
      <c r="I1445" s="7"/>
      <c r="J1445" s="7"/>
      <c r="K1445" s="7"/>
    </row>
    <row r="1446" spans="1:11" x14ac:dyDescent="0.35">
      <c r="A1446" s="7" t="str">
        <f>IF(Notes!BY1442="","",Notes!BY1442)</f>
        <v/>
      </c>
      <c r="B1446" s="7" t="str">
        <f>IF(Notes!BZ1442="","",Notes!BZ1442)</f>
        <v/>
      </c>
      <c r="C1446" s="7" t="str">
        <f>IF(Notes!CA1442="","",Notes!CA1442)</f>
        <v/>
      </c>
      <c r="D1446" s="7" t="str">
        <f>IF(Notes!CB1442="","",Notes!CB1442)</f>
        <v/>
      </c>
      <c r="E1446" s="7" t="str">
        <f>IF(Notes!CC1442="","",Notes!CC1442)</f>
        <v/>
      </c>
      <c r="F1446" s="7" t="str">
        <f>IF(Notes!CD1442="","",Notes!CD1442)</f>
        <v/>
      </c>
      <c r="G1446" s="7" t="str">
        <f>IF(Notes!CE1442="","",Notes!CE1442)</f>
        <v/>
      </c>
      <c r="H1446" s="7" t="str">
        <f>IF(Notes!CF1442="","",Notes!CF1442)</f>
        <v/>
      </c>
      <c r="I1446" s="7"/>
      <c r="J1446" s="7"/>
      <c r="K1446" s="7"/>
    </row>
    <row r="1447" spans="1:11" x14ac:dyDescent="0.35">
      <c r="A1447" s="7" t="str">
        <f>IF(Notes!BY1443="","",Notes!BY1443)</f>
        <v/>
      </c>
      <c r="B1447" s="7" t="str">
        <f>IF(Notes!BZ1443="","",Notes!BZ1443)</f>
        <v/>
      </c>
      <c r="C1447" s="7" t="str">
        <f>IF(Notes!CA1443="","",Notes!CA1443)</f>
        <v/>
      </c>
      <c r="D1447" s="7" t="str">
        <f>IF(Notes!CB1443="","",Notes!CB1443)</f>
        <v/>
      </c>
      <c r="E1447" s="7" t="str">
        <f>IF(Notes!CC1443="","",Notes!CC1443)</f>
        <v/>
      </c>
      <c r="F1447" s="7" t="str">
        <f>IF(Notes!CD1443="","",Notes!CD1443)</f>
        <v/>
      </c>
      <c r="G1447" s="7" t="str">
        <f>IF(Notes!CE1443="","",Notes!CE1443)</f>
        <v/>
      </c>
      <c r="H1447" s="7" t="str">
        <f>IF(Notes!CF1443="","",Notes!CF1443)</f>
        <v/>
      </c>
      <c r="I1447" s="7"/>
      <c r="J1447" s="7"/>
      <c r="K1447" s="7"/>
    </row>
    <row r="1448" spans="1:11" x14ac:dyDescent="0.35">
      <c r="A1448" s="7" t="str">
        <f>IF(Notes!BY1444="","",Notes!BY1444)</f>
        <v/>
      </c>
      <c r="B1448" s="7" t="str">
        <f>IF(Notes!BZ1444="","",Notes!BZ1444)</f>
        <v/>
      </c>
      <c r="C1448" s="7" t="str">
        <f>IF(Notes!CA1444="","",Notes!CA1444)</f>
        <v/>
      </c>
      <c r="D1448" s="7" t="str">
        <f>IF(Notes!CB1444="","",Notes!CB1444)</f>
        <v/>
      </c>
      <c r="E1448" s="7" t="str">
        <f>IF(Notes!CC1444="","",Notes!CC1444)</f>
        <v/>
      </c>
      <c r="F1448" s="7" t="str">
        <f>IF(Notes!CD1444="","",Notes!CD1444)</f>
        <v/>
      </c>
      <c r="G1448" s="7" t="str">
        <f>IF(Notes!CE1444="","",Notes!CE1444)</f>
        <v/>
      </c>
      <c r="H1448" s="7" t="str">
        <f>IF(Notes!CF1444="","",Notes!CF1444)</f>
        <v/>
      </c>
      <c r="I1448" s="7"/>
      <c r="J1448" s="7"/>
      <c r="K1448" s="7"/>
    </row>
    <row r="1449" spans="1:11" x14ac:dyDescent="0.35">
      <c r="A1449" s="7" t="str">
        <f>IF(Notes!BY1445="","",Notes!BY1445)</f>
        <v/>
      </c>
      <c r="B1449" s="7" t="str">
        <f>IF(Notes!BZ1445="","",Notes!BZ1445)</f>
        <v/>
      </c>
      <c r="C1449" s="7" t="str">
        <f>IF(Notes!CA1445="","",Notes!CA1445)</f>
        <v/>
      </c>
      <c r="D1449" s="7" t="str">
        <f>IF(Notes!CB1445="","",Notes!CB1445)</f>
        <v/>
      </c>
      <c r="E1449" s="7" t="str">
        <f>IF(Notes!CC1445="","",Notes!CC1445)</f>
        <v/>
      </c>
      <c r="F1449" s="7" t="str">
        <f>IF(Notes!CD1445="","",Notes!CD1445)</f>
        <v/>
      </c>
      <c r="G1449" s="7" t="str">
        <f>IF(Notes!CE1445="","",Notes!CE1445)</f>
        <v/>
      </c>
      <c r="H1449" s="7" t="str">
        <f>IF(Notes!CF1445="","",Notes!CF1445)</f>
        <v/>
      </c>
      <c r="I1449" s="7"/>
      <c r="J1449" s="7"/>
      <c r="K1449" s="7"/>
    </row>
    <row r="1450" spans="1:11" x14ac:dyDescent="0.35">
      <c r="A1450" s="7" t="str">
        <f>IF(Notes!BY1446="","",Notes!BY1446)</f>
        <v/>
      </c>
      <c r="B1450" s="7" t="str">
        <f>IF(Notes!BZ1446="","",Notes!BZ1446)</f>
        <v/>
      </c>
      <c r="C1450" s="7" t="str">
        <f>IF(Notes!CA1446="","",Notes!CA1446)</f>
        <v/>
      </c>
      <c r="D1450" s="7" t="str">
        <f>IF(Notes!CB1446="","",Notes!CB1446)</f>
        <v/>
      </c>
      <c r="E1450" s="7" t="str">
        <f>IF(Notes!CC1446="","",Notes!CC1446)</f>
        <v/>
      </c>
      <c r="F1450" s="7" t="str">
        <f>IF(Notes!CD1446="","",Notes!CD1446)</f>
        <v/>
      </c>
      <c r="G1450" s="7" t="str">
        <f>IF(Notes!CE1446="","",Notes!CE1446)</f>
        <v/>
      </c>
      <c r="H1450" s="7" t="str">
        <f>IF(Notes!CF1446="","",Notes!CF1446)</f>
        <v/>
      </c>
      <c r="I1450" s="7"/>
      <c r="J1450" s="7"/>
      <c r="K1450" s="7"/>
    </row>
    <row r="1451" spans="1:11" x14ac:dyDescent="0.35">
      <c r="A1451" s="7" t="str">
        <f>IF(Notes!BY1447="","",Notes!BY1447)</f>
        <v/>
      </c>
      <c r="B1451" s="7" t="str">
        <f>IF(Notes!BZ1447="","",Notes!BZ1447)</f>
        <v/>
      </c>
      <c r="C1451" s="7" t="str">
        <f>IF(Notes!CA1447="","",Notes!CA1447)</f>
        <v/>
      </c>
      <c r="D1451" s="7" t="str">
        <f>IF(Notes!CB1447="","",Notes!CB1447)</f>
        <v/>
      </c>
      <c r="E1451" s="7" t="str">
        <f>IF(Notes!CC1447="","",Notes!CC1447)</f>
        <v/>
      </c>
      <c r="F1451" s="7" t="str">
        <f>IF(Notes!CD1447="","",Notes!CD1447)</f>
        <v/>
      </c>
      <c r="G1451" s="7" t="str">
        <f>IF(Notes!CE1447="","",Notes!CE1447)</f>
        <v/>
      </c>
      <c r="H1451" s="7" t="str">
        <f>IF(Notes!CF1447="","",Notes!CF1447)</f>
        <v/>
      </c>
      <c r="I1451" s="7"/>
      <c r="J1451" s="7"/>
      <c r="K1451" s="7"/>
    </row>
    <row r="1452" spans="1:11" x14ac:dyDescent="0.35">
      <c r="A1452" s="7" t="str">
        <f>IF(Notes!BY1448="","",Notes!BY1448)</f>
        <v/>
      </c>
      <c r="B1452" s="7" t="str">
        <f>IF(Notes!BZ1448="","",Notes!BZ1448)</f>
        <v/>
      </c>
      <c r="C1452" s="7" t="str">
        <f>IF(Notes!CA1448="","",Notes!CA1448)</f>
        <v/>
      </c>
      <c r="D1452" s="7" t="str">
        <f>IF(Notes!CB1448="","",Notes!CB1448)</f>
        <v/>
      </c>
      <c r="E1452" s="7" t="str">
        <f>IF(Notes!CC1448="","",Notes!CC1448)</f>
        <v/>
      </c>
      <c r="F1452" s="7" t="str">
        <f>IF(Notes!CD1448="","",Notes!CD1448)</f>
        <v/>
      </c>
      <c r="G1452" s="7" t="str">
        <f>IF(Notes!CE1448="","",Notes!CE1448)</f>
        <v/>
      </c>
      <c r="H1452" s="7" t="str">
        <f>IF(Notes!CF1448="","",Notes!CF1448)</f>
        <v/>
      </c>
      <c r="I1452" s="7"/>
      <c r="J1452" s="7"/>
      <c r="K1452" s="7"/>
    </row>
    <row r="1453" spans="1:11" x14ac:dyDescent="0.35">
      <c r="A1453" s="7" t="str">
        <f>IF(Notes!BY1449="","",Notes!BY1449)</f>
        <v/>
      </c>
      <c r="B1453" s="7" t="str">
        <f>IF(Notes!BZ1449="","",Notes!BZ1449)</f>
        <v/>
      </c>
      <c r="C1453" s="7" t="str">
        <f>IF(Notes!CA1449="","",Notes!CA1449)</f>
        <v/>
      </c>
      <c r="D1453" s="7" t="str">
        <f>IF(Notes!CB1449="","",Notes!CB1449)</f>
        <v/>
      </c>
      <c r="E1453" s="7" t="str">
        <f>IF(Notes!CC1449="","",Notes!CC1449)</f>
        <v/>
      </c>
      <c r="F1453" s="7" t="str">
        <f>IF(Notes!CD1449="","",Notes!CD1449)</f>
        <v/>
      </c>
      <c r="G1453" s="7" t="str">
        <f>IF(Notes!CE1449="","",Notes!CE1449)</f>
        <v/>
      </c>
      <c r="H1453" s="7" t="str">
        <f>IF(Notes!CF1449="","",Notes!CF1449)</f>
        <v/>
      </c>
      <c r="I1453" s="7"/>
      <c r="J1453" s="7"/>
      <c r="K1453" s="7"/>
    </row>
    <row r="1454" spans="1:11" x14ac:dyDescent="0.35">
      <c r="A1454" s="7" t="str">
        <f>IF(Notes!BY1450="","",Notes!BY1450)</f>
        <v/>
      </c>
      <c r="B1454" s="7" t="str">
        <f>IF(Notes!BZ1450="","",Notes!BZ1450)</f>
        <v/>
      </c>
      <c r="C1454" s="7" t="str">
        <f>IF(Notes!CA1450="","",Notes!CA1450)</f>
        <v/>
      </c>
      <c r="D1454" s="7" t="str">
        <f>IF(Notes!CB1450="","",Notes!CB1450)</f>
        <v/>
      </c>
      <c r="E1454" s="7" t="str">
        <f>IF(Notes!CC1450="","",Notes!CC1450)</f>
        <v/>
      </c>
      <c r="F1454" s="7" t="str">
        <f>IF(Notes!CD1450="","",Notes!CD1450)</f>
        <v/>
      </c>
      <c r="G1454" s="7" t="str">
        <f>IF(Notes!CE1450="","",Notes!CE1450)</f>
        <v/>
      </c>
      <c r="H1454" s="7" t="str">
        <f>IF(Notes!CF1450="","",Notes!CF1450)</f>
        <v/>
      </c>
      <c r="I1454" s="7"/>
      <c r="J1454" s="7"/>
      <c r="K1454" s="7"/>
    </row>
    <row r="1455" spans="1:11" x14ac:dyDescent="0.35">
      <c r="A1455" s="7" t="str">
        <f>IF(Notes!BY1451="","",Notes!BY1451)</f>
        <v/>
      </c>
      <c r="B1455" s="7" t="str">
        <f>IF(Notes!BZ1451="","",Notes!BZ1451)</f>
        <v/>
      </c>
      <c r="C1455" s="7" t="str">
        <f>IF(Notes!CA1451="","",Notes!CA1451)</f>
        <v/>
      </c>
      <c r="D1455" s="7" t="str">
        <f>IF(Notes!CB1451="","",Notes!CB1451)</f>
        <v/>
      </c>
      <c r="E1455" s="7" t="str">
        <f>IF(Notes!CC1451="","",Notes!CC1451)</f>
        <v/>
      </c>
      <c r="F1455" s="7" t="str">
        <f>IF(Notes!CD1451="","",Notes!CD1451)</f>
        <v/>
      </c>
      <c r="G1455" s="7" t="str">
        <f>IF(Notes!CE1451="","",Notes!CE1451)</f>
        <v/>
      </c>
      <c r="H1455" s="7" t="str">
        <f>IF(Notes!CF1451="","",Notes!CF1451)</f>
        <v/>
      </c>
      <c r="I1455" s="7"/>
      <c r="J1455" s="7"/>
      <c r="K1455" s="7"/>
    </row>
    <row r="1456" spans="1:11" x14ac:dyDescent="0.35">
      <c r="A1456" s="7" t="str">
        <f>IF(Notes!BY1452="","",Notes!BY1452)</f>
        <v/>
      </c>
      <c r="B1456" s="7" t="str">
        <f>IF(Notes!BZ1452="","",Notes!BZ1452)</f>
        <v/>
      </c>
      <c r="C1456" s="7" t="str">
        <f>IF(Notes!CA1452="","",Notes!CA1452)</f>
        <v/>
      </c>
      <c r="D1456" s="7" t="str">
        <f>IF(Notes!CB1452="","",Notes!CB1452)</f>
        <v/>
      </c>
      <c r="E1456" s="7" t="str">
        <f>IF(Notes!CC1452="","",Notes!CC1452)</f>
        <v/>
      </c>
      <c r="F1456" s="7" t="str">
        <f>IF(Notes!CD1452="","",Notes!CD1452)</f>
        <v/>
      </c>
      <c r="G1456" s="7" t="str">
        <f>IF(Notes!CE1452="","",Notes!CE1452)</f>
        <v/>
      </c>
      <c r="H1456" s="7" t="str">
        <f>IF(Notes!CF1452="","",Notes!CF1452)</f>
        <v/>
      </c>
      <c r="I1456" s="7"/>
      <c r="J1456" s="7"/>
      <c r="K1456" s="7"/>
    </row>
    <row r="1457" spans="1:11" x14ac:dyDescent="0.35">
      <c r="A1457" s="7" t="str">
        <f>IF(Notes!BY1453="","",Notes!BY1453)</f>
        <v/>
      </c>
      <c r="B1457" s="7" t="str">
        <f>IF(Notes!BZ1453="","",Notes!BZ1453)</f>
        <v/>
      </c>
      <c r="C1457" s="7" t="str">
        <f>IF(Notes!CA1453="","",Notes!CA1453)</f>
        <v/>
      </c>
      <c r="D1457" s="7" t="str">
        <f>IF(Notes!CB1453="","",Notes!CB1453)</f>
        <v/>
      </c>
      <c r="E1457" s="7" t="str">
        <f>IF(Notes!CC1453="","",Notes!CC1453)</f>
        <v/>
      </c>
      <c r="F1457" s="7" t="str">
        <f>IF(Notes!CD1453="","",Notes!CD1453)</f>
        <v/>
      </c>
      <c r="G1457" s="7" t="str">
        <f>IF(Notes!CE1453="","",Notes!CE1453)</f>
        <v/>
      </c>
      <c r="H1457" s="7" t="str">
        <f>IF(Notes!CF1453="","",Notes!CF1453)</f>
        <v/>
      </c>
      <c r="I1457" s="7"/>
      <c r="J1457" s="7"/>
      <c r="K1457" s="7"/>
    </row>
    <row r="1458" spans="1:11" x14ac:dyDescent="0.35">
      <c r="A1458" s="7" t="str">
        <f>IF(Notes!BY1454="","",Notes!BY1454)</f>
        <v/>
      </c>
      <c r="B1458" s="7" t="str">
        <f>IF(Notes!BZ1454="","",Notes!BZ1454)</f>
        <v/>
      </c>
      <c r="C1458" s="7" t="str">
        <f>IF(Notes!CA1454="","",Notes!CA1454)</f>
        <v/>
      </c>
      <c r="D1458" s="7" t="str">
        <f>IF(Notes!CB1454="","",Notes!CB1454)</f>
        <v/>
      </c>
      <c r="E1458" s="7" t="str">
        <f>IF(Notes!CC1454="","",Notes!CC1454)</f>
        <v/>
      </c>
      <c r="F1458" s="7" t="str">
        <f>IF(Notes!CD1454="","",Notes!CD1454)</f>
        <v/>
      </c>
      <c r="G1458" s="7" t="str">
        <f>IF(Notes!CE1454="","",Notes!CE1454)</f>
        <v/>
      </c>
      <c r="H1458" s="7" t="str">
        <f>IF(Notes!CF1454="","",Notes!CF1454)</f>
        <v/>
      </c>
      <c r="I1458" s="7"/>
      <c r="J1458" s="7"/>
      <c r="K1458" s="7"/>
    </row>
    <row r="1459" spans="1:11" x14ac:dyDescent="0.35">
      <c r="A1459" s="7" t="str">
        <f>IF(Notes!BY1455="","",Notes!BY1455)</f>
        <v/>
      </c>
      <c r="B1459" s="7" t="str">
        <f>IF(Notes!BZ1455="","",Notes!BZ1455)</f>
        <v/>
      </c>
      <c r="C1459" s="7" t="str">
        <f>IF(Notes!CA1455="","",Notes!CA1455)</f>
        <v/>
      </c>
      <c r="D1459" s="7" t="str">
        <f>IF(Notes!CB1455="","",Notes!CB1455)</f>
        <v/>
      </c>
      <c r="E1459" s="7" t="str">
        <f>IF(Notes!CC1455="","",Notes!CC1455)</f>
        <v/>
      </c>
      <c r="F1459" s="7" t="str">
        <f>IF(Notes!CD1455="","",Notes!CD1455)</f>
        <v/>
      </c>
      <c r="G1459" s="7" t="str">
        <f>IF(Notes!CE1455="","",Notes!CE1455)</f>
        <v/>
      </c>
      <c r="H1459" s="7" t="str">
        <f>IF(Notes!CF1455="","",Notes!CF1455)</f>
        <v/>
      </c>
      <c r="I1459" s="7"/>
      <c r="J1459" s="7"/>
      <c r="K1459" s="7"/>
    </row>
    <row r="1460" spans="1:11" x14ac:dyDescent="0.35">
      <c r="A1460" s="7" t="str">
        <f>IF(Notes!BY1456="","",Notes!BY1456)</f>
        <v/>
      </c>
      <c r="B1460" s="7" t="str">
        <f>IF(Notes!BZ1456="","",Notes!BZ1456)</f>
        <v/>
      </c>
      <c r="C1460" s="7" t="str">
        <f>IF(Notes!CA1456="","",Notes!CA1456)</f>
        <v/>
      </c>
      <c r="D1460" s="7" t="str">
        <f>IF(Notes!CB1456="","",Notes!CB1456)</f>
        <v/>
      </c>
      <c r="E1460" s="7" t="str">
        <f>IF(Notes!CC1456="","",Notes!CC1456)</f>
        <v/>
      </c>
      <c r="F1460" s="7" t="str">
        <f>IF(Notes!CD1456="","",Notes!CD1456)</f>
        <v/>
      </c>
      <c r="G1460" s="7" t="str">
        <f>IF(Notes!CE1456="","",Notes!CE1456)</f>
        <v/>
      </c>
      <c r="H1460" s="7" t="str">
        <f>IF(Notes!CF1456="","",Notes!CF1456)</f>
        <v/>
      </c>
      <c r="I1460" s="7"/>
      <c r="J1460" s="7"/>
      <c r="K1460" s="7"/>
    </row>
    <row r="1461" spans="1:11" x14ac:dyDescent="0.35">
      <c r="A1461" s="7" t="str">
        <f>IF(Notes!BY1457="","",Notes!BY1457)</f>
        <v/>
      </c>
      <c r="B1461" s="7" t="str">
        <f>IF(Notes!BZ1457="","",Notes!BZ1457)</f>
        <v/>
      </c>
      <c r="C1461" s="7" t="str">
        <f>IF(Notes!CA1457="","",Notes!CA1457)</f>
        <v/>
      </c>
      <c r="D1461" s="7" t="str">
        <f>IF(Notes!CB1457="","",Notes!CB1457)</f>
        <v/>
      </c>
      <c r="E1461" s="7" t="str">
        <f>IF(Notes!CC1457="","",Notes!CC1457)</f>
        <v/>
      </c>
      <c r="F1461" s="7" t="str">
        <f>IF(Notes!CD1457="","",Notes!CD1457)</f>
        <v/>
      </c>
      <c r="G1461" s="7" t="str">
        <f>IF(Notes!CE1457="","",Notes!CE1457)</f>
        <v/>
      </c>
      <c r="H1461" s="7" t="str">
        <f>IF(Notes!CF1457="","",Notes!CF1457)</f>
        <v/>
      </c>
      <c r="I1461" s="7"/>
      <c r="J1461" s="7"/>
      <c r="K1461" s="7"/>
    </row>
    <row r="1462" spans="1:11" x14ac:dyDescent="0.35">
      <c r="A1462" s="7" t="str">
        <f>IF(Notes!BY1458="","",Notes!BY1458)</f>
        <v/>
      </c>
      <c r="B1462" s="7" t="str">
        <f>IF(Notes!BZ1458="","",Notes!BZ1458)</f>
        <v/>
      </c>
      <c r="C1462" s="7" t="str">
        <f>IF(Notes!CA1458="","",Notes!CA1458)</f>
        <v/>
      </c>
      <c r="D1462" s="7" t="str">
        <f>IF(Notes!CB1458="","",Notes!CB1458)</f>
        <v/>
      </c>
      <c r="E1462" s="7" t="str">
        <f>IF(Notes!CC1458="","",Notes!CC1458)</f>
        <v/>
      </c>
      <c r="F1462" s="7" t="str">
        <f>IF(Notes!CD1458="","",Notes!CD1458)</f>
        <v/>
      </c>
      <c r="G1462" s="7" t="str">
        <f>IF(Notes!CE1458="","",Notes!CE1458)</f>
        <v/>
      </c>
      <c r="H1462" s="7" t="str">
        <f>IF(Notes!CF1458="","",Notes!CF1458)</f>
        <v/>
      </c>
      <c r="I1462" s="7"/>
      <c r="J1462" s="7"/>
      <c r="K1462" s="7"/>
    </row>
    <row r="1463" spans="1:11" x14ac:dyDescent="0.35">
      <c r="A1463" s="7" t="str">
        <f>IF(Notes!BY1459="","",Notes!BY1459)</f>
        <v/>
      </c>
      <c r="B1463" s="7" t="str">
        <f>IF(Notes!BZ1459="","",Notes!BZ1459)</f>
        <v/>
      </c>
      <c r="C1463" s="7" t="str">
        <f>IF(Notes!CA1459="","",Notes!CA1459)</f>
        <v/>
      </c>
      <c r="D1463" s="7" t="str">
        <f>IF(Notes!CB1459="","",Notes!CB1459)</f>
        <v/>
      </c>
      <c r="E1463" s="7" t="str">
        <f>IF(Notes!CC1459="","",Notes!CC1459)</f>
        <v/>
      </c>
      <c r="F1463" s="7" t="str">
        <f>IF(Notes!CD1459="","",Notes!CD1459)</f>
        <v/>
      </c>
      <c r="G1463" s="7" t="str">
        <f>IF(Notes!CE1459="","",Notes!CE1459)</f>
        <v/>
      </c>
      <c r="H1463" s="7" t="str">
        <f>IF(Notes!CF1459="","",Notes!CF1459)</f>
        <v/>
      </c>
      <c r="I1463" s="7"/>
      <c r="J1463" s="7"/>
      <c r="K1463" s="7"/>
    </row>
    <row r="1464" spans="1:11" x14ac:dyDescent="0.35">
      <c r="A1464" s="7" t="str">
        <f>IF(Notes!BY1460="","",Notes!BY1460)</f>
        <v/>
      </c>
      <c r="B1464" s="7" t="str">
        <f>IF(Notes!BZ1460="","",Notes!BZ1460)</f>
        <v/>
      </c>
      <c r="C1464" s="7" t="str">
        <f>IF(Notes!CA1460="","",Notes!CA1460)</f>
        <v/>
      </c>
      <c r="D1464" s="7" t="str">
        <f>IF(Notes!CB1460="","",Notes!CB1460)</f>
        <v/>
      </c>
      <c r="E1464" s="7" t="str">
        <f>IF(Notes!CC1460="","",Notes!CC1460)</f>
        <v/>
      </c>
      <c r="F1464" s="7" t="str">
        <f>IF(Notes!CD1460="","",Notes!CD1460)</f>
        <v/>
      </c>
      <c r="G1464" s="7" t="str">
        <f>IF(Notes!CE1460="","",Notes!CE1460)</f>
        <v/>
      </c>
      <c r="H1464" s="7" t="str">
        <f>IF(Notes!CF1460="","",Notes!CF1460)</f>
        <v/>
      </c>
      <c r="I1464" s="7"/>
      <c r="J1464" s="7"/>
      <c r="K1464" s="7"/>
    </row>
    <row r="1465" spans="1:11" x14ac:dyDescent="0.35">
      <c r="A1465" s="7" t="str">
        <f>IF(Notes!BY1461="","",Notes!BY1461)</f>
        <v/>
      </c>
      <c r="B1465" s="7" t="str">
        <f>IF(Notes!BZ1461="","",Notes!BZ1461)</f>
        <v/>
      </c>
      <c r="C1465" s="7" t="str">
        <f>IF(Notes!CA1461="","",Notes!CA1461)</f>
        <v/>
      </c>
      <c r="D1465" s="7" t="str">
        <f>IF(Notes!CB1461="","",Notes!CB1461)</f>
        <v/>
      </c>
      <c r="E1465" s="7" t="str">
        <f>IF(Notes!CC1461="","",Notes!CC1461)</f>
        <v/>
      </c>
      <c r="F1465" s="7" t="str">
        <f>IF(Notes!CD1461="","",Notes!CD1461)</f>
        <v/>
      </c>
      <c r="G1465" s="7" t="str">
        <f>IF(Notes!CE1461="","",Notes!CE1461)</f>
        <v/>
      </c>
      <c r="H1465" s="7" t="str">
        <f>IF(Notes!CF1461="","",Notes!CF1461)</f>
        <v/>
      </c>
      <c r="I1465" s="7"/>
      <c r="J1465" s="7"/>
      <c r="K1465" s="7"/>
    </row>
    <row r="1466" spans="1:11" x14ac:dyDescent="0.35">
      <c r="A1466" s="7" t="str">
        <f>IF(Notes!BY1462="","",Notes!BY1462)</f>
        <v/>
      </c>
      <c r="B1466" s="7" t="str">
        <f>IF(Notes!BZ1462="","",Notes!BZ1462)</f>
        <v/>
      </c>
      <c r="C1466" s="7" t="str">
        <f>IF(Notes!CA1462="","",Notes!CA1462)</f>
        <v/>
      </c>
      <c r="D1466" s="7" t="str">
        <f>IF(Notes!CB1462="","",Notes!CB1462)</f>
        <v/>
      </c>
      <c r="E1466" s="7" t="str">
        <f>IF(Notes!CC1462="","",Notes!CC1462)</f>
        <v/>
      </c>
      <c r="F1466" s="7" t="str">
        <f>IF(Notes!CD1462="","",Notes!CD1462)</f>
        <v/>
      </c>
      <c r="G1466" s="7" t="str">
        <f>IF(Notes!CE1462="","",Notes!CE1462)</f>
        <v/>
      </c>
      <c r="H1466" s="7" t="str">
        <f>IF(Notes!CF1462="","",Notes!CF1462)</f>
        <v/>
      </c>
      <c r="I1466" s="7"/>
      <c r="J1466" s="7"/>
      <c r="K1466" s="7"/>
    </row>
    <row r="1467" spans="1:11" x14ac:dyDescent="0.35">
      <c r="A1467" s="7" t="str">
        <f>IF(Notes!BY1463="","",Notes!BY1463)</f>
        <v/>
      </c>
      <c r="B1467" s="7" t="str">
        <f>IF(Notes!BZ1463="","",Notes!BZ1463)</f>
        <v/>
      </c>
      <c r="C1467" s="7" t="str">
        <f>IF(Notes!CA1463="","",Notes!CA1463)</f>
        <v/>
      </c>
      <c r="D1467" s="7" t="str">
        <f>IF(Notes!CB1463="","",Notes!CB1463)</f>
        <v/>
      </c>
      <c r="E1467" s="7" t="str">
        <f>IF(Notes!CC1463="","",Notes!CC1463)</f>
        <v/>
      </c>
      <c r="F1467" s="7" t="str">
        <f>IF(Notes!CD1463="","",Notes!CD1463)</f>
        <v/>
      </c>
      <c r="G1467" s="7" t="str">
        <f>IF(Notes!CE1463="","",Notes!CE1463)</f>
        <v/>
      </c>
      <c r="H1467" s="7" t="str">
        <f>IF(Notes!CF1463="","",Notes!CF1463)</f>
        <v/>
      </c>
      <c r="I1467" s="7"/>
      <c r="J1467" s="7"/>
      <c r="K1467" s="7"/>
    </row>
    <row r="1468" spans="1:11" x14ac:dyDescent="0.35">
      <c r="A1468" s="7" t="str">
        <f>IF(Notes!BY1464="","",Notes!BY1464)</f>
        <v/>
      </c>
      <c r="B1468" s="7" t="str">
        <f>IF(Notes!BZ1464="","",Notes!BZ1464)</f>
        <v/>
      </c>
      <c r="C1468" s="7" t="str">
        <f>IF(Notes!CA1464="","",Notes!CA1464)</f>
        <v/>
      </c>
      <c r="D1468" s="7" t="str">
        <f>IF(Notes!CB1464="","",Notes!CB1464)</f>
        <v/>
      </c>
      <c r="E1468" s="7" t="str">
        <f>IF(Notes!CC1464="","",Notes!CC1464)</f>
        <v/>
      </c>
      <c r="F1468" s="7" t="str">
        <f>IF(Notes!CD1464="","",Notes!CD1464)</f>
        <v/>
      </c>
      <c r="G1468" s="7" t="str">
        <f>IF(Notes!CE1464="","",Notes!CE1464)</f>
        <v/>
      </c>
      <c r="H1468" s="7" t="str">
        <f>IF(Notes!CF1464="","",Notes!CF1464)</f>
        <v/>
      </c>
      <c r="I1468" s="7"/>
      <c r="J1468" s="7"/>
      <c r="K1468" s="7"/>
    </row>
    <row r="1469" spans="1:11" x14ac:dyDescent="0.35">
      <c r="A1469" s="7" t="str">
        <f>IF(Notes!BY1465="","",Notes!BY1465)</f>
        <v/>
      </c>
      <c r="B1469" s="7" t="str">
        <f>IF(Notes!BZ1465="","",Notes!BZ1465)</f>
        <v/>
      </c>
      <c r="C1469" s="7" t="str">
        <f>IF(Notes!CA1465="","",Notes!CA1465)</f>
        <v/>
      </c>
      <c r="D1469" s="7" t="str">
        <f>IF(Notes!CB1465="","",Notes!CB1465)</f>
        <v/>
      </c>
      <c r="E1469" s="7" t="str">
        <f>IF(Notes!CC1465="","",Notes!CC1465)</f>
        <v/>
      </c>
      <c r="F1469" s="7" t="str">
        <f>IF(Notes!CD1465="","",Notes!CD1465)</f>
        <v/>
      </c>
      <c r="G1469" s="7" t="str">
        <f>IF(Notes!CE1465="","",Notes!CE1465)</f>
        <v/>
      </c>
      <c r="H1469" s="7" t="str">
        <f>IF(Notes!CF1465="","",Notes!CF1465)</f>
        <v/>
      </c>
      <c r="I1469" s="7"/>
      <c r="J1469" s="7"/>
      <c r="K1469" s="7"/>
    </row>
    <row r="1470" spans="1:11" x14ac:dyDescent="0.35">
      <c r="A1470" s="7" t="str">
        <f>IF(Notes!BY1466="","",Notes!BY1466)</f>
        <v/>
      </c>
      <c r="B1470" s="7" t="str">
        <f>IF(Notes!BZ1466="","",Notes!BZ1466)</f>
        <v/>
      </c>
      <c r="C1470" s="7" t="str">
        <f>IF(Notes!CA1466="","",Notes!CA1466)</f>
        <v/>
      </c>
      <c r="D1470" s="7" t="str">
        <f>IF(Notes!CB1466="","",Notes!CB1466)</f>
        <v/>
      </c>
      <c r="E1470" s="7" t="str">
        <f>IF(Notes!CC1466="","",Notes!CC1466)</f>
        <v/>
      </c>
      <c r="F1470" s="7" t="str">
        <f>IF(Notes!CD1466="","",Notes!CD1466)</f>
        <v/>
      </c>
      <c r="G1470" s="7" t="str">
        <f>IF(Notes!CE1466="","",Notes!CE1466)</f>
        <v/>
      </c>
      <c r="H1470" s="7" t="str">
        <f>IF(Notes!CF1466="","",Notes!CF1466)</f>
        <v/>
      </c>
      <c r="I1470" s="7"/>
      <c r="J1470" s="7"/>
      <c r="K1470" s="7"/>
    </row>
    <row r="1471" spans="1:11" x14ac:dyDescent="0.35">
      <c r="A1471" s="7" t="str">
        <f>IF(Notes!BY1467="","",Notes!BY1467)</f>
        <v/>
      </c>
      <c r="B1471" s="7" t="str">
        <f>IF(Notes!BZ1467="","",Notes!BZ1467)</f>
        <v/>
      </c>
      <c r="C1471" s="7" t="str">
        <f>IF(Notes!CA1467="","",Notes!CA1467)</f>
        <v/>
      </c>
      <c r="D1471" s="7" t="str">
        <f>IF(Notes!CB1467="","",Notes!CB1467)</f>
        <v/>
      </c>
      <c r="E1471" s="7" t="str">
        <f>IF(Notes!CC1467="","",Notes!CC1467)</f>
        <v/>
      </c>
      <c r="F1471" s="7" t="str">
        <f>IF(Notes!CD1467="","",Notes!CD1467)</f>
        <v/>
      </c>
      <c r="G1471" s="7" t="str">
        <f>IF(Notes!CE1467="","",Notes!CE1467)</f>
        <v/>
      </c>
      <c r="H1471" s="7" t="str">
        <f>IF(Notes!CF1467="","",Notes!CF1467)</f>
        <v/>
      </c>
      <c r="I1471" s="7"/>
      <c r="J1471" s="7"/>
      <c r="K1471" s="7"/>
    </row>
    <row r="1472" spans="1:11" x14ac:dyDescent="0.35">
      <c r="A1472" s="7" t="str">
        <f>IF(Notes!BY1468="","",Notes!BY1468)</f>
        <v/>
      </c>
      <c r="B1472" s="7" t="str">
        <f>IF(Notes!BZ1468="","",Notes!BZ1468)</f>
        <v/>
      </c>
      <c r="C1472" s="7" t="str">
        <f>IF(Notes!CA1468="","",Notes!CA1468)</f>
        <v/>
      </c>
      <c r="D1472" s="7" t="str">
        <f>IF(Notes!CB1468="","",Notes!CB1468)</f>
        <v/>
      </c>
      <c r="E1472" s="7" t="str">
        <f>IF(Notes!CC1468="","",Notes!CC1468)</f>
        <v/>
      </c>
      <c r="F1472" s="7" t="str">
        <f>IF(Notes!CD1468="","",Notes!CD1468)</f>
        <v/>
      </c>
      <c r="G1472" s="7" t="str">
        <f>IF(Notes!CE1468="","",Notes!CE1468)</f>
        <v/>
      </c>
      <c r="H1472" s="7" t="str">
        <f>IF(Notes!CF1468="","",Notes!CF1468)</f>
        <v/>
      </c>
      <c r="I1472" s="7"/>
      <c r="J1472" s="7"/>
      <c r="K1472" s="7"/>
    </row>
    <row r="1473" spans="1:11" x14ac:dyDescent="0.35">
      <c r="A1473" s="7" t="str">
        <f>IF(Notes!BY1469="","",Notes!BY1469)</f>
        <v/>
      </c>
      <c r="B1473" s="7" t="str">
        <f>IF(Notes!BZ1469="","",Notes!BZ1469)</f>
        <v/>
      </c>
      <c r="C1473" s="7" t="str">
        <f>IF(Notes!CA1469="","",Notes!CA1469)</f>
        <v/>
      </c>
      <c r="D1473" s="7" t="str">
        <f>IF(Notes!CB1469="","",Notes!CB1469)</f>
        <v/>
      </c>
      <c r="E1473" s="7" t="str">
        <f>IF(Notes!CC1469="","",Notes!CC1469)</f>
        <v/>
      </c>
      <c r="F1473" s="7" t="str">
        <f>IF(Notes!CD1469="","",Notes!CD1469)</f>
        <v/>
      </c>
      <c r="G1473" s="7" t="str">
        <f>IF(Notes!CE1469="","",Notes!CE1469)</f>
        <v/>
      </c>
      <c r="H1473" s="7" t="str">
        <f>IF(Notes!CF1469="","",Notes!CF1469)</f>
        <v/>
      </c>
      <c r="I1473" s="7"/>
      <c r="J1473" s="7"/>
      <c r="K1473" s="7"/>
    </row>
    <row r="1474" spans="1:11" x14ac:dyDescent="0.35">
      <c r="A1474" s="7" t="str">
        <f>IF(Notes!BY1470="","",Notes!BY1470)</f>
        <v/>
      </c>
      <c r="B1474" s="7" t="str">
        <f>IF(Notes!BZ1470="","",Notes!BZ1470)</f>
        <v/>
      </c>
      <c r="C1474" s="7" t="str">
        <f>IF(Notes!CA1470="","",Notes!CA1470)</f>
        <v/>
      </c>
      <c r="D1474" s="7" t="str">
        <f>IF(Notes!CB1470="","",Notes!CB1470)</f>
        <v/>
      </c>
      <c r="E1474" s="7" t="str">
        <f>IF(Notes!CC1470="","",Notes!CC1470)</f>
        <v/>
      </c>
      <c r="F1474" s="7" t="str">
        <f>IF(Notes!CD1470="","",Notes!CD1470)</f>
        <v/>
      </c>
      <c r="G1474" s="7" t="str">
        <f>IF(Notes!CE1470="","",Notes!CE1470)</f>
        <v/>
      </c>
      <c r="H1474" s="7" t="str">
        <f>IF(Notes!CF1470="","",Notes!CF1470)</f>
        <v/>
      </c>
      <c r="I1474" s="7"/>
      <c r="J1474" s="7"/>
      <c r="K1474" s="7"/>
    </row>
    <row r="1475" spans="1:11" x14ac:dyDescent="0.35">
      <c r="A1475" s="7" t="str">
        <f>IF(Notes!BY1471="","",Notes!BY1471)</f>
        <v/>
      </c>
      <c r="B1475" s="7" t="str">
        <f>IF(Notes!BZ1471="","",Notes!BZ1471)</f>
        <v/>
      </c>
      <c r="C1475" s="7" t="str">
        <f>IF(Notes!CA1471="","",Notes!CA1471)</f>
        <v/>
      </c>
      <c r="D1475" s="7" t="str">
        <f>IF(Notes!CB1471="","",Notes!CB1471)</f>
        <v/>
      </c>
      <c r="E1475" s="7" t="str">
        <f>IF(Notes!CC1471="","",Notes!CC1471)</f>
        <v/>
      </c>
      <c r="F1475" s="7" t="str">
        <f>IF(Notes!CD1471="","",Notes!CD1471)</f>
        <v/>
      </c>
      <c r="G1475" s="7" t="str">
        <f>IF(Notes!CE1471="","",Notes!CE1471)</f>
        <v/>
      </c>
      <c r="H1475" s="7" t="str">
        <f>IF(Notes!CF1471="","",Notes!CF1471)</f>
        <v/>
      </c>
      <c r="I1475" s="7"/>
      <c r="J1475" s="7"/>
      <c r="K1475" s="7"/>
    </row>
    <row r="1476" spans="1:11" x14ac:dyDescent="0.35">
      <c r="A1476" s="7" t="str">
        <f>IF(Notes!BY1472="","",Notes!BY1472)</f>
        <v/>
      </c>
      <c r="B1476" s="7" t="str">
        <f>IF(Notes!BZ1472="","",Notes!BZ1472)</f>
        <v/>
      </c>
      <c r="C1476" s="7" t="str">
        <f>IF(Notes!CA1472="","",Notes!CA1472)</f>
        <v/>
      </c>
      <c r="D1476" s="7" t="str">
        <f>IF(Notes!CB1472="","",Notes!CB1472)</f>
        <v/>
      </c>
      <c r="E1476" s="7" t="str">
        <f>IF(Notes!CC1472="","",Notes!CC1472)</f>
        <v/>
      </c>
      <c r="F1476" s="7" t="str">
        <f>IF(Notes!CD1472="","",Notes!CD1472)</f>
        <v/>
      </c>
      <c r="G1476" s="7" t="str">
        <f>IF(Notes!CE1472="","",Notes!CE1472)</f>
        <v/>
      </c>
      <c r="H1476" s="7" t="str">
        <f>IF(Notes!CF1472="","",Notes!CF1472)</f>
        <v/>
      </c>
      <c r="I1476" s="7"/>
      <c r="J1476" s="7"/>
      <c r="K1476" s="7"/>
    </row>
    <row r="1477" spans="1:11" x14ac:dyDescent="0.35">
      <c r="A1477" s="7" t="str">
        <f>IF(Notes!BY1473="","",Notes!BY1473)</f>
        <v/>
      </c>
      <c r="B1477" s="7" t="str">
        <f>IF(Notes!BZ1473="","",Notes!BZ1473)</f>
        <v/>
      </c>
      <c r="C1477" s="7" t="str">
        <f>IF(Notes!CA1473="","",Notes!CA1473)</f>
        <v/>
      </c>
      <c r="D1477" s="7" t="str">
        <f>IF(Notes!CB1473="","",Notes!CB1473)</f>
        <v/>
      </c>
      <c r="E1477" s="7" t="str">
        <f>IF(Notes!CC1473="","",Notes!CC1473)</f>
        <v/>
      </c>
      <c r="F1477" s="7" t="str">
        <f>IF(Notes!CD1473="","",Notes!CD1473)</f>
        <v/>
      </c>
      <c r="G1477" s="7" t="str">
        <f>IF(Notes!CE1473="","",Notes!CE1473)</f>
        <v/>
      </c>
      <c r="H1477" s="7" t="str">
        <f>IF(Notes!CF1473="","",Notes!CF1473)</f>
        <v/>
      </c>
      <c r="I1477" s="7"/>
      <c r="J1477" s="7"/>
      <c r="K1477" s="7"/>
    </row>
    <row r="1478" spans="1:11" x14ac:dyDescent="0.35">
      <c r="A1478" s="7" t="str">
        <f>IF(Notes!BY1474="","",Notes!BY1474)</f>
        <v/>
      </c>
      <c r="B1478" s="7" t="str">
        <f>IF(Notes!BZ1474="","",Notes!BZ1474)</f>
        <v/>
      </c>
      <c r="C1478" s="7" t="str">
        <f>IF(Notes!CA1474="","",Notes!CA1474)</f>
        <v/>
      </c>
      <c r="D1478" s="7" t="str">
        <f>IF(Notes!CB1474="","",Notes!CB1474)</f>
        <v/>
      </c>
      <c r="E1478" s="7" t="str">
        <f>IF(Notes!CC1474="","",Notes!CC1474)</f>
        <v/>
      </c>
      <c r="F1478" s="7" t="str">
        <f>IF(Notes!CD1474="","",Notes!CD1474)</f>
        <v/>
      </c>
      <c r="G1478" s="7" t="str">
        <f>IF(Notes!CE1474="","",Notes!CE1474)</f>
        <v/>
      </c>
      <c r="H1478" s="7" t="str">
        <f>IF(Notes!CF1474="","",Notes!CF1474)</f>
        <v/>
      </c>
      <c r="I1478" s="7"/>
      <c r="J1478" s="7"/>
      <c r="K1478" s="7"/>
    </row>
    <row r="1479" spans="1:11" x14ac:dyDescent="0.35">
      <c r="A1479" s="7" t="str">
        <f>IF(Notes!BY1475="","",Notes!BY1475)</f>
        <v/>
      </c>
      <c r="B1479" s="7" t="str">
        <f>IF(Notes!BZ1475="","",Notes!BZ1475)</f>
        <v/>
      </c>
      <c r="C1479" s="7" t="str">
        <f>IF(Notes!CA1475="","",Notes!CA1475)</f>
        <v/>
      </c>
      <c r="D1479" s="7" t="str">
        <f>IF(Notes!CB1475="","",Notes!CB1475)</f>
        <v/>
      </c>
      <c r="E1479" s="7" t="str">
        <f>IF(Notes!CC1475="","",Notes!CC1475)</f>
        <v/>
      </c>
      <c r="F1479" s="7" t="str">
        <f>IF(Notes!CD1475="","",Notes!CD1475)</f>
        <v/>
      </c>
      <c r="G1479" s="7" t="str">
        <f>IF(Notes!CE1475="","",Notes!CE1475)</f>
        <v/>
      </c>
      <c r="H1479" s="7" t="str">
        <f>IF(Notes!CF1475="","",Notes!CF1475)</f>
        <v/>
      </c>
      <c r="I1479" s="7"/>
      <c r="J1479" s="7"/>
      <c r="K1479" s="7"/>
    </row>
    <row r="1480" spans="1:11" x14ac:dyDescent="0.35">
      <c r="A1480" s="7" t="str">
        <f>IF(Notes!BY1476="","",Notes!BY1476)</f>
        <v/>
      </c>
      <c r="B1480" s="7" t="str">
        <f>IF(Notes!BZ1476="","",Notes!BZ1476)</f>
        <v/>
      </c>
      <c r="C1480" s="7" t="str">
        <f>IF(Notes!CA1476="","",Notes!CA1476)</f>
        <v/>
      </c>
      <c r="D1480" s="7" t="str">
        <f>IF(Notes!CB1476="","",Notes!CB1476)</f>
        <v/>
      </c>
      <c r="E1480" s="7" t="str">
        <f>IF(Notes!CC1476="","",Notes!CC1476)</f>
        <v/>
      </c>
      <c r="F1480" s="7" t="str">
        <f>IF(Notes!CD1476="","",Notes!CD1476)</f>
        <v/>
      </c>
      <c r="G1480" s="7" t="str">
        <f>IF(Notes!CE1476="","",Notes!CE1476)</f>
        <v/>
      </c>
      <c r="H1480" s="7" t="str">
        <f>IF(Notes!CF1476="","",Notes!CF1476)</f>
        <v/>
      </c>
      <c r="I1480" s="7"/>
      <c r="J1480" s="7"/>
      <c r="K1480" s="7"/>
    </row>
    <row r="1481" spans="1:11" x14ac:dyDescent="0.35">
      <c r="A1481" s="7" t="str">
        <f>IF(Notes!BY1477="","",Notes!BY1477)</f>
        <v/>
      </c>
      <c r="B1481" s="7" t="str">
        <f>IF(Notes!BZ1477="","",Notes!BZ1477)</f>
        <v/>
      </c>
      <c r="C1481" s="7" t="str">
        <f>IF(Notes!CA1477="","",Notes!CA1477)</f>
        <v/>
      </c>
      <c r="D1481" s="7" t="str">
        <f>IF(Notes!CB1477="","",Notes!CB1477)</f>
        <v/>
      </c>
      <c r="E1481" s="7" t="str">
        <f>IF(Notes!CC1477="","",Notes!CC1477)</f>
        <v/>
      </c>
      <c r="F1481" s="7" t="str">
        <f>IF(Notes!CD1477="","",Notes!CD1477)</f>
        <v/>
      </c>
      <c r="G1481" s="7" t="str">
        <f>IF(Notes!CE1477="","",Notes!CE1477)</f>
        <v/>
      </c>
      <c r="H1481" s="7" t="str">
        <f>IF(Notes!CF1477="","",Notes!CF1477)</f>
        <v/>
      </c>
      <c r="I1481" s="7"/>
      <c r="J1481" s="7"/>
      <c r="K1481" s="7"/>
    </row>
    <row r="1482" spans="1:11" x14ac:dyDescent="0.35">
      <c r="A1482" s="7" t="str">
        <f>IF(Notes!BY1478="","",Notes!BY1478)</f>
        <v/>
      </c>
      <c r="B1482" s="7" t="str">
        <f>IF(Notes!BZ1478="","",Notes!BZ1478)</f>
        <v/>
      </c>
      <c r="C1482" s="7" t="str">
        <f>IF(Notes!CA1478="","",Notes!CA1478)</f>
        <v/>
      </c>
      <c r="D1482" s="7" t="str">
        <f>IF(Notes!CB1478="","",Notes!CB1478)</f>
        <v/>
      </c>
      <c r="E1482" s="7" t="str">
        <f>IF(Notes!CC1478="","",Notes!CC1478)</f>
        <v/>
      </c>
      <c r="F1482" s="7" t="str">
        <f>IF(Notes!CD1478="","",Notes!CD1478)</f>
        <v/>
      </c>
      <c r="G1482" s="7" t="str">
        <f>IF(Notes!CE1478="","",Notes!CE1478)</f>
        <v/>
      </c>
      <c r="H1482" s="7" t="str">
        <f>IF(Notes!CF1478="","",Notes!CF1478)</f>
        <v/>
      </c>
      <c r="I1482" s="7"/>
      <c r="J1482" s="7"/>
      <c r="K1482" s="7"/>
    </row>
    <row r="1483" spans="1:11" x14ac:dyDescent="0.35">
      <c r="A1483" s="7" t="str">
        <f>IF(Notes!BY1479="","",Notes!BY1479)</f>
        <v/>
      </c>
      <c r="B1483" s="7" t="str">
        <f>IF(Notes!BZ1479="","",Notes!BZ1479)</f>
        <v/>
      </c>
      <c r="C1483" s="7" t="str">
        <f>IF(Notes!CA1479="","",Notes!CA1479)</f>
        <v/>
      </c>
      <c r="D1483" s="7" t="str">
        <f>IF(Notes!CB1479="","",Notes!CB1479)</f>
        <v/>
      </c>
      <c r="E1483" s="7" t="str">
        <f>IF(Notes!CC1479="","",Notes!CC1479)</f>
        <v/>
      </c>
      <c r="F1483" s="7" t="str">
        <f>IF(Notes!CD1479="","",Notes!CD1479)</f>
        <v/>
      </c>
      <c r="G1483" s="7" t="str">
        <f>IF(Notes!CE1479="","",Notes!CE1479)</f>
        <v/>
      </c>
      <c r="H1483" s="7" t="str">
        <f>IF(Notes!CF1479="","",Notes!CF1479)</f>
        <v/>
      </c>
      <c r="I1483" s="7"/>
      <c r="J1483" s="7"/>
      <c r="K1483" s="7"/>
    </row>
    <row r="1484" spans="1:11" x14ac:dyDescent="0.35">
      <c r="A1484" s="7" t="str">
        <f>IF(Notes!BY1480="","",Notes!BY1480)</f>
        <v/>
      </c>
      <c r="B1484" s="7" t="str">
        <f>IF(Notes!BZ1480="","",Notes!BZ1480)</f>
        <v/>
      </c>
      <c r="C1484" s="7" t="str">
        <f>IF(Notes!CA1480="","",Notes!CA1480)</f>
        <v/>
      </c>
      <c r="D1484" s="7" t="str">
        <f>IF(Notes!CB1480="","",Notes!CB1480)</f>
        <v/>
      </c>
      <c r="E1484" s="7" t="str">
        <f>IF(Notes!CC1480="","",Notes!CC1480)</f>
        <v/>
      </c>
      <c r="F1484" s="7" t="str">
        <f>IF(Notes!CD1480="","",Notes!CD1480)</f>
        <v/>
      </c>
      <c r="G1484" s="7" t="str">
        <f>IF(Notes!CE1480="","",Notes!CE1480)</f>
        <v/>
      </c>
      <c r="H1484" s="7" t="str">
        <f>IF(Notes!CF1480="","",Notes!CF1480)</f>
        <v/>
      </c>
      <c r="I1484" s="7"/>
      <c r="J1484" s="7"/>
      <c r="K1484" s="7"/>
    </row>
    <row r="1485" spans="1:11" x14ac:dyDescent="0.35">
      <c r="A1485" s="7" t="str">
        <f>IF(Notes!BY1481="","",Notes!BY1481)</f>
        <v/>
      </c>
      <c r="B1485" s="7" t="str">
        <f>IF(Notes!BZ1481="","",Notes!BZ1481)</f>
        <v/>
      </c>
      <c r="C1485" s="7" t="str">
        <f>IF(Notes!CA1481="","",Notes!CA1481)</f>
        <v/>
      </c>
      <c r="D1485" s="7" t="str">
        <f>IF(Notes!CB1481="","",Notes!CB1481)</f>
        <v/>
      </c>
      <c r="E1485" s="7" t="str">
        <f>IF(Notes!CC1481="","",Notes!CC1481)</f>
        <v/>
      </c>
      <c r="F1485" s="7" t="str">
        <f>IF(Notes!CD1481="","",Notes!CD1481)</f>
        <v/>
      </c>
      <c r="G1485" s="7" t="str">
        <f>IF(Notes!CE1481="","",Notes!CE1481)</f>
        <v/>
      </c>
      <c r="H1485" s="7" t="str">
        <f>IF(Notes!CF1481="","",Notes!CF1481)</f>
        <v/>
      </c>
      <c r="I1485" s="7"/>
      <c r="J1485" s="7"/>
      <c r="K1485" s="7"/>
    </row>
    <row r="1486" spans="1:11" x14ac:dyDescent="0.35">
      <c r="A1486" s="7" t="str">
        <f>IF(Notes!BY1482="","",Notes!BY1482)</f>
        <v/>
      </c>
      <c r="B1486" s="7" t="str">
        <f>IF(Notes!BZ1482="","",Notes!BZ1482)</f>
        <v/>
      </c>
      <c r="C1486" s="7" t="str">
        <f>IF(Notes!CA1482="","",Notes!CA1482)</f>
        <v/>
      </c>
      <c r="D1486" s="7" t="str">
        <f>IF(Notes!CB1482="","",Notes!CB1482)</f>
        <v/>
      </c>
      <c r="E1486" s="7" t="str">
        <f>IF(Notes!CC1482="","",Notes!CC1482)</f>
        <v/>
      </c>
      <c r="F1486" s="7" t="str">
        <f>IF(Notes!CD1482="","",Notes!CD1482)</f>
        <v/>
      </c>
      <c r="G1486" s="7" t="str">
        <f>IF(Notes!CE1482="","",Notes!CE1482)</f>
        <v/>
      </c>
      <c r="H1486" s="7" t="str">
        <f>IF(Notes!CF1482="","",Notes!CF1482)</f>
        <v/>
      </c>
      <c r="I1486" s="7"/>
      <c r="J1486" s="7"/>
      <c r="K1486" s="7"/>
    </row>
    <row r="1487" spans="1:11" x14ac:dyDescent="0.35">
      <c r="A1487" s="7" t="str">
        <f>IF(Notes!BY1483="","",Notes!BY1483)</f>
        <v/>
      </c>
      <c r="B1487" s="7" t="str">
        <f>IF(Notes!BZ1483="","",Notes!BZ1483)</f>
        <v/>
      </c>
      <c r="C1487" s="7" t="str">
        <f>IF(Notes!CA1483="","",Notes!CA1483)</f>
        <v/>
      </c>
      <c r="D1487" s="7" t="str">
        <f>IF(Notes!CB1483="","",Notes!CB1483)</f>
        <v/>
      </c>
      <c r="E1487" s="7" t="str">
        <f>IF(Notes!CC1483="","",Notes!CC1483)</f>
        <v/>
      </c>
      <c r="F1487" s="7" t="str">
        <f>IF(Notes!CD1483="","",Notes!CD1483)</f>
        <v/>
      </c>
      <c r="G1487" s="7" t="str">
        <f>IF(Notes!CE1483="","",Notes!CE1483)</f>
        <v/>
      </c>
      <c r="H1487" s="7" t="str">
        <f>IF(Notes!CF1483="","",Notes!CF1483)</f>
        <v/>
      </c>
      <c r="I1487" s="7"/>
      <c r="J1487" s="7"/>
      <c r="K1487" s="7"/>
    </row>
    <row r="1488" spans="1:11" x14ac:dyDescent="0.35">
      <c r="A1488" s="7" t="str">
        <f>IF(Notes!BY1484="","",Notes!BY1484)</f>
        <v/>
      </c>
      <c r="B1488" s="7" t="str">
        <f>IF(Notes!BZ1484="","",Notes!BZ1484)</f>
        <v/>
      </c>
      <c r="C1488" s="7" t="str">
        <f>IF(Notes!CA1484="","",Notes!CA1484)</f>
        <v/>
      </c>
      <c r="D1488" s="7" t="str">
        <f>IF(Notes!CB1484="","",Notes!CB1484)</f>
        <v/>
      </c>
      <c r="E1488" s="7" t="str">
        <f>IF(Notes!CC1484="","",Notes!CC1484)</f>
        <v/>
      </c>
      <c r="F1488" s="7" t="str">
        <f>IF(Notes!CD1484="","",Notes!CD1484)</f>
        <v/>
      </c>
      <c r="G1488" s="7" t="str">
        <f>IF(Notes!CE1484="","",Notes!CE1484)</f>
        <v/>
      </c>
      <c r="H1488" s="7" t="str">
        <f>IF(Notes!CF1484="","",Notes!CF1484)</f>
        <v/>
      </c>
      <c r="I1488" s="7"/>
      <c r="J1488" s="7"/>
      <c r="K1488" s="7"/>
    </row>
    <row r="1489" spans="1:11" x14ac:dyDescent="0.35">
      <c r="A1489" s="7" t="str">
        <f>IF(Notes!BY1485="","",Notes!BY1485)</f>
        <v/>
      </c>
      <c r="B1489" s="7" t="str">
        <f>IF(Notes!BZ1485="","",Notes!BZ1485)</f>
        <v/>
      </c>
      <c r="C1489" s="7" t="str">
        <f>IF(Notes!CA1485="","",Notes!CA1485)</f>
        <v/>
      </c>
      <c r="D1489" s="7" t="str">
        <f>IF(Notes!CB1485="","",Notes!CB1485)</f>
        <v/>
      </c>
      <c r="E1489" s="7" t="str">
        <f>IF(Notes!CC1485="","",Notes!CC1485)</f>
        <v/>
      </c>
      <c r="F1489" s="7" t="str">
        <f>IF(Notes!CD1485="","",Notes!CD1485)</f>
        <v/>
      </c>
      <c r="G1489" s="7" t="str">
        <f>IF(Notes!CE1485="","",Notes!CE1485)</f>
        <v/>
      </c>
      <c r="H1489" s="7" t="str">
        <f>IF(Notes!CF1485="","",Notes!CF1485)</f>
        <v/>
      </c>
      <c r="I1489" s="7"/>
      <c r="J1489" s="7"/>
      <c r="K1489" s="7"/>
    </row>
    <row r="1490" spans="1:11" x14ac:dyDescent="0.35">
      <c r="A1490" s="7" t="str">
        <f>IF(Notes!BY1486="","",Notes!BY1486)</f>
        <v/>
      </c>
      <c r="B1490" s="7" t="str">
        <f>IF(Notes!BZ1486="","",Notes!BZ1486)</f>
        <v/>
      </c>
      <c r="C1490" s="7" t="str">
        <f>IF(Notes!CA1486="","",Notes!CA1486)</f>
        <v/>
      </c>
      <c r="D1490" s="7" t="str">
        <f>IF(Notes!CB1486="","",Notes!CB1486)</f>
        <v/>
      </c>
      <c r="E1490" s="7" t="str">
        <f>IF(Notes!CC1486="","",Notes!CC1486)</f>
        <v/>
      </c>
      <c r="F1490" s="7" t="str">
        <f>IF(Notes!CD1486="","",Notes!CD1486)</f>
        <v/>
      </c>
      <c r="G1490" s="7" t="str">
        <f>IF(Notes!CE1486="","",Notes!CE1486)</f>
        <v/>
      </c>
      <c r="H1490" s="7" t="str">
        <f>IF(Notes!CF1486="","",Notes!CF1486)</f>
        <v/>
      </c>
      <c r="I1490" s="7"/>
      <c r="J1490" s="7"/>
      <c r="K1490" s="7"/>
    </row>
    <row r="1491" spans="1:11" x14ac:dyDescent="0.35">
      <c r="A1491" s="7" t="str">
        <f>IF(Notes!BY1487="","",Notes!BY1487)</f>
        <v/>
      </c>
      <c r="B1491" s="7" t="str">
        <f>IF(Notes!BZ1487="","",Notes!BZ1487)</f>
        <v/>
      </c>
      <c r="C1491" s="7" t="str">
        <f>IF(Notes!CA1487="","",Notes!CA1487)</f>
        <v/>
      </c>
      <c r="D1491" s="7" t="str">
        <f>IF(Notes!CB1487="","",Notes!CB1487)</f>
        <v/>
      </c>
      <c r="E1491" s="7" t="str">
        <f>IF(Notes!CC1487="","",Notes!CC1487)</f>
        <v/>
      </c>
      <c r="F1491" s="7" t="str">
        <f>IF(Notes!CD1487="","",Notes!CD1487)</f>
        <v/>
      </c>
      <c r="G1491" s="7" t="str">
        <f>IF(Notes!CE1487="","",Notes!CE1487)</f>
        <v/>
      </c>
      <c r="H1491" s="7" t="str">
        <f>IF(Notes!CF1487="","",Notes!CF1487)</f>
        <v/>
      </c>
      <c r="I1491" s="7"/>
      <c r="J1491" s="7"/>
      <c r="K1491" s="7"/>
    </row>
    <row r="1492" spans="1:11" x14ac:dyDescent="0.35">
      <c r="A1492" s="7" t="str">
        <f>IF(Notes!BY1488="","",Notes!BY1488)</f>
        <v/>
      </c>
      <c r="B1492" s="7" t="str">
        <f>IF(Notes!BZ1488="","",Notes!BZ1488)</f>
        <v/>
      </c>
      <c r="C1492" s="7" t="str">
        <f>IF(Notes!CA1488="","",Notes!CA1488)</f>
        <v/>
      </c>
      <c r="D1492" s="7" t="str">
        <f>IF(Notes!CB1488="","",Notes!CB1488)</f>
        <v/>
      </c>
      <c r="E1492" s="7" t="str">
        <f>IF(Notes!CC1488="","",Notes!CC1488)</f>
        <v/>
      </c>
      <c r="F1492" s="7" t="str">
        <f>IF(Notes!CD1488="","",Notes!CD1488)</f>
        <v/>
      </c>
      <c r="G1492" s="7" t="str">
        <f>IF(Notes!CE1488="","",Notes!CE1488)</f>
        <v/>
      </c>
      <c r="H1492" s="7" t="str">
        <f>IF(Notes!CF1488="","",Notes!CF1488)</f>
        <v/>
      </c>
      <c r="I1492" s="7"/>
      <c r="J1492" s="7"/>
      <c r="K1492" s="7"/>
    </row>
    <row r="1493" spans="1:11" x14ac:dyDescent="0.35">
      <c r="A1493" s="7" t="str">
        <f>IF(Notes!BY1489="","",Notes!BY1489)</f>
        <v/>
      </c>
      <c r="B1493" s="7" t="str">
        <f>IF(Notes!BZ1489="","",Notes!BZ1489)</f>
        <v/>
      </c>
      <c r="C1493" s="7" t="str">
        <f>IF(Notes!CA1489="","",Notes!CA1489)</f>
        <v/>
      </c>
      <c r="D1493" s="7" t="str">
        <f>IF(Notes!CB1489="","",Notes!CB1489)</f>
        <v/>
      </c>
      <c r="E1493" s="7" t="str">
        <f>IF(Notes!CC1489="","",Notes!CC1489)</f>
        <v/>
      </c>
      <c r="F1493" s="7" t="str">
        <f>IF(Notes!CD1489="","",Notes!CD1489)</f>
        <v/>
      </c>
      <c r="G1493" s="7" t="str">
        <f>IF(Notes!CE1489="","",Notes!CE1489)</f>
        <v/>
      </c>
      <c r="H1493" s="7" t="str">
        <f>IF(Notes!CF1489="","",Notes!CF1489)</f>
        <v/>
      </c>
      <c r="I1493" s="7"/>
      <c r="J1493" s="7"/>
      <c r="K1493" s="7"/>
    </row>
    <row r="1494" spans="1:11" x14ac:dyDescent="0.35">
      <c r="A1494" s="7" t="str">
        <f>IF(Notes!BY1490="","",Notes!BY1490)</f>
        <v/>
      </c>
      <c r="B1494" s="7" t="str">
        <f>IF(Notes!BZ1490="","",Notes!BZ1490)</f>
        <v/>
      </c>
      <c r="C1494" s="7" t="str">
        <f>IF(Notes!CA1490="","",Notes!CA1490)</f>
        <v/>
      </c>
      <c r="D1494" s="7" t="str">
        <f>IF(Notes!CB1490="","",Notes!CB1490)</f>
        <v/>
      </c>
      <c r="E1494" s="7" t="str">
        <f>IF(Notes!CC1490="","",Notes!CC1490)</f>
        <v/>
      </c>
      <c r="F1494" s="7" t="str">
        <f>IF(Notes!CD1490="","",Notes!CD1490)</f>
        <v/>
      </c>
      <c r="G1494" s="7" t="str">
        <f>IF(Notes!CE1490="","",Notes!CE1490)</f>
        <v/>
      </c>
      <c r="H1494" s="7" t="str">
        <f>IF(Notes!CF1490="","",Notes!CF1490)</f>
        <v/>
      </c>
      <c r="I1494" s="7"/>
      <c r="J1494" s="7"/>
      <c r="K1494" s="7"/>
    </row>
    <row r="1495" spans="1:11" x14ac:dyDescent="0.35">
      <c r="A1495" s="7" t="str">
        <f>IF(Notes!BY1491="","",Notes!BY1491)</f>
        <v/>
      </c>
      <c r="B1495" s="7" t="str">
        <f>IF(Notes!BZ1491="","",Notes!BZ1491)</f>
        <v/>
      </c>
      <c r="C1495" s="7" t="str">
        <f>IF(Notes!CA1491="","",Notes!CA1491)</f>
        <v/>
      </c>
      <c r="D1495" s="7" t="str">
        <f>IF(Notes!CB1491="","",Notes!CB1491)</f>
        <v/>
      </c>
      <c r="E1495" s="7" t="str">
        <f>IF(Notes!CC1491="","",Notes!CC1491)</f>
        <v/>
      </c>
      <c r="F1495" s="7" t="str">
        <f>IF(Notes!CD1491="","",Notes!CD1491)</f>
        <v/>
      </c>
      <c r="G1495" s="7" t="str">
        <f>IF(Notes!CE1491="","",Notes!CE1491)</f>
        <v/>
      </c>
      <c r="H1495" s="7" t="str">
        <f>IF(Notes!CF1491="","",Notes!CF1491)</f>
        <v/>
      </c>
      <c r="I1495" s="7"/>
      <c r="J1495" s="7"/>
      <c r="K1495" s="7"/>
    </row>
    <row r="1496" spans="1:11" x14ac:dyDescent="0.35">
      <c r="A1496" s="7" t="str">
        <f>IF(Notes!BY1492="","",Notes!BY1492)</f>
        <v/>
      </c>
      <c r="B1496" s="7" t="str">
        <f>IF(Notes!BZ1492="","",Notes!BZ1492)</f>
        <v/>
      </c>
      <c r="C1496" s="7" t="str">
        <f>IF(Notes!CA1492="","",Notes!CA1492)</f>
        <v/>
      </c>
      <c r="D1496" s="7" t="str">
        <f>IF(Notes!CB1492="","",Notes!CB1492)</f>
        <v/>
      </c>
      <c r="E1496" s="7" t="str">
        <f>IF(Notes!CC1492="","",Notes!CC1492)</f>
        <v/>
      </c>
      <c r="F1496" s="7" t="str">
        <f>IF(Notes!CD1492="","",Notes!CD1492)</f>
        <v/>
      </c>
      <c r="G1496" s="7" t="str">
        <f>IF(Notes!CE1492="","",Notes!CE1492)</f>
        <v/>
      </c>
      <c r="H1496" s="7" t="str">
        <f>IF(Notes!CF1492="","",Notes!CF1492)</f>
        <v/>
      </c>
      <c r="I1496" s="7"/>
      <c r="J1496" s="7"/>
      <c r="K1496" s="7"/>
    </row>
    <row r="1497" spans="1:11" x14ac:dyDescent="0.35">
      <c r="A1497" s="7" t="str">
        <f>IF(Notes!BY1493="","",Notes!BY1493)</f>
        <v/>
      </c>
      <c r="B1497" s="7" t="str">
        <f>IF(Notes!BZ1493="","",Notes!BZ1493)</f>
        <v/>
      </c>
      <c r="C1497" s="7" t="str">
        <f>IF(Notes!CA1493="","",Notes!CA1493)</f>
        <v/>
      </c>
      <c r="D1497" s="7" t="str">
        <f>IF(Notes!CB1493="","",Notes!CB1493)</f>
        <v/>
      </c>
      <c r="E1497" s="7" t="str">
        <f>IF(Notes!CC1493="","",Notes!CC1493)</f>
        <v/>
      </c>
      <c r="F1497" s="7" t="str">
        <f>IF(Notes!CD1493="","",Notes!CD1493)</f>
        <v/>
      </c>
      <c r="G1497" s="7" t="str">
        <f>IF(Notes!CE1493="","",Notes!CE1493)</f>
        <v/>
      </c>
      <c r="H1497" s="7" t="str">
        <f>IF(Notes!CF1493="","",Notes!CF1493)</f>
        <v/>
      </c>
      <c r="I1497" s="7"/>
      <c r="J1497" s="7"/>
      <c r="K1497" s="7"/>
    </row>
    <row r="1498" spans="1:11" x14ac:dyDescent="0.35">
      <c r="A1498" s="7" t="str">
        <f>IF(Notes!BY1494="","",Notes!BY1494)</f>
        <v/>
      </c>
      <c r="B1498" s="7" t="str">
        <f>IF(Notes!BZ1494="","",Notes!BZ1494)</f>
        <v/>
      </c>
      <c r="C1498" s="7" t="str">
        <f>IF(Notes!CA1494="","",Notes!CA1494)</f>
        <v/>
      </c>
      <c r="D1498" s="7" t="str">
        <f>IF(Notes!CB1494="","",Notes!CB1494)</f>
        <v/>
      </c>
      <c r="E1498" s="7" t="str">
        <f>IF(Notes!CC1494="","",Notes!CC1494)</f>
        <v/>
      </c>
      <c r="F1498" s="7" t="str">
        <f>IF(Notes!CD1494="","",Notes!CD1494)</f>
        <v/>
      </c>
      <c r="G1498" s="7" t="str">
        <f>IF(Notes!CE1494="","",Notes!CE1494)</f>
        <v/>
      </c>
      <c r="H1498" s="7" t="str">
        <f>IF(Notes!CF1494="","",Notes!CF1494)</f>
        <v/>
      </c>
      <c r="I1498" s="7"/>
      <c r="J1498" s="7"/>
      <c r="K1498" s="7"/>
    </row>
    <row r="1499" spans="1:11" x14ac:dyDescent="0.35">
      <c r="A1499" s="7" t="str">
        <f>IF(Notes!BY1495="","",Notes!BY1495)</f>
        <v/>
      </c>
      <c r="B1499" s="7" t="str">
        <f>IF(Notes!BZ1495="","",Notes!BZ1495)</f>
        <v/>
      </c>
      <c r="C1499" s="7" t="str">
        <f>IF(Notes!CA1495="","",Notes!CA1495)</f>
        <v/>
      </c>
      <c r="D1499" s="7" t="str">
        <f>IF(Notes!CB1495="","",Notes!CB1495)</f>
        <v/>
      </c>
      <c r="E1499" s="7" t="str">
        <f>IF(Notes!CC1495="","",Notes!CC1495)</f>
        <v/>
      </c>
      <c r="F1499" s="7" t="str">
        <f>IF(Notes!CD1495="","",Notes!CD1495)</f>
        <v/>
      </c>
      <c r="G1499" s="7" t="str">
        <f>IF(Notes!CE1495="","",Notes!CE1495)</f>
        <v/>
      </c>
      <c r="H1499" s="7" t="str">
        <f>IF(Notes!CF1495="","",Notes!CF1495)</f>
        <v/>
      </c>
      <c r="I1499" s="7"/>
      <c r="J1499" s="7"/>
      <c r="K1499" s="7"/>
    </row>
    <row r="1500" spans="1:11" x14ac:dyDescent="0.35">
      <c r="A1500" s="7" t="str">
        <f>IF(Notes!BY1496="","",Notes!BY1496)</f>
        <v/>
      </c>
      <c r="B1500" s="7" t="str">
        <f>IF(Notes!BZ1496="","",Notes!BZ1496)</f>
        <v/>
      </c>
      <c r="C1500" s="7" t="str">
        <f>IF(Notes!CA1496="","",Notes!CA1496)</f>
        <v/>
      </c>
      <c r="D1500" s="7" t="str">
        <f>IF(Notes!CB1496="","",Notes!CB1496)</f>
        <v/>
      </c>
      <c r="E1500" s="7" t="str">
        <f>IF(Notes!CC1496="","",Notes!CC1496)</f>
        <v/>
      </c>
      <c r="F1500" s="7" t="str">
        <f>IF(Notes!CD1496="","",Notes!CD1496)</f>
        <v/>
      </c>
      <c r="G1500" s="7" t="str">
        <f>IF(Notes!CE1496="","",Notes!CE1496)</f>
        <v/>
      </c>
      <c r="H1500" s="7" t="str">
        <f>IF(Notes!CF1496="","",Notes!CF1496)</f>
        <v/>
      </c>
      <c r="I1500" s="7"/>
      <c r="J1500" s="7"/>
      <c r="K1500" s="7"/>
    </row>
    <row r="1501" spans="1:11" x14ac:dyDescent="0.35">
      <c r="A1501" s="7" t="str">
        <f>IF(Notes!BY1497="","",Notes!BY1497)</f>
        <v/>
      </c>
      <c r="B1501" s="7" t="str">
        <f>IF(Notes!BZ1497="","",Notes!BZ1497)</f>
        <v/>
      </c>
      <c r="C1501" s="7" t="str">
        <f>IF(Notes!CA1497="","",Notes!CA1497)</f>
        <v/>
      </c>
      <c r="D1501" s="7" t="str">
        <f>IF(Notes!CB1497="","",Notes!CB1497)</f>
        <v/>
      </c>
      <c r="E1501" s="7" t="str">
        <f>IF(Notes!CC1497="","",Notes!CC1497)</f>
        <v/>
      </c>
      <c r="F1501" s="7" t="str">
        <f>IF(Notes!CD1497="","",Notes!CD1497)</f>
        <v/>
      </c>
      <c r="G1501" s="7" t="str">
        <f>IF(Notes!CE1497="","",Notes!CE1497)</f>
        <v/>
      </c>
      <c r="H1501" s="7" t="str">
        <f>IF(Notes!CF1497="","",Notes!CF1497)</f>
        <v/>
      </c>
      <c r="I1501" s="7"/>
      <c r="J1501" s="7"/>
      <c r="K1501" s="7"/>
    </row>
    <row r="1502" spans="1:11" x14ac:dyDescent="0.35">
      <c r="A1502" s="7" t="str">
        <f>IF(Notes!BY1498="","",Notes!BY1498)</f>
        <v/>
      </c>
      <c r="B1502" s="7" t="str">
        <f>IF(Notes!BZ1498="","",Notes!BZ1498)</f>
        <v/>
      </c>
      <c r="C1502" s="7" t="str">
        <f>IF(Notes!CA1498="","",Notes!CA1498)</f>
        <v/>
      </c>
      <c r="D1502" s="7" t="str">
        <f>IF(Notes!CB1498="","",Notes!CB1498)</f>
        <v/>
      </c>
      <c r="E1502" s="7" t="str">
        <f>IF(Notes!CC1498="","",Notes!CC1498)</f>
        <v/>
      </c>
      <c r="F1502" s="7" t="str">
        <f>IF(Notes!CD1498="","",Notes!CD1498)</f>
        <v/>
      </c>
      <c r="G1502" s="7" t="str">
        <f>IF(Notes!CE1498="","",Notes!CE1498)</f>
        <v/>
      </c>
      <c r="H1502" s="7" t="str">
        <f>IF(Notes!CF1498="","",Notes!CF1498)</f>
        <v/>
      </c>
      <c r="I1502" s="7"/>
      <c r="J1502" s="7"/>
      <c r="K1502" s="7"/>
    </row>
    <row r="1503" spans="1:11" x14ac:dyDescent="0.35">
      <c r="A1503" s="7" t="str">
        <f>IF(Notes!BY1499="","",Notes!BY1499)</f>
        <v/>
      </c>
      <c r="B1503" s="7" t="str">
        <f>IF(Notes!BZ1499="","",Notes!BZ1499)</f>
        <v/>
      </c>
      <c r="C1503" s="7" t="str">
        <f>IF(Notes!CA1499="","",Notes!CA1499)</f>
        <v/>
      </c>
      <c r="D1503" s="7" t="str">
        <f>IF(Notes!CB1499="","",Notes!CB1499)</f>
        <v/>
      </c>
      <c r="E1503" s="7" t="str">
        <f>IF(Notes!CC1499="","",Notes!CC1499)</f>
        <v/>
      </c>
      <c r="F1503" s="7" t="str">
        <f>IF(Notes!CD1499="","",Notes!CD1499)</f>
        <v/>
      </c>
      <c r="G1503" s="7" t="str">
        <f>IF(Notes!CE1499="","",Notes!CE1499)</f>
        <v/>
      </c>
      <c r="H1503" s="7" t="str">
        <f>IF(Notes!CF1499="","",Notes!CF1499)</f>
        <v/>
      </c>
      <c r="I1503" s="7"/>
      <c r="J1503" s="7"/>
      <c r="K1503" s="7"/>
    </row>
    <row r="1504" spans="1:11" x14ac:dyDescent="0.35">
      <c r="A1504" s="7" t="str">
        <f>IF(Notes!BY1500="","",Notes!BY1500)</f>
        <v/>
      </c>
      <c r="B1504" s="7" t="str">
        <f>IF(Notes!BZ1500="","",Notes!BZ1500)</f>
        <v/>
      </c>
      <c r="C1504" s="7" t="str">
        <f>IF(Notes!CA1500="","",Notes!CA1500)</f>
        <v/>
      </c>
      <c r="D1504" s="7" t="str">
        <f>IF(Notes!CB1500="","",Notes!CB1500)</f>
        <v/>
      </c>
      <c r="E1504" s="7" t="str">
        <f>IF(Notes!CC1500="","",Notes!CC1500)</f>
        <v/>
      </c>
      <c r="F1504" s="7" t="str">
        <f>IF(Notes!CD1500="","",Notes!CD1500)</f>
        <v/>
      </c>
      <c r="G1504" s="7" t="str">
        <f>IF(Notes!CE1500="","",Notes!CE1500)</f>
        <v/>
      </c>
      <c r="H1504" s="7" t="str">
        <f>IF(Notes!CF1500="","",Notes!CF1500)</f>
        <v/>
      </c>
      <c r="I1504" s="7"/>
      <c r="J1504" s="7"/>
      <c r="K1504" s="7"/>
    </row>
    <row r="1505" spans="1:11" x14ac:dyDescent="0.35">
      <c r="A1505" s="7" t="str">
        <f>IF(Notes!BY1501="","",Notes!BY1501)</f>
        <v/>
      </c>
      <c r="B1505" s="7" t="str">
        <f>IF(Notes!BZ1501="","",Notes!BZ1501)</f>
        <v/>
      </c>
      <c r="C1505" s="7" t="str">
        <f>IF(Notes!CA1501="","",Notes!CA1501)</f>
        <v/>
      </c>
      <c r="D1505" s="7" t="str">
        <f>IF(Notes!CB1501="","",Notes!CB1501)</f>
        <v/>
      </c>
      <c r="E1505" s="7" t="str">
        <f>IF(Notes!CC1501="","",Notes!CC1501)</f>
        <v/>
      </c>
      <c r="F1505" s="7" t="str">
        <f>IF(Notes!CD1501="","",Notes!CD1501)</f>
        <v/>
      </c>
      <c r="G1505" s="7" t="str">
        <f>IF(Notes!CE1501="","",Notes!CE1501)</f>
        <v/>
      </c>
      <c r="H1505" s="7" t="str">
        <f>IF(Notes!CF1501="","",Notes!CF1501)</f>
        <v/>
      </c>
      <c r="I1505" s="7"/>
      <c r="J1505" s="7"/>
      <c r="K1505" s="7"/>
    </row>
    <row r="1506" spans="1:11" x14ac:dyDescent="0.35">
      <c r="A1506" s="7" t="str">
        <f>IF(Notes!BY1502="","",Notes!BY1502)</f>
        <v/>
      </c>
      <c r="B1506" s="7" t="str">
        <f>IF(Notes!BZ1502="","",Notes!BZ1502)</f>
        <v/>
      </c>
      <c r="C1506" s="7" t="str">
        <f>IF(Notes!CA1502="","",Notes!CA1502)</f>
        <v/>
      </c>
      <c r="D1506" s="7" t="str">
        <f>IF(Notes!CB1502="","",Notes!CB1502)</f>
        <v/>
      </c>
      <c r="E1506" s="7" t="str">
        <f>IF(Notes!CC1502="","",Notes!CC1502)</f>
        <v/>
      </c>
      <c r="F1506" s="7" t="str">
        <f>IF(Notes!CD1502="","",Notes!CD1502)</f>
        <v/>
      </c>
      <c r="G1506" s="7" t="str">
        <f>IF(Notes!CE1502="","",Notes!CE1502)</f>
        <v/>
      </c>
      <c r="H1506" s="7" t="str">
        <f>IF(Notes!CF1502="","",Notes!CF1502)</f>
        <v/>
      </c>
      <c r="I1506" s="7"/>
      <c r="J1506" s="7"/>
      <c r="K1506" s="7"/>
    </row>
    <row r="1507" spans="1:11" x14ac:dyDescent="0.35">
      <c r="A1507" s="7" t="str">
        <f>IF(Notes!BY1503="","",Notes!BY1503)</f>
        <v/>
      </c>
      <c r="B1507" s="7" t="str">
        <f>IF(Notes!BZ1503="","",Notes!BZ1503)</f>
        <v/>
      </c>
      <c r="C1507" s="7" t="str">
        <f>IF(Notes!CA1503="","",Notes!CA1503)</f>
        <v/>
      </c>
      <c r="D1507" s="7" t="str">
        <f>IF(Notes!CB1503="","",Notes!CB1503)</f>
        <v/>
      </c>
      <c r="E1507" s="7" t="str">
        <f>IF(Notes!CC1503="","",Notes!CC1503)</f>
        <v/>
      </c>
      <c r="F1507" s="7" t="str">
        <f>IF(Notes!CD1503="","",Notes!CD1503)</f>
        <v/>
      </c>
      <c r="G1507" s="7" t="str">
        <f>IF(Notes!CE1503="","",Notes!CE1503)</f>
        <v/>
      </c>
      <c r="H1507" s="7" t="str">
        <f>IF(Notes!CF1503="","",Notes!CF1503)</f>
        <v/>
      </c>
      <c r="I1507" s="7"/>
      <c r="J1507" s="7"/>
      <c r="K1507" s="7"/>
    </row>
    <row r="1508" spans="1:11" x14ac:dyDescent="0.35">
      <c r="A1508" s="7" t="str">
        <f>IF(Notes!BY1504="","",Notes!BY1504)</f>
        <v/>
      </c>
      <c r="B1508" s="7" t="str">
        <f>IF(Notes!BZ1504="","",Notes!BZ1504)</f>
        <v/>
      </c>
      <c r="C1508" s="7" t="str">
        <f>IF(Notes!CA1504="","",Notes!CA1504)</f>
        <v/>
      </c>
      <c r="D1508" s="7" t="str">
        <f>IF(Notes!CB1504="","",Notes!CB1504)</f>
        <v/>
      </c>
      <c r="E1508" s="7" t="str">
        <f>IF(Notes!CC1504="","",Notes!CC1504)</f>
        <v/>
      </c>
      <c r="F1508" s="7" t="str">
        <f>IF(Notes!CD1504="","",Notes!CD1504)</f>
        <v/>
      </c>
      <c r="G1508" s="7" t="str">
        <f>IF(Notes!CE1504="","",Notes!CE1504)</f>
        <v/>
      </c>
      <c r="H1508" s="7" t="str">
        <f>IF(Notes!CF1504="","",Notes!CF1504)</f>
        <v/>
      </c>
      <c r="I1508" s="7"/>
      <c r="J1508" s="7"/>
      <c r="K1508" s="7"/>
    </row>
    <row r="1509" spans="1:11" x14ac:dyDescent="0.35">
      <c r="A1509" s="7" t="str">
        <f>IF(Notes!BY1505="","",Notes!BY1505)</f>
        <v/>
      </c>
      <c r="B1509" s="7" t="str">
        <f>IF(Notes!BZ1505="","",Notes!BZ1505)</f>
        <v/>
      </c>
      <c r="C1509" s="7" t="str">
        <f>IF(Notes!CA1505="","",Notes!CA1505)</f>
        <v/>
      </c>
      <c r="D1509" s="7" t="str">
        <f>IF(Notes!CB1505="","",Notes!CB1505)</f>
        <v/>
      </c>
      <c r="E1509" s="7" t="str">
        <f>IF(Notes!CC1505="","",Notes!CC1505)</f>
        <v/>
      </c>
      <c r="F1509" s="7" t="str">
        <f>IF(Notes!CD1505="","",Notes!CD1505)</f>
        <v/>
      </c>
      <c r="G1509" s="7" t="str">
        <f>IF(Notes!CE1505="","",Notes!CE1505)</f>
        <v/>
      </c>
      <c r="H1509" s="7" t="str">
        <f>IF(Notes!CF1505="","",Notes!CF1505)</f>
        <v/>
      </c>
      <c r="I1509" s="7"/>
      <c r="J1509" s="7"/>
      <c r="K1509" s="7"/>
    </row>
    <row r="1510" spans="1:11" x14ac:dyDescent="0.35">
      <c r="A1510" s="7" t="str">
        <f>IF(Notes!BY1506="","",Notes!BY1506)</f>
        <v/>
      </c>
      <c r="B1510" s="7" t="str">
        <f>IF(Notes!BZ1506="","",Notes!BZ1506)</f>
        <v/>
      </c>
      <c r="C1510" s="7" t="str">
        <f>IF(Notes!CA1506="","",Notes!CA1506)</f>
        <v/>
      </c>
      <c r="D1510" s="7" t="str">
        <f>IF(Notes!CB1506="","",Notes!CB1506)</f>
        <v/>
      </c>
      <c r="E1510" s="7" t="str">
        <f>IF(Notes!CC1506="","",Notes!CC1506)</f>
        <v/>
      </c>
      <c r="F1510" s="7" t="str">
        <f>IF(Notes!CD1506="","",Notes!CD1506)</f>
        <v/>
      </c>
      <c r="G1510" s="7" t="str">
        <f>IF(Notes!CE1506="","",Notes!CE1506)</f>
        <v/>
      </c>
      <c r="H1510" s="7" t="str">
        <f>IF(Notes!CF1506="","",Notes!CF1506)</f>
        <v/>
      </c>
      <c r="I1510" s="7"/>
      <c r="J1510" s="7"/>
      <c r="K1510" s="7"/>
    </row>
    <row r="1511" spans="1:11" x14ac:dyDescent="0.35">
      <c r="A1511" s="7" t="str">
        <f>IF(Notes!BY1507="","",Notes!BY1507)</f>
        <v/>
      </c>
      <c r="B1511" s="7" t="str">
        <f>IF(Notes!BZ1507="","",Notes!BZ1507)</f>
        <v/>
      </c>
      <c r="C1511" s="7" t="str">
        <f>IF(Notes!CA1507="","",Notes!CA1507)</f>
        <v/>
      </c>
      <c r="D1511" s="7" t="str">
        <f>IF(Notes!CB1507="","",Notes!CB1507)</f>
        <v/>
      </c>
      <c r="E1511" s="7" t="str">
        <f>IF(Notes!CC1507="","",Notes!CC1507)</f>
        <v/>
      </c>
      <c r="F1511" s="7" t="str">
        <f>IF(Notes!CD1507="","",Notes!CD1507)</f>
        <v/>
      </c>
      <c r="G1511" s="7" t="str">
        <f>IF(Notes!CE1507="","",Notes!CE1507)</f>
        <v/>
      </c>
      <c r="H1511" s="7" t="str">
        <f>IF(Notes!CF1507="","",Notes!CF1507)</f>
        <v/>
      </c>
      <c r="I1511" s="7"/>
      <c r="J1511" s="7"/>
      <c r="K1511" s="7"/>
    </row>
    <row r="1512" spans="1:11" x14ac:dyDescent="0.35">
      <c r="A1512" s="7" t="str">
        <f>IF(Notes!BY1508="","",Notes!BY1508)</f>
        <v/>
      </c>
      <c r="B1512" s="7" t="str">
        <f>IF(Notes!BZ1508="","",Notes!BZ1508)</f>
        <v/>
      </c>
      <c r="C1512" s="7" t="str">
        <f>IF(Notes!CA1508="","",Notes!CA1508)</f>
        <v/>
      </c>
      <c r="D1512" s="7" t="str">
        <f>IF(Notes!CB1508="","",Notes!CB1508)</f>
        <v/>
      </c>
      <c r="E1512" s="7" t="str">
        <f>IF(Notes!CC1508="","",Notes!CC1508)</f>
        <v/>
      </c>
      <c r="F1512" s="7" t="str">
        <f>IF(Notes!CD1508="","",Notes!CD1508)</f>
        <v/>
      </c>
      <c r="G1512" s="7" t="str">
        <f>IF(Notes!CE1508="","",Notes!CE1508)</f>
        <v/>
      </c>
      <c r="H1512" s="7" t="str">
        <f>IF(Notes!CF1508="","",Notes!CF1508)</f>
        <v/>
      </c>
      <c r="I1512" s="7"/>
      <c r="J1512" s="7"/>
      <c r="K1512" s="7"/>
    </row>
    <row r="1513" spans="1:11" x14ac:dyDescent="0.35">
      <c r="A1513" s="7" t="str">
        <f>IF(Notes!BY1509="","",Notes!BY1509)</f>
        <v/>
      </c>
      <c r="B1513" s="7" t="str">
        <f>IF(Notes!BZ1509="","",Notes!BZ1509)</f>
        <v/>
      </c>
      <c r="C1513" s="7" t="str">
        <f>IF(Notes!CA1509="","",Notes!CA1509)</f>
        <v/>
      </c>
      <c r="D1513" s="7" t="str">
        <f>IF(Notes!CB1509="","",Notes!CB1509)</f>
        <v/>
      </c>
      <c r="E1513" s="7" t="str">
        <f>IF(Notes!CC1509="","",Notes!CC1509)</f>
        <v/>
      </c>
      <c r="F1513" s="7" t="str">
        <f>IF(Notes!CD1509="","",Notes!CD1509)</f>
        <v/>
      </c>
      <c r="G1513" s="7" t="str">
        <f>IF(Notes!CE1509="","",Notes!CE1509)</f>
        <v/>
      </c>
      <c r="H1513" s="7" t="str">
        <f>IF(Notes!CF1509="","",Notes!CF1509)</f>
        <v/>
      </c>
      <c r="I1513" s="7"/>
      <c r="J1513" s="7"/>
      <c r="K1513" s="7"/>
    </row>
    <row r="1514" spans="1:11" x14ac:dyDescent="0.35">
      <c r="A1514" s="7" t="str">
        <f>IF(Notes!BY1510="","",Notes!BY1510)</f>
        <v/>
      </c>
      <c r="B1514" s="7" t="str">
        <f>IF(Notes!BZ1510="","",Notes!BZ1510)</f>
        <v/>
      </c>
      <c r="C1514" s="7" t="str">
        <f>IF(Notes!CA1510="","",Notes!CA1510)</f>
        <v/>
      </c>
      <c r="D1514" s="7" t="str">
        <f>IF(Notes!CB1510="","",Notes!CB1510)</f>
        <v/>
      </c>
      <c r="E1514" s="7" t="str">
        <f>IF(Notes!CC1510="","",Notes!CC1510)</f>
        <v/>
      </c>
      <c r="F1514" s="7" t="str">
        <f>IF(Notes!CD1510="","",Notes!CD1510)</f>
        <v/>
      </c>
      <c r="G1514" s="7" t="str">
        <f>IF(Notes!CE1510="","",Notes!CE1510)</f>
        <v/>
      </c>
      <c r="H1514" s="7" t="str">
        <f>IF(Notes!CF1510="","",Notes!CF1510)</f>
        <v/>
      </c>
      <c r="I1514" s="7"/>
      <c r="J1514" s="7"/>
      <c r="K1514" s="7"/>
    </row>
    <row r="1515" spans="1:11" x14ac:dyDescent="0.35">
      <c r="A1515" s="7" t="str">
        <f>IF(Notes!BY1511="","",Notes!BY1511)</f>
        <v/>
      </c>
      <c r="B1515" s="7" t="str">
        <f>IF(Notes!BZ1511="","",Notes!BZ1511)</f>
        <v/>
      </c>
      <c r="C1515" s="7" t="str">
        <f>IF(Notes!CA1511="","",Notes!CA1511)</f>
        <v/>
      </c>
      <c r="D1515" s="7" t="str">
        <f>IF(Notes!CB1511="","",Notes!CB1511)</f>
        <v/>
      </c>
      <c r="E1515" s="7" t="str">
        <f>IF(Notes!CC1511="","",Notes!CC1511)</f>
        <v/>
      </c>
      <c r="F1515" s="7" t="str">
        <f>IF(Notes!CD1511="","",Notes!CD1511)</f>
        <v/>
      </c>
      <c r="G1515" s="7" t="str">
        <f>IF(Notes!CE1511="","",Notes!CE1511)</f>
        <v/>
      </c>
      <c r="H1515" s="7" t="str">
        <f>IF(Notes!CF1511="","",Notes!CF1511)</f>
        <v/>
      </c>
      <c r="I1515" s="7"/>
      <c r="J1515" s="7"/>
      <c r="K1515" s="7"/>
    </row>
    <row r="1516" spans="1:11" x14ac:dyDescent="0.35">
      <c r="A1516" s="7" t="str">
        <f>IF(Notes!BY1512="","",Notes!BY1512)</f>
        <v/>
      </c>
      <c r="B1516" s="7" t="str">
        <f>IF(Notes!BZ1512="","",Notes!BZ1512)</f>
        <v/>
      </c>
      <c r="C1516" s="7" t="str">
        <f>IF(Notes!CA1512="","",Notes!CA1512)</f>
        <v/>
      </c>
      <c r="D1516" s="7" t="str">
        <f>IF(Notes!CB1512="","",Notes!CB1512)</f>
        <v/>
      </c>
      <c r="E1516" s="7" t="str">
        <f>IF(Notes!CC1512="","",Notes!CC1512)</f>
        <v/>
      </c>
      <c r="F1516" s="7" t="str">
        <f>IF(Notes!CD1512="","",Notes!CD1512)</f>
        <v/>
      </c>
      <c r="G1516" s="7" t="str">
        <f>IF(Notes!CE1512="","",Notes!CE1512)</f>
        <v/>
      </c>
      <c r="H1516" s="7" t="str">
        <f>IF(Notes!CF1512="","",Notes!CF1512)</f>
        <v/>
      </c>
      <c r="I1516" s="7"/>
      <c r="J1516" s="7"/>
      <c r="K1516" s="7"/>
    </row>
    <row r="1517" spans="1:11" x14ac:dyDescent="0.35">
      <c r="A1517" s="7" t="str">
        <f>IF(Notes!BY1513="","",Notes!BY1513)</f>
        <v/>
      </c>
      <c r="B1517" s="7" t="str">
        <f>IF(Notes!BZ1513="","",Notes!BZ1513)</f>
        <v/>
      </c>
      <c r="C1517" s="7" t="str">
        <f>IF(Notes!CA1513="","",Notes!CA1513)</f>
        <v/>
      </c>
      <c r="D1517" s="7" t="str">
        <f>IF(Notes!CB1513="","",Notes!CB1513)</f>
        <v/>
      </c>
      <c r="E1517" s="7" t="str">
        <f>IF(Notes!CC1513="","",Notes!CC1513)</f>
        <v/>
      </c>
      <c r="F1517" s="7" t="str">
        <f>IF(Notes!CD1513="","",Notes!CD1513)</f>
        <v/>
      </c>
      <c r="G1517" s="7" t="str">
        <f>IF(Notes!CE1513="","",Notes!CE1513)</f>
        <v/>
      </c>
      <c r="H1517" s="7" t="str">
        <f>IF(Notes!CF1513="","",Notes!CF1513)</f>
        <v/>
      </c>
      <c r="I1517" s="7"/>
      <c r="J1517" s="7"/>
      <c r="K1517" s="7"/>
    </row>
    <row r="1518" spans="1:11" x14ac:dyDescent="0.35">
      <c r="A1518" s="7" t="str">
        <f>IF(Notes!BY1514="","",Notes!BY1514)</f>
        <v/>
      </c>
      <c r="B1518" s="7" t="str">
        <f>IF(Notes!BZ1514="","",Notes!BZ1514)</f>
        <v/>
      </c>
      <c r="C1518" s="7" t="str">
        <f>IF(Notes!CA1514="","",Notes!CA1514)</f>
        <v/>
      </c>
      <c r="D1518" s="7" t="str">
        <f>IF(Notes!CB1514="","",Notes!CB1514)</f>
        <v/>
      </c>
      <c r="E1518" s="7" t="str">
        <f>IF(Notes!CC1514="","",Notes!CC1514)</f>
        <v/>
      </c>
      <c r="F1518" s="7" t="str">
        <f>IF(Notes!CD1514="","",Notes!CD1514)</f>
        <v/>
      </c>
      <c r="G1518" s="7" t="str">
        <f>IF(Notes!CE1514="","",Notes!CE1514)</f>
        <v/>
      </c>
      <c r="H1518" s="7" t="str">
        <f>IF(Notes!CF1514="","",Notes!CF1514)</f>
        <v/>
      </c>
      <c r="I1518" s="7"/>
      <c r="J1518" s="7"/>
      <c r="K1518" s="7"/>
    </row>
    <row r="1519" spans="1:11" x14ac:dyDescent="0.35">
      <c r="A1519" s="7" t="str">
        <f>IF(Notes!BY1515="","",Notes!BY1515)</f>
        <v/>
      </c>
      <c r="B1519" s="7" t="str">
        <f>IF(Notes!BZ1515="","",Notes!BZ1515)</f>
        <v/>
      </c>
      <c r="C1519" s="7" t="str">
        <f>IF(Notes!CA1515="","",Notes!CA1515)</f>
        <v/>
      </c>
      <c r="D1519" s="7" t="str">
        <f>IF(Notes!CB1515="","",Notes!CB1515)</f>
        <v/>
      </c>
      <c r="E1519" s="7" t="str">
        <f>IF(Notes!CC1515="","",Notes!CC1515)</f>
        <v/>
      </c>
      <c r="F1519" s="7" t="str">
        <f>IF(Notes!CD1515="","",Notes!CD1515)</f>
        <v/>
      </c>
      <c r="G1519" s="7" t="str">
        <f>IF(Notes!CE1515="","",Notes!CE1515)</f>
        <v/>
      </c>
      <c r="H1519" s="7" t="str">
        <f>IF(Notes!CF1515="","",Notes!CF1515)</f>
        <v/>
      </c>
      <c r="I1519" s="7"/>
      <c r="J1519" s="7"/>
      <c r="K1519" s="7"/>
    </row>
    <row r="1520" spans="1:11" x14ac:dyDescent="0.35">
      <c r="A1520" s="7" t="str">
        <f>IF(Notes!BY1516="","",Notes!BY1516)</f>
        <v/>
      </c>
      <c r="B1520" s="7" t="str">
        <f>IF(Notes!BZ1516="","",Notes!BZ1516)</f>
        <v/>
      </c>
      <c r="C1520" s="7" t="str">
        <f>IF(Notes!CA1516="","",Notes!CA1516)</f>
        <v/>
      </c>
      <c r="D1520" s="7" t="str">
        <f>IF(Notes!CB1516="","",Notes!CB1516)</f>
        <v/>
      </c>
      <c r="E1520" s="7" t="str">
        <f>IF(Notes!CC1516="","",Notes!CC1516)</f>
        <v/>
      </c>
      <c r="F1520" s="7" t="str">
        <f>IF(Notes!CD1516="","",Notes!CD1516)</f>
        <v/>
      </c>
      <c r="G1520" s="7" t="str">
        <f>IF(Notes!CE1516="","",Notes!CE1516)</f>
        <v/>
      </c>
      <c r="H1520" s="7" t="str">
        <f>IF(Notes!CF1516="","",Notes!CF1516)</f>
        <v/>
      </c>
      <c r="I1520" s="7"/>
      <c r="J1520" s="7"/>
      <c r="K1520" s="7"/>
    </row>
    <row r="1521" spans="1:11" x14ac:dyDescent="0.35">
      <c r="A1521" s="7" t="str">
        <f>IF(Notes!BY1517="","",Notes!BY1517)</f>
        <v/>
      </c>
      <c r="B1521" s="7" t="str">
        <f>IF(Notes!BZ1517="","",Notes!BZ1517)</f>
        <v/>
      </c>
      <c r="C1521" s="7" t="str">
        <f>IF(Notes!CA1517="","",Notes!CA1517)</f>
        <v/>
      </c>
      <c r="D1521" s="7" t="str">
        <f>IF(Notes!CB1517="","",Notes!CB1517)</f>
        <v/>
      </c>
      <c r="E1521" s="7" t="str">
        <f>IF(Notes!CC1517="","",Notes!CC1517)</f>
        <v/>
      </c>
      <c r="F1521" s="7" t="str">
        <f>IF(Notes!CD1517="","",Notes!CD1517)</f>
        <v/>
      </c>
      <c r="G1521" s="7" t="str">
        <f>IF(Notes!CE1517="","",Notes!CE1517)</f>
        <v/>
      </c>
      <c r="H1521" s="7" t="str">
        <f>IF(Notes!CF1517="","",Notes!CF1517)</f>
        <v/>
      </c>
      <c r="I1521" s="7"/>
      <c r="J1521" s="7"/>
      <c r="K1521" s="7"/>
    </row>
    <row r="1522" spans="1:11" x14ac:dyDescent="0.35">
      <c r="A1522" s="7" t="str">
        <f>IF(Notes!BY1518="","",Notes!BY1518)</f>
        <v/>
      </c>
      <c r="B1522" s="7" t="str">
        <f>IF(Notes!BZ1518="","",Notes!BZ1518)</f>
        <v/>
      </c>
      <c r="C1522" s="7" t="str">
        <f>IF(Notes!CA1518="","",Notes!CA1518)</f>
        <v/>
      </c>
      <c r="D1522" s="7" t="str">
        <f>IF(Notes!CB1518="","",Notes!CB1518)</f>
        <v/>
      </c>
      <c r="E1522" s="7" t="str">
        <f>IF(Notes!CC1518="","",Notes!CC1518)</f>
        <v/>
      </c>
      <c r="F1522" s="7" t="str">
        <f>IF(Notes!CD1518="","",Notes!CD1518)</f>
        <v/>
      </c>
      <c r="G1522" s="7" t="str">
        <f>IF(Notes!CE1518="","",Notes!CE1518)</f>
        <v/>
      </c>
      <c r="H1522" s="7" t="str">
        <f>IF(Notes!CF1518="","",Notes!CF1518)</f>
        <v/>
      </c>
      <c r="I1522" s="7"/>
      <c r="J1522" s="7"/>
      <c r="K1522" s="7"/>
    </row>
    <row r="1523" spans="1:11" x14ac:dyDescent="0.35">
      <c r="A1523" s="7" t="str">
        <f>IF(Notes!BY1519="","",Notes!BY1519)</f>
        <v/>
      </c>
      <c r="B1523" s="7" t="str">
        <f>IF(Notes!BZ1519="","",Notes!BZ1519)</f>
        <v/>
      </c>
      <c r="C1523" s="7" t="str">
        <f>IF(Notes!CA1519="","",Notes!CA1519)</f>
        <v/>
      </c>
      <c r="D1523" s="7" t="str">
        <f>IF(Notes!CB1519="","",Notes!CB1519)</f>
        <v/>
      </c>
      <c r="E1523" s="7" t="str">
        <f>IF(Notes!CC1519="","",Notes!CC1519)</f>
        <v/>
      </c>
      <c r="F1523" s="7" t="str">
        <f>IF(Notes!CD1519="","",Notes!CD1519)</f>
        <v/>
      </c>
      <c r="G1523" s="7" t="str">
        <f>IF(Notes!CE1519="","",Notes!CE1519)</f>
        <v/>
      </c>
      <c r="H1523" s="7" t="str">
        <f>IF(Notes!CF1519="","",Notes!CF1519)</f>
        <v/>
      </c>
      <c r="I1523" s="7"/>
      <c r="J1523" s="7"/>
      <c r="K1523" s="7"/>
    </row>
    <row r="1524" spans="1:11" x14ac:dyDescent="0.35">
      <c r="A1524" s="7" t="str">
        <f>IF(Notes!BY1520="","",Notes!BY1520)</f>
        <v/>
      </c>
      <c r="B1524" s="7" t="str">
        <f>IF(Notes!BZ1520="","",Notes!BZ1520)</f>
        <v/>
      </c>
      <c r="C1524" s="7" t="str">
        <f>IF(Notes!CA1520="","",Notes!CA1520)</f>
        <v/>
      </c>
      <c r="D1524" s="7" t="str">
        <f>IF(Notes!CB1520="","",Notes!CB1520)</f>
        <v/>
      </c>
      <c r="E1524" s="7" t="str">
        <f>IF(Notes!CC1520="","",Notes!CC1520)</f>
        <v/>
      </c>
      <c r="F1524" s="7" t="str">
        <f>IF(Notes!CD1520="","",Notes!CD1520)</f>
        <v/>
      </c>
      <c r="G1524" s="7" t="str">
        <f>IF(Notes!CE1520="","",Notes!CE1520)</f>
        <v/>
      </c>
      <c r="H1524" s="7" t="str">
        <f>IF(Notes!CF1520="","",Notes!CF1520)</f>
        <v/>
      </c>
      <c r="I1524" s="7"/>
      <c r="J1524" s="7"/>
      <c r="K1524" s="7"/>
    </row>
    <row r="1525" spans="1:11" x14ac:dyDescent="0.35">
      <c r="A1525" s="7" t="str">
        <f>IF(Notes!BY1521="","",Notes!BY1521)</f>
        <v/>
      </c>
      <c r="B1525" s="7" t="str">
        <f>IF(Notes!BZ1521="","",Notes!BZ1521)</f>
        <v/>
      </c>
      <c r="C1525" s="7" t="str">
        <f>IF(Notes!CA1521="","",Notes!CA1521)</f>
        <v/>
      </c>
      <c r="D1525" s="7" t="str">
        <f>IF(Notes!CB1521="","",Notes!CB1521)</f>
        <v/>
      </c>
      <c r="E1525" s="7" t="str">
        <f>IF(Notes!CC1521="","",Notes!CC1521)</f>
        <v/>
      </c>
      <c r="F1525" s="7" t="str">
        <f>IF(Notes!CD1521="","",Notes!CD1521)</f>
        <v/>
      </c>
      <c r="G1525" s="7" t="str">
        <f>IF(Notes!CE1521="","",Notes!CE1521)</f>
        <v/>
      </c>
      <c r="H1525" s="7" t="str">
        <f>IF(Notes!CF1521="","",Notes!CF1521)</f>
        <v/>
      </c>
      <c r="I1525" s="7"/>
      <c r="J1525" s="7"/>
      <c r="K1525" s="7"/>
    </row>
    <row r="1526" spans="1:11" x14ac:dyDescent="0.35">
      <c r="A1526" s="7" t="str">
        <f>IF(Notes!BY1522="","",Notes!BY1522)</f>
        <v/>
      </c>
      <c r="B1526" s="7" t="str">
        <f>IF(Notes!BZ1522="","",Notes!BZ1522)</f>
        <v/>
      </c>
      <c r="C1526" s="7" t="str">
        <f>IF(Notes!CA1522="","",Notes!CA1522)</f>
        <v/>
      </c>
      <c r="D1526" s="7" t="str">
        <f>IF(Notes!CB1522="","",Notes!CB1522)</f>
        <v/>
      </c>
      <c r="E1526" s="7" t="str">
        <f>IF(Notes!CC1522="","",Notes!CC1522)</f>
        <v/>
      </c>
      <c r="F1526" s="7" t="str">
        <f>IF(Notes!CD1522="","",Notes!CD1522)</f>
        <v/>
      </c>
      <c r="G1526" s="7" t="str">
        <f>IF(Notes!CE1522="","",Notes!CE1522)</f>
        <v/>
      </c>
      <c r="H1526" s="7" t="str">
        <f>IF(Notes!CF1522="","",Notes!CF1522)</f>
        <v/>
      </c>
      <c r="I1526" s="7"/>
      <c r="J1526" s="7"/>
      <c r="K1526" s="7"/>
    </row>
    <row r="1527" spans="1:11" x14ac:dyDescent="0.35">
      <c r="A1527" s="7" t="str">
        <f>IF(Notes!BY1523="","",Notes!BY1523)</f>
        <v/>
      </c>
      <c r="B1527" s="7" t="str">
        <f>IF(Notes!BZ1523="","",Notes!BZ1523)</f>
        <v/>
      </c>
      <c r="C1527" s="7" t="str">
        <f>IF(Notes!CA1523="","",Notes!CA1523)</f>
        <v/>
      </c>
      <c r="D1527" s="7" t="str">
        <f>IF(Notes!CB1523="","",Notes!CB1523)</f>
        <v/>
      </c>
      <c r="E1527" s="7" t="str">
        <f>IF(Notes!CC1523="","",Notes!CC1523)</f>
        <v/>
      </c>
      <c r="F1527" s="7" t="str">
        <f>IF(Notes!CD1523="","",Notes!CD1523)</f>
        <v/>
      </c>
      <c r="G1527" s="7" t="str">
        <f>IF(Notes!CE1523="","",Notes!CE1523)</f>
        <v/>
      </c>
      <c r="H1527" s="7" t="str">
        <f>IF(Notes!CF1523="","",Notes!CF1523)</f>
        <v/>
      </c>
      <c r="I1527" s="7"/>
      <c r="J1527" s="7"/>
      <c r="K1527" s="7"/>
    </row>
    <row r="1528" spans="1:11" x14ac:dyDescent="0.35">
      <c r="A1528" s="7" t="str">
        <f>IF(Notes!BY1524="","",Notes!BY1524)</f>
        <v/>
      </c>
      <c r="B1528" s="7" t="str">
        <f>IF(Notes!BZ1524="","",Notes!BZ1524)</f>
        <v/>
      </c>
      <c r="C1528" s="7" t="str">
        <f>IF(Notes!CA1524="","",Notes!CA1524)</f>
        <v/>
      </c>
      <c r="D1528" s="7" t="str">
        <f>IF(Notes!CB1524="","",Notes!CB1524)</f>
        <v/>
      </c>
      <c r="E1528" s="7" t="str">
        <f>IF(Notes!CC1524="","",Notes!CC1524)</f>
        <v/>
      </c>
      <c r="F1528" s="7" t="str">
        <f>IF(Notes!CD1524="","",Notes!CD1524)</f>
        <v/>
      </c>
      <c r="G1528" s="7" t="str">
        <f>IF(Notes!CE1524="","",Notes!CE1524)</f>
        <v/>
      </c>
      <c r="H1528" s="7" t="str">
        <f>IF(Notes!CF1524="","",Notes!CF1524)</f>
        <v/>
      </c>
      <c r="I1528" s="7"/>
      <c r="J1528" s="7"/>
      <c r="K1528" s="7"/>
    </row>
    <row r="1529" spans="1:11" x14ac:dyDescent="0.35">
      <c r="A1529" s="7" t="str">
        <f>IF(Notes!BY1525="","",Notes!BY1525)</f>
        <v/>
      </c>
      <c r="B1529" s="7" t="str">
        <f>IF(Notes!BZ1525="","",Notes!BZ1525)</f>
        <v/>
      </c>
      <c r="C1529" s="7" t="str">
        <f>IF(Notes!CA1525="","",Notes!CA1525)</f>
        <v/>
      </c>
      <c r="D1529" s="7" t="str">
        <f>IF(Notes!CB1525="","",Notes!CB1525)</f>
        <v/>
      </c>
      <c r="E1529" s="7" t="str">
        <f>IF(Notes!CC1525="","",Notes!CC1525)</f>
        <v/>
      </c>
      <c r="F1529" s="7" t="str">
        <f>IF(Notes!CD1525="","",Notes!CD1525)</f>
        <v/>
      </c>
      <c r="G1529" s="7" t="str">
        <f>IF(Notes!CE1525="","",Notes!CE1525)</f>
        <v/>
      </c>
      <c r="H1529" s="7" t="str">
        <f>IF(Notes!CF1525="","",Notes!CF1525)</f>
        <v/>
      </c>
      <c r="I1529" s="7"/>
      <c r="J1529" s="7"/>
      <c r="K1529" s="7"/>
    </row>
    <row r="1530" spans="1:11" x14ac:dyDescent="0.35">
      <c r="A1530" s="7" t="str">
        <f>IF(Notes!BY1526="","",Notes!BY1526)</f>
        <v/>
      </c>
      <c r="B1530" s="7" t="str">
        <f>IF(Notes!BZ1526="","",Notes!BZ1526)</f>
        <v/>
      </c>
      <c r="C1530" s="7" t="str">
        <f>IF(Notes!CA1526="","",Notes!CA1526)</f>
        <v/>
      </c>
      <c r="D1530" s="7" t="str">
        <f>IF(Notes!CB1526="","",Notes!CB1526)</f>
        <v/>
      </c>
      <c r="E1530" s="7" t="str">
        <f>IF(Notes!CC1526="","",Notes!CC1526)</f>
        <v/>
      </c>
      <c r="F1530" s="7" t="str">
        <f>IF(Notes!CD1526="","",Notes!CD1526)</f>
        <v/>
      </c>
      <c r="G1530" s="7" t="str">
        <f>IF(Notes!CE1526="","",Notes!CE1526)</f>
        <v/>
      </c>
      <c r="H1530" s="7" t="str">
        <f>IF(Notes!CF1526="","",Notes!CF1526)</f>
        <v/>
      </c>
      <c r="I1530" s="7"/>
      <c r="J1530" s="7"/>
      <c r="K1530" s="7"/>
    </row>
    <row r="1531" spans="1:11" x14ac:dyDescent="0.35">
      <c r="A1531" s="7" t="str">
        <f>IF(Notes!BY1527="","",Notes!BY1527)</f>
        <v/>
      </c>
      <c r="B1531" s="7" t="str">
        <f>IF(Notes!BZ1527="","",Notes!BZ1527)</f>
        <v/>
      </c>
      <c r="C1531" s="7" t="str">
        <f>IF(Notes!CA1527="","",Notes!CA1527)</f>
        <v/>
      </c>
      <c r="D1531" s="7" t="str">
        <f>IF(Notes!CB1527="","",Notes!CB1527)</f>
        <v/>
      </c>
      <c r="E1531" s="7" t="str">
        <f>IF(Notes!CC1527="","",Notes!CC1527)</f>
        <v/>
      </c>
      <c r="F1531" s="7" t="str">
        <f>IF(Notes!CD1527="","",Notes!CD1527)</f>
        <v/>
      </c>
      <c r="G1531" s="7" t="str">
        <f>IF(Notes!CE1527="","",Notes!CE1527)</f>
        <v/>
      </c>
      <c r="H1531" s="7" t="str">
        <f>IF(Notes!CF1527="","",Notes!CF1527)</f>
        <v/>
      </c>
      <c r="I1531" s="7"/>
      <c r="J1531" s="7"/>
      <c r="K1531" s="7"/>
    </row>
    <row r="1532" spans="1:11" x14ac:dyDescent="0.35">
      <c r="A1532" s="7" t="str">
        <f>IF(Notes!BY1528="","",Notes!BY1528)</f>
        <v/>
      </c>
      <c r="B1532" s="7" t="str">
        <f>IF(Notes!BZ1528="","",Notes!BZ1528)</f>
        <v/>
      </c>
      <c r="C1532" s="7" t="str">
        <f>IF(Notes!CA1528="","",Notes!CA1528)</f>
        <v/>
      </c>
      <c r="D1532" s="7" t="str">
        <f>IF(Notes!CB1528="","",Notes!CB1528)</f>
        <v/>
      </c>
      <c r="E1532" s="7" t="str">
        <f>IF(Notes!CC1528="","",Notes!CC1528)</f>
        <v/>
      </c>
      <c r="F1532" s="7" t="str">
        <f>IF(Notes!CD1528="","",Notes!CD1528)</f>
        <v/>
      </c>
      <c r="G1532" s="7" t="str">
        <f>IF(Notes!CE1528="","",Notes!CE1528)</f>
        <v/>
      </c>
      <c r="H1532" s="7" t="str">
        <f>IF(Notes!CF1528="","",Notes!CF1528)</f>
        <v/>
      </c>
      <c r="I1532" s="7"/>
      <c r="J1532" s="7"/>
      <c r="K1532" s="7"/>
    </row>
    <row r="1533" spans="1:11" x14ac:dyDescent="0.35">
      <c r="A1533" s="7" t="str">
        <f>IF(Notes!BY1529="","",Notes!BY1529)</f>
        <v/>
      </c>
      <c r="B1533" s="7" t="str">
        <f>IF(Notes!BZ1529="","",Notes!BZ1529)</f>
        <v/>
      </c>
      <c r="C1533" s="7" t="str">
        <f>IF(Notes!CA1529="","",Notes!CA1529)</f>
        <v/>
      </c>
      <c r="D1533" s="7" t="str">
        <f>IF(Notes!CB1529="","",Notes!CB1529)</f>
        <v/>
      </c>
      <c r="E1533" s="7" t="str">
        <f>IF(Notes!CC1529="","",Notes!CC1529)</f>
        <v/>
      </c>
      <c r="F1533" s="7" t="str">
        <f>IF(Notes!CD1529="","",Notes!CD1529)</f>
        <v/>
      </c>
      <c r="G1533" s="7" t="str">
        <f>IF(Notes!CE1529="","",Notes!CE1529)</f>
        <v/>
      </c>
      <c r="H1533" s="7" t="str">
        <f>IF(Notes!CF1529="","",Notes!CF1529)</f>
        <v/>
      </c>
      <c r="I1533" s="7"/>
      <c r="J1533" s="7"/>
      <c r="K1533" s="7"/>
    </row>
    <row r="1534" spans="1:11" x14ac:dyDescent="0.35">
      <c r="A1534" s="7" t="str">
        <f>IF(Notes!BY1530="","",Notes!BY1530)</f>
        <v/>
      </c>
      <c r="B1534" s="7" t="str">
        <f>IF(Notes!BZ1530="","",Notes!BZ1530)</f>
        <v/>
      </c>
      <c r="C1534" s="7" t="str">
        <f>IF(Notes!CA1530="","",Notes!CA1530)</f>
        <v/>
      </c>
      <c r="D1534" s="7" t="str">
        <f>IF(Notes!CB1530="","",Notes!CB1530)</f>
        <v/>
      </c>
      <c r="E1534" s="7" t="str">
        <f>IF(Notes!CC1530="","",Notes!CC1530)</f>
        <v/>
      </c>
      <c r="F1534" s="7" t="str">
        <f>IF(Notes!CD1530="","",Notes!CD1530)</f>
        <v/>
      </c>
      <c r="G1534" s="7" t="str">
        <f>IF(Notes!CE1530="","",Notes!CE1530)</f>
        <v/>
      </c>
      <c r="H1534" s="7" t="str">
        <f>IF(Notes!CF1530="","",Notes!CF1530)</f>
        <v/>
      </c>
      <c r="I1534" s="7"/>
      <c r="J1534" s="7"/>
      <c r="K1534" s="7"/>
    </row>
    <row r="1535" spans="1:11" x14ac:dyDescent="0.35">
      <c r="A1535" s="7" t="str">
        <f>IF(Notes!BY1531="","",Notes!BY1531)</f>
        <v/>
      </c>
      <c r="B1535" s="7" t="str">
        <f>IF(Notes!BZ1531="","",Notes!BZ1531)</f>
        <v/>
      </c>
      <c r="C1535" s="7" t="str">
        <f>IF(Notes!CA1531="","",Notes!CA1531)</f>
        <v/>
      </c>
      <c r="D1535" s="7" t="str">
        <f>IF(Notes!CB1531="","",Notes!CB1531)</f>
        <v/>
      </c>
      <c r="E1535" s="7" t="str">
        <f>IF(Notes!CC1531="","",Notes!CC1531)</f>
        <v/>
      </c>
      <c r="F1535" s="7" t="str">
        <f>IF(Notes!CD1531="","",Notes!CD1531)</f>
        <v/>
      </c>
      <c r="G1535" s="7" t="str">
        <f>IF(Notes!CE1531="","",Notes!CE1531)</f>
        <v/>
      </c>
      <c r="H1535" s="7" t="str">
        <f>IF(Notes!CF1531="","",Notes!CF1531)</f>
        <v/>
      </c>
      <c r="I1535" s="7"/>
      <c r="J1535" s="7"/>
      <c r="K1535" s="7"/>
    </row>
    <row r="1536" spans="1:11" x14ac:dyDescent="0.35">
      <c r="A1536" s="7" t="str">
        <f>IF(Notes!BY1532="","",Notes!BY1532)</f>
        <v/>
      </c>
      <c r="B1536" s="7" t="str">
        <f>IF(Notes!BZ1532="","",Notes!BZ1532)</f>
        <v/>
      </c>
      <c r="C1536" s="7" t="str">
        <f>IF(Notes!CA1532="","",Notes!CA1532)</f>
        <v/>
      </c>
      <c r="D1536" s="7" t="str">
        <f>IF(Notes!CB1532="","",Notes!CB1532)</f>
        <v/>
      </c>
      <c r="E1536" s="7" t="str">
        <f>IF(Notes!CC1532="","",Notes!CC1532)</f>
        <v/>
      </c>
      <c r="F1536" s="7" t="str">
        <f>IF(Notes!CD1532="","",Notes!CD1532)</f>
        <v/>
      </c>
      <c r="G1536" s="7" t="str">
        <f>IF(Notes!CE1532="","",Notes!CE1532)</f>
        <v/>
      </c>
      <c r="H1536" s="7" t="str">
        <f>IF(Notes!CF1532="","",Notes!CF1532)</f>
        <v/>
      </c>
      <c r="I1536" s="7"/>
      <c r="J1536" s="7"/>
      <c r="K1536" s="7"/>
    </row>
    <row r="1537" spans="1:11" x14ac:dyDescent="0.35">
      <c r="A1537" s="7" t="str">
        <f>IF(Notes!BY1533="","",Notes!BY1533)</f>
        <v/>
      </c>
      <c r="B1537" s="7" t="str">
        <f>IF(Notes!BZ1533="","",Notes!BZ1533)</f>
        <v/>
      </c>
      <c r="C1537" s="7" t="str">
        <f>IF(Notes!CA1533="","",Notes!CA1533)</f>
        <v/>
      </c>
      <c r="D1537" s="7" t="str">
        <f>IF(Notes!CB1533="","",Notes!CB1533)</f>
        <v/>
      </c>
      <c r="E1537" s="7" t="str">
        <f>IF(Notes!CC1533="","",Notes!CC1533)</f>
        <v/>
      </c>
      <c r="F1537" s="7" t="str">
        <f>IF(Notes!CD1533="","",Notes!CD1533)</f>
        <v/>
      </c>
      <c r="G1537" s="7" t="str">
        <f>IF(Notes!CE1533="","",Notes!CE1533)</f>
        <v/>
      </c>
      <c r="H1537" s="7" t="str">
        <f>IF(Notes!CF1533="","",Notes!CF1533)</f>
        <v/>
      </c>
      <c r="I1537" s="7"/>
      <c r="J1537" s="7"/>
      <c r="K1537" s="7"/>
    </row>
    <row r="1538" spans="1:11" x14ac:dyDescent="0.35">
      <c r="A1538" s="7" t="str">
        <f>IF(Notes!BY1534="","",Notes!BY1534)</f>
        <v/>
      </c>
      <c r="B1538" s="7" t="str">
        <f>IF(Notes!BZ1534="","",Notes!BZ1534)</f>
        <v/>
      </c>
      <c r="C1538" s="7" t="str">
        <f>IF(Notes!CA1534="","",Notes!CA1534)</f>
        <v/>
      </c>
      <c r="D1538" s="7" t="str">
        <f>IF(Notes!CB1534="","",Notes!CB1534)</f>
        <v/>
      </c>
      <c r="E1538" s="7" t="str">
        <f>IF(Notes!CC1534="","",Notes!CC1534)</f>
        <v/>
      </c>
      <c r="F1538" s="7" t="str">
        <f>IF(Notes!CD1534="","",Notes!CD1534)</f>
        <v/>
      </c>
      <c r="G1538" s="7" t="str">
        <f>IF(Notes!CE1534="","",Notes!CE1534)</f>
        <v/>
      </c>
      <c r="H1538" s="7" t="str">
        <f>IF(Notes!CF1534="","",Notes!CF1534)</f>
        <v/>
      </c>
      <c r="I1538" s="7"/>
      <c r="J1538" s="7"/>
      <c r="K1538" s="7"/>
    </row>
    <row r="1539" spans="1:11" x14ac:dyDescent="0.35">
      <c r="A1539" s="7" t="str">
        <f>IF(Notes!BY1535="","",Notes!BY1535)</f>
        <v/>
      </c>
      <c r="B1539" s="7" t="str">
        <f>IF(Notes!BZ1535="","",Notes!BZ1535)</f>
        <v/>
      </c>
      <c r="C1539" s="7" t="str">
        <f>IF(Notes!CA1535="","",Notes!CA1535)</f>
        <v/>
      </c>
      <c r="D1539" s="7" t="str">
        <f>IF(Notes!CB1535="","",Notes!CB1535)</f>
        <v/>
      </c>
      <c r="E1539" s="7" t="str">
        <f>IF(Notes!CC1535="","",Notes!CC1535)</f>
        <v/>
      </c>
      <c r="F1539" s="7" t="str">
        <f>IF(Notes!CD1535="","",Notes!CD1535)</f>
        <v/>
      </c>
      <c r="G1539" s="7" t="str">
        <f>IF(Notes!CE1535="","",Notes!CE1535)</f>
        <v/>
      </c>
      <c r="H1539" s="7" t="str">
        <f>IF(Notes!CF1535="","",Notes!CF1535)</f>
        <v/>
      </c>
      <c r="I1539" s="7"/>
      <c r="J1539" s="7"/>
      <c r="K1539" s="7"/>
    </row>
    <row r="1540" spans="1:11" x14ac:dyDescent="0.35">
      <c r="A1540" s="7" t="str">
        <f>IF(Notes!BY1536="","",Notes!BY1536)</f>
        <v/>
      </c>
      <c r="B1540" s="7" t="str">
        <f>IF(Notes!BZ1536="","",Notes!BZ1536)</f>
        <v/>
      </c>
      <c r="C1540" s="7" t="str">
        <f>IF(Notes!CA1536="","",Notes!CA1536)</f>
        <v/>
      </c>
      <c r="D1540" s="7" t="str">
        <f>IF(Notes!CB1536="","",Notes!CB1536)</f>
        <v/>
      </c>
      <c r="E1540" s="7" t="str">
        <f>IF(Notes!CC1536="","",Notes!CC1536)</f>
        <v/>
      </c>
      <c r="F1540" s="7" t="str">
        <f>IF(Notes!CD1536="","",Notes!CD1536)</f>
        <v/>
      </c>
      <c r="G1540" s="7" t="str">
        <f>IF(Notes!CE1536="","",Notes!CE1536)</f>
        <v/>
      </c>
      <c r="H1540" s="7" t="str">
        <f>IF(Notes!CF1536="","",Notes!CF1536)</f>
        <v/>
      </c>
      <c r="I1540" s="7"/>
      <c r="J1540" s="7"/>
      <c r="K1540" s="7"/>
    </row>
    <row r="1541" spans="1:11" x14ac:dyDescent="0.35">
      <c r="A1541" s="7" t="str">
        <f>IF(Notes!BY1537="","",Notes!BY1537)</f>
        <v/>
      </c>
      <c r="B1541" s="7" t="str">
        <f>IF(Notes!BZ1537="","",Notes!BZ1537)</f>
        <v/>
      </c>
      <c r="C1541" s="7" t="str">
        <f>IF(Notes!CA1537="","",Notes!CA1537)</f>
        <v/>
      </c>
      <c r="D1541" s="7" t="str">
        <f>IF(Notes!CB1537="","",Notes!CB1537)</f>
        <v/>
      </c>
      <c r="E1541" s="7" t="str">
        <f>IF(Notes!CC1537="","",Notes!CC1537)</f>
        <v/>
      </c>
      <c r="F1541" s="7" t="str">
        <f>IF(Notes!CD1537="","",Notes!CD1537)</f>
        <v/>
      </c>
      <c r="G1541" s="7" t="str">
        <f>IF(Notes!CE1537="","",Notes!CE1537)</f>
        <v/>
      </c>
      <c r="H1541" s="7" t="str">
        <f>IF(Notes!CF1537="","",Notes!CF1537)</f>
        <v/>
      </c>
      <c r="I1541" s="7"/>
      <c r="J1541" s="7"/>
      <c r="K1541" s="7"/>
    </row>
    <row r="1542" spans="1:11" x14ac:dyDescent="0.35">
      <c r="A1542" s="7" t="str">
        <f>IF(Notes!BY1538="","",Notes!BY1538)</f>
        <v/>
      </c>
      <c r="B1542" s="7" t="str">
        <f>IF(Notes!BZ1538="","",Notes!BZ1538)</f>
        <v/>
      </c>
      <c r="C1542" s="7" t="str">
        <f>IF(Notes!CA1538="","",Notes!CA1538)</f>
        <v/>
      </c>
      <c r="D1542" s="7" t="str">
        <f>IF(Notes!CB1538="","",Notes!CB1538)</f>
        <v/>
      </c>
      <c r="E1542" s="7" t="str">
        <f>IF(Notes!CC1538="","",Notes!CC1538)</f>
        <v/>
      </c>
      <c r="F1542" s="7" t="str">
        <f>IF(Notes!CD1538="","",Notes!CD1538)</f>
        <v/>
      </c>
      <c r="G1542" s="7" t="str">
        <f>IF(Notes!CE1538="","",Notes!CE1538)</f>
        <v/>
      </c>
      <c r="H1542" s="7" t="str">
        <f>IF(Notes!CF1538="","",Notes!CF1538)</f>
        <v/>
      </c>
      <c r="I1542" s="7"/>
      <c r="J1542" s="7"/>
      <c r="K1542" s="7"/>
    </row>
    <row r="1543" spans="1:11" x14ac:dyDescent="0.35">
      <c r="A1543" s="7" t="str">
        <f>IF(Notes!BY1539="","",Notes!BY1539)</f>
        <v/>
      </c>
      <c r="B1543" s="7" t="str">
        <f>IF(Notes!BZ1539="","",Notes!BZ1539)</f>
        <v/>
      </c>
      <c r="C1543" s="7" t="str">
        <f>IF(Notes!CA1539="","",Notes!CA1539)</f>
        <v/>
      </c>
      <c r="D1543" s="7" t="str">
        <f>IF(Notes!CB1539="","",Notes!CB1539)</f>
        <v/>
      </c>
      <c r="E1543" s="7" t="str">
        <f>IF(Notes!CC1539="","",Notes!CC1539)</f>
        <v/>
      </c>
      <c r="F1543" s="7" t="str">
        <f>IF(Notes!CD1539="","",Notes!CD1539)</f>
        <v/>
      </c>
      <c r="G1543" s="7" t="str">
        <f>IF(Notes!CE1539="","",Notes!CE1539)</f>
        <v/>
      </c>
      <c r="H1543" s="7" t="str">
        <f>IF(Notes!CF1539="","",Notes!CF1539)</f>
        <v/>
      </c>
      <c r="I1543" s="7"/>
      <c r="J1543" s="7"/>
      <c r="K1543" s="7"/>
    </row>
    <row r="1544" spans="1:11" x14ac:dyDescent="0.35">
      <c r="A1544" s="7" t="str">
        <f>IF(Notes!BY1540="","",Notes!BY1540)</f>
        <v/>
      </c>
      <c r="B1544" s="7" t="str">
        <f>IF(Notes!BZ1540="","",Notes!BZ1540)</f>
        <v/>
      </c>
      <c r="C1544" s="7" t="str">
        <f>IF(Notes!CA1540="","",Notes!CA1540)</f>
        <v/>
      </c>
      <c r="D1544" s="7" t="str">
        <f>IF(Notes!CB1540="","",Notes!CB1540)</f>
        <v/>
      </c>
      <c r="E1544" s="7" t="str">
        <f>IF(Notes!CC1540="","",Notes!CC1540)</f>
        <v/>
      </c>
      <c r="F1544" s="7" t="str">
        <f>IF(Notes!CD1540="","",Notes!CD1540)</f>
        <v/>
      </c>
      <c r="G1544" s="7" t="str">
        <f>IF(Notes!CE1540="","",Notes!CE1540)</f>
        <v/>
      </c>
      <c r="H1544" s="7" t="str">
        <f>IF(Notes!CF1540="","",Notes!CF1540)</f>
        <v/>
      </c>
      <c r="I1544" s="7"/>
      <c r="J1544" s="7"/>
      <c r="K1544" s="7"/>
    </row>
    <row r="1545" spans="1:11" x14ac:dyDescent="0.35">
      <c r="A1545" s="7" t="str">
        <f>IF(Notes!BY1541="","",Notes!BY1541)</f>
        <v/>
      </c>
      <c r="B1545" s="7" t="str">
        <f>IF(Notes!BZ1541="","",Notes!BZ1541)</f>
        <v/>
      </c>
      <c r="C1545" s="7" t="str">
        <f>IF(Notes!CA1541="","",Notes!CA1541)</f>
        <v/>
      </c>
      <c r="D1545" s="7" t="str">
        <f>IF(Notes!CB1541="","",Notes!CB1541)</f>
        <v/>
      </c>
      <c r="E1545" s="7" t="str">
        <f>IF(Notes!CC1541="","",Notes!CC1541)</f>
        <v/>
      </c>
      <c r="F1545" s="7" t="str">
        <f>IF(Notes!CD1541="","",Notes!CD1541)</f>
        <v/>
      </c>
      <c r="G1545" s="7" t="str">
        <f>IF(Notes!CE1541="","",Notes!CE1541)</f>
        <v/>
      </c>
      <c r="H1545" s="7" t="str">
        <f>IF(Notes!CF1541="","",Notes!CF1541)</f>
        <v/>
      </c>
      <c r="I1545" s="7"/>
      <c r="J1545" s="7"/>
      <c r="K1545" s="7"/>
    </row>
    <row r="1546" spans="1:11" x14ac:dyDescent="0.35">
      <c r="A1546" s="7" t="str">
        <f>IF(Notes!BY1542="","",Notes!BY1542)</f>
        <v/>
      </c>
      <c r="B1546" s="7" t="str">
        <f>IF(Notes!BZ1542="","",Notes!BZ1542)</f>
        <v/>
      </c>
      <c r="C1546" s="7" t="str">
        <f>IF(Notes!CA1542="","",Notes!CA1542)</f>
        <v/>
      </c>
      <c r="D1546" s="7" t="str">
        <f>IF(Notes!CB1542="","",Notes!CB1542)</f>
        <v/>
      </c>
      <c r="E1546" s="7" t="str">
        <f>IF(Notes!CC1542="","",Notes!CC1542)</f>
        <v/>
      </c>
      <c r="F1546" s="7" t="str">
        <f>IF(Notes!CD1542="","",Notes!CD1542)</f>
        <v/>
      </c>
      <c r="G1546" s="7" t="str">
        <f>IF(Notes!CE1542="","",Notes!CE1542)</f>
        <v/>
      </c>
      <c r="H1546" s="7" t="str">
        <f>IF(Notes!CF1542="","",Notes!CF1542)</f>
        <v/>
      </c>
      <c r="I1546" s="7"/>
      <c r="J1546" s="7"/>
      <c r="K1546" s="7"/>
    </row>
    <row r="1547" spans="1:11" x14ac:dyDescent="0.35">
      <c r="A1547" s="7" t="str">
        <f>IF(Notes!BY1543="","",Notes!BY1543)</f>
        <v/>
      </c>
      <c r="B1547" s="7" t="str">
        <f>IF(Notes!BZ1543="","",Notes!BZ1543)</f>
        <v/>
      </c>
      <c r="C1547" s="7" t="str">
        <f>IF(Notes!CA1543="","",Notes!CA1543)</f>
        <v/>
      </c>
      <c r="D1547" s="7" t="str">
        <f>IF(Notes!CB1543="","",Notes!CB1543)</f>
        <v/>
      </c>
      <c r="E1547" s="7" t="str">
        <f>IF(Notes!CC1543="","",Notes!CC1543)</f>
        <v/>
      </c>
      <c r="F1547" s="7" t="str">
        <f>IF(Notes!CD1543="","",Notes!CD1543)</f>
        <v/>
      </c>
      <c r="G1547" s="7" t="str">
        <f>IF(Notes!CE1543="","",Notes!CE1543)</f>
        <v/>
      </c>
      <c r="H1547" s="7" t="str">
        <f>IF(Notes!CF1543="","",Notes!CF1543)</f>
        <v/>
      </c>
      <c r="I1547" s="7"/>
      <c r="J1547" s="7"/>
      <c r="K1547" s="7"/>
    </row>
    <row r="1548" spans="1:11" x14ac:dyDescent="0.35">
      <c r="A1548" s="7" t="str">
        <f>IF(Notes!BY1544="","",Notes!BY1544)</f>
        <v/>
      </c>
      <c r="B1548" s="7" t="str">
        <f>IF(Notes!BZ1544="","",Notes!BZ1544)</f>
        <v/>
      </c>
      <c r="C1548" s="7" t="str">
        <f>IF(Notes!CA1544="","",Notes!CA1544)</f>
        <v/>
      </c>
      <c r="D1548" s="7" t="str">
        <f>IF(Notes!CB1544="","",Notes!CB1544)</f>
        <v/>
      </c>
      <c r="E1548" s="7" t="str">
        <f>IF(Notes!CC1544="","",Notes!CC1544)</f>
        <v/>
      </c>
      <c r="F1548" s="7" t="str">
        <f>IF(Notes!CD1544="","",Notes!CD1544)</f>
        <v/>
      </c>
      <c r="G1548" s="7" t="str">
        <f>IF(Notes!CE1544="","",Notes!CE1544)</f>
        <v/>
      </c>
      <c r="H1548" s="7" t="str">
        <f>IF(Notes!CF1544="","",Notes!CF1544)</f>
        <v/>
      </c>
      <c r="I1548" s="7"/>
      <c r="J1548" s="7"/>
      <c r="K1548" s="7"/>
    </row>
    <row r="1549" spans="1:11" x14ac:dyDescent="0.35">
      <c r="A1549" s="7" t="str">
        <f>IF(Notes!BY1545="","",Notes!BY1545)</f>
        <v/>
      </c>
      <c r="B1549" s="7" t="str">
        <f>IF(Notes!BZ1545="","",Notes!BZ1545)</f>
        <v/>
      </c>
      <c r="C1549" s="7" t="str">
        <f>IF(Notes!CA1545="","",Notes!CA1545)</f>
        <v/>
      </c>
      <c r="D1549" s="7" t="str">
        <f>IF(Notes!CB1545="","",Notes!CB1545)</f>
        <v/>
      </c>
      <c r="E1549" s="7" t="str">
        <f>IF(Notes!CC1545="","",Notes!CC1545)</f>
        <v/>
      </c>
      <c r="F1549" s="7" t="str">
        <f>IF(Notes!CD1545="","",Notes!CD1545)</f>
        <v/>
      </c>
      <c r="G1549" s="7" t="str">
        <f>IF(Notes!CE1545="","",Notes!CE1545)</f>
        <v/>
      </c>
      <c r="H1549" s="7" t="str">
        <f>IF(Notes!CF1545="","",Notes!CF1545)</f>
        <v/>
      </c>
      <c r="I1549" s="7"/>
      <c r="J1549" s="7"/>
      <c r="K1549" s="7"/>
    </row>
    <row r="1550" spans="1:11" x14ac:dyDescent="0.35">
      <c r="A1550" s="7" t="str">
        <f>IF(Notes!BY1546="","",Notes!BY1546)</f>
        <v/>
      </c>
      <c r="B1550" s="7" t="str">
        <f>IF(Notes!BZ1546="","",Notes!BZ1546)</f>
        <v/>
      </c>
      <c r="C1550" s="7" t="str">
        <f>IF(Notes!CA1546="","",Notes!CA1546)</f>
        <v/>
      </c>
      <c r="D1550" s="7" t="str">
        <f>IF(Notes!CB1546="","",Notes!CB1546)</f>
        <v/>
      </c>
      <c r="E1550" s="7" t="str">
        <f>IF(Notes!CC1546="","",Notes!CC1546)</f>
        <v/>
      </c>
      <c r="F1550" s="7" t="str">
        <f>IF(Notes!CD1546="","",Notes!CD1546)</f>
        <v/>
      </c>
      <c r="G1550" s="7" t="str">
        <f>IF(Notes!CE1546="","",Notes!CE1546)</f>
        <v/>
      </c>
      <c r="H1550" s="7" t="str">
        <f>IF(Notes!CF1546="","",Notes!CF1546)</f>
        <v/>
      </c>
      <c r="I1550" s="7"/>
      <c r="J1550" s="7"/>
      <c r="K1550" s="7"/>
    </row>
    <row r="1551" spans="1:11" x14ac:dyDescent="0.35">
      <c r="A1551" s="7" t="str">
        <f>IF(Notes!BY1547="","",Notes!BY1547)</f>
        <v/>
      </c>
      <c r="B1551" s="7" t="str">
        <f>IF(Notes!BZ1547="","",Notes!BZ1547)</f>
        <v/>
      </c>
      <c r="C1551" s="7" t="str">
        <f>IF(Notes!CA1547="","",Notes!CA1547)</f>
        <v/>
      </c>
      <c r="D1551" s="7" t="str">
        <f>IF(Notes!CB1547="","",Notes!CB1547)</f>
        <v/>
      </c>
      <c r="E1551" s="7" t="str">
        <f>IF(Notes!CC1547="","",Notes!CC1547)</f>
        <v/>
      </c>
      <c r="F1551" s="7" t="str">
        <f>IF(Notes!CD1547="","",Notes!CD1547)</f>
        <v/>
      </c>
      <c r="G1551" s="7" t="str">
        <f>IF(Notes!CE1547="","",Notes!CE1547)</f>
        <v/>
      </c>
      <c r="H1551" s="7" t="str">
        <f>IF(Notes!CF1547="","",Notes!CF1547)</f>
        <v/>
      </c>
      <c r="I1551" s="7"/>
      <c r="J1551" s="7"/>
      <c r="K1551" s="7"/>
    </row>
    <row r="1552" spans="1:11" x14ac:dyDescent="0.35">
      <c r="A1552" s="7" t="str">
        <f>IF(Notes!BY1548="","",Notes!BY1548)</f>
        <v/>
      </c>
      <c r="B1552" s="7" t="str">
        <f>IF(Notes!BZ1548="","",Notes!BZ1548)</f>
        <v/>
      </c>
      <c r="C1552" s="7" t="str">
        <f>IF(Notes!CA1548="","",Notes!CA1548)</f>
        <v/>
      </c>
      <c r="D1552" s="7" t="str">
        <f>IF(Notes!CB1548="","",Notes!CB1548)</f>
        <v/>
      </c>
      <c r="E1552" s="7" t="str">
        <f>IF(Notes!CC1548="","",Notes!CC1548)</f>
        <v/>
      </c>
      <c r="F1552" s="7" t="str">
        <f>IF(Notes!CD1548="","",Notes!CD1548)</f>
        <v/>
      </c>
      <c r="G1552" s="7" t="str">
        <f>IF(Notes!CE1548="","",Notes!CE1548)</f>
        <v/>
      </c>
      <c r="H1552" s="7" t="str">
        <f>IF(Notes!CF1548="","",Notes!CF1548)</f>
        <v/>
      </c>
      <c r="I1552" s="7"/>
      <c r="J1552" s="7"/>
      <c r="K1552" s="7"/>
    </row>
    <row r="1553" spans="1:11" x14ac:dyDescent="0.35">
      <c r="A1553" s="7" t="str">
        <f>IF(Notes!BY1549="","",Notes!BY1549)</f>
        <v/>
      </c>
      <c r="B1553" s="7" t="str">
        <f>IF(Notes!BZ1549="","",Notes!BZ1549)</f>
        <v/>
      </c>
      <c r="C1553" s="7" t="str">
        <f>IF(Notes!CA1549="","",Notes!CA1549)</f>
        <v/>
      </c>
      <c r="D1553" s="7" t="str">
        <f>IF(Notes!CB1549="","",Notes!CB1549)</f>
        <v/>
      </c>
      <c r="E1553" s="7" t="str">
        <f>IF(Notes!CC1549="","",Notes!CC1549)</f>
        <v/>
      </c>
      <c r="F1553" s="7" t="str">
        <f>IF(Notes!CD1549="","",Notes!CD1549)</f>
        <v/>
      </c>
      <c r="G1553" s="7" t="str">
        <f>IF(Notes!CE1549="","",Notes!CE1549)</f>
        <v/>
      </c>
      <c r="H1553" s="7" t="str">
        <f>IF(Notes!CF1549="","",Notes!CF1549)</f>
        <v/>
      </c>
      <c r="I1553" s="7"/>
      <c r="J1553" s="7"/>
      <c r="K1553" s="7"/>
    </row>
    <row r="1554" spans="1:11" x14ac:dyDescent="0.35">
      <c r="A1554" s="7" t="str">
        <f>IF(Notes!BY1550="","",Notes!BY1550)</f>
        <v/>
      </c>
      <c r="B1554" s="7" t="str">
        <f>IF(Notes!BZ1550="","",Notes!BZ1550)</f>
        <v/>
      </c>
      <c r="C1554" s="7" t="str">
        <f>IF(Notes!CA1550="","",Notes!CA1550)</f>
        <v/>
      </c>
      <c r="D1554" s="7" t="str">
        <f>IF(Notes!CB1550="","",Notes!CB1550)</f>
        <v/>
      </c>
      <c r="E1554" s="7" t="str">
        <f>IF(Notes!CC1550="","",Notes!CC1550)</f>
        <v/>
      </c>
      <c r="F1554" s="7" t="str">
        <f>IF(Notes!CD1550="","",Notes!CD1550)</f>
        <v/>
      </c>
      <c r="G1554" s="7" t="str">
        <f>IF(Notes!CE1550="","",Notes!CE1550)</f>
        <v/>
      </c>
      <c r="H1554" s="7" t="str">
        <f>IF(Notes!CF1550="","",Notes!CF1550)</f>
        <v/>
      </c>
      <c r="I1554" s="7"/>
      <c r="J1554" s="7"/>
      <c r="K1554" s="7"/>
    </row>
    <row r="1555" spans="1:11" x14ac:dyDescent="0.35">
      <c r="A1555" s="7" t="str">
        <f>IF(Notes!BY1551="","",Notes!BY1551)</f>
        <v/>
      </c>
      <c r="B1555" s="7" t="str">
        <f>IF(Notes!BZ1551="","",Notes!BZ1551)</f>
        <v/>
      </c>
      <c r="C1555" s="7" t="str">
        <f>IF(Notes!CA1551="","",Notes!CA1551)</f>
        <v/>
      </c>
      <c r="D1555" s="7" t="str">
        <f>IF(Notes!CB1551="","",Notes!CB1551)</f>
        <v/>
      </c>
      <c r="E1555" s="7" t="str">
        <f>IF(Notes!CC1551="","",Notes!CC1551)</f>
        <v/>
      </c>
      <c r="F1555" s="7" t="str">
        <f>IF(Notes!CD1551="","",Notes!CD1551)</f>
        <v/>
      </c>
      <c r="G1555" s="7" t="str">
        <f>IF(Notes!CE1551="","",Notes!CE1551)</f>
        <v/>
      </c>
      <c r="H1555" s="7" t="str">
        <f>IF(Notes!CF1551="","",Notes!CF1551)</f>
        <v/>
      </c>
      <c r="I1555" s="7"/>
      <c r="J1555" s="7"/>
      <c r="K1555" s="7"/>
    </row>
    <row r="1556" spans="1:11" x14ac:dyDescent="0.35">
      <c r="A1556" s="7" t="str">
        <f>IF(Notes!BY1552="","",Notes!BY1552)</f>
        <v/>
      </c>
      <c r="B1556" s="7" t="str">
        <f>IF(Notes!BZ1552="","",Notes!BZ1552)</f>
        <v/>
      </c>
      <c r="C1556" s="7" t="str">
        <f>IF(Notes!CA1552="","",Notes!CA1552)</f>
        <v/>
      </c>
      <c r="D1556" s="7" t="str">
        <f>IF(Notes!CB1552="","",Notes!CB1552)</f>
        <v/>
      </c>
      <c r="E1556" s="7" t="str">
        <f>IF(Notes!CC1552="","",Notes!CC1552)</f>
        <v/>
      </c>
      <c r="F1556" s="7" t="str">
        <f>IF(Notes!CD1552="","",Notes!CD1552)</f>
        <v/>
      </c>
      <c r="G1556" s="7" t="str">
        <f>IF(Notes!CE1552="","",Notes!CE1552)</f>
        <v/>
      </c>
      <c r="H1556" s="7" t="str">
        <f>IF(Notes!CF1552="","",Notes!CF1552)</f>
        <v/>
      </c>
      <c r="I1556" s="7"/>
      <c r="J1556" s="7"/>
      <c r="K1556" s="7"/>
    </row>
    <row r="1557" spans="1:11" x14ac:dyDescent="0.35">
      <c r="A1557" s="7" t="str">
        <f>IF(Notes!BY1553="","",Notes!BY1553)</f>
        <v/>
      </c>
      <c r="B1557" s="7" t="str">
        <f>IF(Notes!BZ1553="","",Notes!BZ1553)</f>
        <v/>
      </c>
      <c r="C1557" s="7" t="str">
        <f>IF(Notes!CA1553="","",Notes!CA1553)</f>
        <v/>
      </c>
      <c r="D1557" s="7" t="str">
        <f>IF(Notes!CB1553="","",Notes!CB1553)</f>
        <v/>
      </c>
      <c r="E1557" s="7" t="str">
        <f>IF(Notes!CC1553="","",Notes!CC1553)</f>
        <v/>
      </c>
      <c r="F1557" s="7" t="str">
        <f>IF(Notes!CD1553="","",Notes!CD1553)</f>
        <v/>
      </c>
      <c r="G1557" s="7" t="str">
        <f>IF(Notes!CE1553="","",Notes!CE1553)</f>
        <v/>
      </c>
      <c r="H1557" s="7" t="str">
        <f>IF(Notes!CF1553="","",Notes!CF1553)</f>
        <v/>
      </c>
      <c r="I1557" s="7"/>
      <c r="J1557" s="7"/>
      <c r="K1557" s="7"/>
    </row>
    <row r="1558" spans="1:11" x14ac:dyDescent="0.35">
      <c r="A1558" s="7" t="str">
        <f>IF(Notes!BY1554="","",Notes!BY1554)</f>
        <v/>
      </c>
      <c r="B1558" s="7" t="str">
        <f>IF(Notes!BZ1554="","",Notes!BZ1554)</f>
        <v/>
      </c>
      <c r="C1558" s="7" t="str">
        <f>IF(Notes!CA1554="","",Notes!CA1554)</f>
        <v/>
      </c>
      <c r="D1558" s="7" t="str">
        <f>IF(Notes!CB1554="","",Notes!CB1554)</f>
        <v/>
      </c>
      <c r="E1558" s="7" t="str">
        <f>IF(Notes!CC1554="","",Notes!CC1554)</f>
        <v/>
      </c>
      <c r="F1558" s="7" t="str">
        <f>IF(Notes!CD1554="","",Notes!CD1554)</f>
        <v/>
      </c>
      <c r="G1558" s="7" t="str">
        <f>IF(Notes!CE1554="","",Notes!CE1554)</f>
        <v/>
      </c>
      <c r="H1558" s="7" t="str">
        <f>IF(Notes!CF1554="","",Notes!CF1554)</f>
        <v/>
      </c>
      <c r="I1558" s="7"/>
      <c r="J1558" s="7"/>
      <c r="K1558" s="7"/>
    </row>
    <row r="1559" spans="1:11" x14ac:dyDescent="0.35">
      <c r="A1559" s="7" t="str">
        <f>IF(Notes!BY1555="","",Notes!BY1555)</f>
        <v/>
      </c>
      <c r="B1559" s="7" t="str">
        <f>IF(Notes!BZ1555="","",Notes!BZ1555)</f>
        <v/>
      </c>
      <c r="C1559" s="7" t="str">
        <f>IF(Notes!CA1555="","",Notes!CA1555)</f>
        <v/>
      </c>
      <c r="D1559" s="7" t="str">
        <f>IF(Notes!CB1555="","",Notes!CB1555)</f>
        <v/>
      </c>
      <c r="E1559" s="7" t="str">
        <f>IF(Notes!CC1555="","",Notes!CC1555)</f>
        <v/>
      </c>
      <c r="F1559" s="7" t="str">
        <f>IF(Notes!CD1555="","",Notes!CD1555)</f>
        <v/>
      </c>
      <c r="G1559" s="7" t="str">
        <f>IF(Notes!CE1555="","",Notes!CE1555)</f>
        <v/>
      </c>
      <c r="H1559" s="7" t="str">
        <f>IF(Notes!CF1555="","",Notes!CF1555)</f>
        <v/>
      </c>
      <c r="I1559" s="7"/>
      <c r="J1559" s="7"/>
      <c r="K1559" s="7"/>
    </row>
    <row r="1560" spans="1:11" x14ac:dyDescent="0.35">
      <c r="A1560" s="7" t="str">
        <f>IF(Notes!BY1556="","",Notes!BY1556)</f>
        <v/>
      </c>
      <c r="B1560" s="7" t="str">
        <f>IF(Notes!BZ1556="","",Notes!BZ1556)</f>
        <v/>
      </c>
      <c r="C1560" s="7" t="str">
        <f>IF(Notes!CA1556="","",Notes!CA1556)</f>
        <v/>
      </c>
      <c r="D1560" s="7" t="str">
        <f>IF(Notes!CB1556="","",Notes!CB1556)</f>
        <v/>
      </c>
      <c r="E1560" s="7" t="str">
        <f>IF(Notes!CC1556="","",Notes!CC1556)</f>
        <v/>
      </c>
      <c r="F1560" s="7" t="str">
        <f>IF(Notes!CD1556="","",Notes!CD1556)</f>
        <v/>
      </c>
      <c r="G1560" s="7" t="str">
        <f>IF(Notes!CE1556="","",Notes!CE1556)</f>
        <v/>
      </c>
      <c r="H1560" s="7" t="str">
        <f>IF(Notes!CF1556="","",Notes!CF1556)</f>
        <v/>
      </c>
      <c r="I1560" s="7"/>
      <c r="J1560" s="7"/>
      <c r="K1560" s="7"/>
    </row>
    <row r="1561" spans="1:11" x14ac:dyDescent="0.35">
      <c r="A1561" s="7" t="str">
        <f>IF(Notes!BY1557="","",Notes!BY1557)</f>
        <v/>
      </c>
      <c r="B1561" s="7" t="str">
        <f>IF(Notes!BZ1557="","",Notes!BZ1557)</f>
        <v/>
      </c>
      <c r="C1561" s="7" t="str">
        <f>IF(Notes!CA1557="","",Notes!CA1557)</f>
        <v/>
      </c>
      <c r="D1561" s="7" t="str">
        <f>IF(Notes!CB1557="","",Notes!CB1557)</f>
        <v/>
      </c>
      <c r="E1561" s="7" t="str">
        <f>IF(Notes!CC1557="","",Notes!CC1557)</f>
        <v/>
      </c>
      <c r="F1561" s="7" t="str">
        <f>IF(Notes!CD1557="","",Notes!CD1557)</f>
        <v/>
      </c>
      <c r="G1561" s="7" t="str">
        <f>IF(Notes!CE1557="","",Notes!CE1557)</f>
        <v/>
      </c>
      <c r="H1561" s="7" t="str">
        <f>IF(Notes!CF1557="","",Notes!CF1557)</f>
        <v/>
      </c>
      <c r="I1561" s="7"/>
      <c r="J1561" s="7"/>
      <c r="K1561" s="7"/>
    </row>
    <row r="1562" spans="1:11" x14ac:dyDescent="0.35">
      <c r="A1562" s="7" t="str">
        <f>IF(Notes!BY1558="","",Notes!BY1558)</f>
        <v/>
      </c>
      <c r="B1562" s="7" t="str">
        <f>IF(Notes!BZ1558="","",Notes!BZ1558)</f>
        <v/>
      </c>
      <c r="C1562" s="7" t="str">
        <f>IF(Notes!CA1558="","",Notes!CA1558)</f>
        <v/>
      </c>
      <c r="D1562" s="7" t="str">
        <f>IF(Notes!CB1558="","",Notes!CB1558)</f>
        <v/>
      </c>
      <c r="E1562" s="7" t="str">
        <f>IF(Notes!CC1558="","",Notes!CC1558)</f>
        <v/>
      </c>
      <c r="F1562" s="7" t="str">
        <f>IF(Notes!CD1558="","",Notes!CD1558)</f>
        <v/>
      </c>
      <c r="G1562" s="7" t="str">
        <f>IF(Notes!CE1558="","",Notes!CE1558)</f>
        <v/>
      </c>
      <c r="H1562" s="7" t="str">
        <f>IF(Notes!CF1558="","",Notes!CF1558)</f>
        <v/>
      </c>
      <c r="I1562" s="7"/>
      <c r="J1562" s="7"/>
      <c r="K1562" s="7"/>
    </row>
    <row r="1563" spans="1:11" x14ac:dyDescent="0.35">
      <c r="A1563" s="7" t="str">
        <f>IF(Notes!BY1559="","",Notes!BY1559)</f>
        <v/>
      </c>
      <c r="B1563" s="7" t="str">
        <f>IF(Notes!BZ1559="","",Notes!BZ1559)</f>
        <v/>
      </c>
      <c r="C1563" s="7" t="str">
        <f>IF(Notes!CA1559="","",Notes!CA1559)</f>
        <v/>
      </c>
      <c r="D1563" s="7" t="str">
        <f>IF(Notes!CB1559="","",Notes!CB1559)</f>
        <v/>
      </c>
      <c r="E1563" s="7" t="str">
        <f>IF(Notes!CC1559="","",Notes!CC1559)</f>
        <v/>
      </c>
      <c r="F1563" s="7" t="str">
        <f>IF(Notes!CD1559="","",Notes!CD1559)</f>
        <v/>
      </c>
      <c r="G1563" s="7" t="str">
        <f>IF(Notes!CE1559="","",Notes!CE1559)</f>
        <v/>
      </c>
      <c r="H1563" s="7" t="str">
        <f>IF(Notes!CF1559="","",Notes!CF1559)</f>
        <v/>
      </c>
      <c r="I1563" s="7"/>
      <c r="J1563" s="7"/>
      <c r="K1563" s="7"/>
    </row>
    <row r="1564" spans="1:11" x14ac:dyDescent="0.35">
      <c r="A1564" s="7" t="str">
        <f>IF(Notes!BY1560="","",Notes!BY1560)</f>
        <v/>
      </c>
      <c r="B1564" s="7" t="str">
        <f>IF(Notes!BZ1560="","",Notes!BZ1560)</f>
        <v/>
      </c>
      <c r="C1564" s="7" t="str">
        <f>IF(Notes!CA1560="","",Notes!CA1560)</f>
        <v/>
      </c>
      <c r="D1564" s="7" t="str">
        <f>IF(Notes!CB1560="","",Notes!CB1560)</f>
        <v/>
      </c>
      <c r="E1564" s="7" t="str">
        <f>IF(Notes!CC1560="","",Notes!CC1560)</f>
        <v/>
      </c>
      <c r="F1564" s="7" t="str">
        <f>IF(Notes!CD1560="","",Notes!CD1560)</f>
        <v/>
      </c>
      <c r="G1564" s="7" t="str">
        <f>IF(Notes!CE1560="","",Notes!CE1560)</f>
        <v/>
      </c>
      <c r="H1564" s="7" t="str">
        <f>IF(Notes!CF1560="","",Notes!CF1560)</f>
        <v/>
      </c>
      <c r="I1564" s="7"/>
      <c r="J1564" s="7"/>
      <c r="K1564" s="7"/>
    </row>
    <row r="1565" spans="1:11" x14ac:dyDescent="0.35">
      <c r="A1565" s="7" t="str">
        <f>IF(Notes!BY1561="","",Notes!BY1561)</f>
        <v/>
      </c>
      <c r="B1565" s="7" t="str">
        <f>IF(Notes!BZ1561="","",Notes!BZ1561)</f>
        <v/>
      </c>
      <c r="C1565" s="7" t="str">
        <f>IF(Notes!CA1561="","",Notes!CA1561)</f>
        <v/>
      </c>
      <c r="D1565" s="7" t="str">
        <f>IF(Notes!CB1561="","",Notes!CB1561)</f>
        <v/>
      </c>
      <c r="E1565" s="7" t="str">
        <f>IF(Notes!CC1561="","",Notes!CC1561)</f>
        <v/>
      </c>
      <c r="F1565" s="7" t="str">
        <f>IF(Notes!CD1561="","",Notes!CD1561)</f>
        <v/>
      </c>
      <c r="G1565" s="7" t="str">
        <f>IF(Notes!CE1561="","",Notes!CE1561)</f>
        <v/>
      </c>
      <c r="H1565" s="7" t="str">
        <f>IF(Notes!CF1561="","",Notes!CF1561)</f>
        <v/>
      </c>
      <c r="I1565" s="7"/>
      <c r="J1565" s="7"/>
      <c r="K1565" s="7"/>
    </row>
    <row r="1566" spans="1:11" x14ac:dyDescent="0.35">
      <c r="A1566" s="7" t="str">
        <f>IF(Notes!BY1562="","",Notes!BY1562)</f>
        <v/>
      </c>
      <c r="B1566" s="7" t="str">
        <f>IF(Notes!BZ1562="","",Notes!BZ1562)</f>
        <v/>
      </c>
      <c r="C1566" s="7" t="str">
        <f>IF(Notes!CA1562="","",Notes!CA1562)</f>
        <v/>
      </c>
      <c r="D1566" s="7" t="str">
        <f>IF(Notes!CB1562="","",Notes!CB1562)</f>
        <v/>
      </c>
      <c r="E1566" s="7" t="str">
        <f>IF(Notes!CC1562="","",Notes!CC1562)</f>
        <v/>
      </c>
      <c r="F1566" s="7" t="str">
        <f>IF(Notes!CD1562="","",Notes!CD1562)</f>
        <v/>
      </c>
      <c r="G1566" s="7" t="str">
        <f>IF(Notes!CE1562="","",Notes!CE1562)</f>
        <v/>
      </c>
      <c r="H1566" s="7" t="str">
        <f>IF(Notes!CF1562="","",Notes!CF1562)</f>
        <v/>
      </c>
      <c r="I1566" s="7"/>
      <c r="J1566" s="7"/>
      <c r="K1566" s="7"/>
    </row>
    <row r="1567" spans="1:11" x14ac:dyDescent="0.35">
      <c r="A1567" s="7" t="str">
        <f>IF(Notes!BY1563="","",Notes!BY1563)</f>
        <v/>
      </c>
      <c r="B1567" s="7" t="str">
        <f>IF(Notes!BZ1563="","",Notes!BZ1563)</f>
        <v/>
      </c>
      <c r="C1567" s="7" t="str">
        <f>IF(Notes!CA1563="","",Notes!CA1563)</f>
        <v/>
      </c>
      <c r="D1567" s="7" t="str">
        <f>IF(Notes!CB1563="","",Notes!CB1563)</f>
        <v/>
      </c>
      <c r="E1567" s="7" t="str">
        <f>IF(Notes!CC1563="","",Notes!CC1563)</f>
        <v/>
      </c>
      <c r="F1567" s="7" t="str">
        <f>IF(Notes!CD1563="","",Notes!CD1563)</f>
        <v/>
      </c>
      <c r="G1567" s="7" t="str">
        <f>IF(Notes!CE1563="","",Notes!CE1563)</f>
        <v/>
      </c>
      <c r="H1567" s="7" t="str">
        <f>IF(Notes!CF1563="","",Notes!CF1563)</f>
        <v/>
      </c>
      <c r="I1567" s="7"/>
      <c r="J1567" s="7"/>
      <c r="K1567" s="7"/>
    </row>
    <row r="1568" spans="1:11" x14ac:dyDescent="0.35">
      <c r="A1568" s="7" t="str">
        <f>IF(Notes!BY1564="","",Notes!BY1564)</f>
        <v/>
      </c>
      <c r="B1568" s="7" t="str">
        <f>IF(Notes!BZ1564="","",Notes!BZ1564)</f>
        <v/>
      </c>
      <c r="C1568" s="7" t="str">
        <f>IF(Notes!CA1564="","",Notes!CA1564)</f>
        <v/>
      </c>
      <c r="D1568" s="7" t="str">
        <f>IF(Notes!CB1564="","",Notes!CB1564)</f>
        <v/>
      </c>
      <c r="E1568" s="7" t="str">
        <f>IF(Notes!CC1564="","",Notes!CC1564)</f>
        <v/>
      </c>
      <c r="F1568" s="7" t="str">
        <f>IF(Notes!CD1564="","",Notes!CD1564)</f>
        <v/>
      </c>
      <c r="G1568" s="7" t="str">
        <f>IF(Notes!CE1564="","",Notes!CE1564)</f>
        <v/>
      </c>
      <c r="H1568" s="7" t="str">
        <f>IF(Notes!CF1564="","",Notes!CF1564)</f>
        <v/>
      </c>
      <c r="I1568" s="7"/>
      <c r="J1568" s="7"/>
      <c r="K1568" s="7"/>
    </row>
    <row r="1569" spans="1:11" x14ac:dyDescent="0.35">
      <c r="A1569" s="7" t="str">
        <f>IF(Notes!BY1565="","",Notes!BY1565)</f>
        <v/>
      </c>
      <c r="B1569" s="7" t="str">
        <f>IF(Notes!BZ1565="","",Notes!BZ1565)</f>
        <v/>
      </c>
      <c r="C1569" s="7" t="str">
        <f>IF(Notes!CA1565="","",Notes!CA1565)</f>
        <v/>
      </c>
      <c r="D1569" s="7" t="str">
        <f>IF(Notes!CB1565="","",Notes!CB1565)</f>
        <v/>
      </c>
      <c r="E1569" s="7" t="str">
        <f>IF(Notes!CC1565="","",Notes!CC1565)</f>
        <v/>
      </c>
      <c r="F1569" s="7" t="str">
        <f>IF(Notes!CD1565="","",Notes!CD1565)</f>
        <v/>
      </c>
      <c r="G1569" s="7" t="str">
        <f>IF(Notes!CE1565="","",Notes!CE1565)</f>
        <v/>
      </c>
      <c r="H1569" s="7" t="str">
        <f>IF(Notes!CF1565="","",Notes!CF1565)</f>
        <v/>
      </c>
      <c r="I1569" s="7"/>
      <c r="J1569" s="7"/>
      <c r="K1569" s="7"/>
    </row>
    <row r="1570" spans="1:11" x14ac:dyDescent="0.35">
      <c r="A1570" s="7" t="str">
        <f>IF(Notes!BY1566="","",Notes!BY1566)</f>
        <v/>
      </c>
      <c r="B1570" s="7" t="str">
        <f>IF(Notes!BZ1566="","",Notes!BZ1566)</f>
        <v/>
      </c>
      <c r="C1570" s="7" t="str">
        <f>IF(Notes!CA1566="","",Notes!CA1566)</f>
        <v/>
      </c>
      <c r="D1570" s="7" t="str">
        <f>IF(Notes!CB1566="","",Notes!CB1566)</f>
        <v/>
      </c>
      <c r="E1570" s="7" t="str">
        <f>IF(Notes!CC1566="","",Notes!CC1566)</f>
        <v/>
      </c>
      <c r="F1570" s="7" t="str">
        <f>IF(Notes!CD1566="","",Notes!CD1566)</f>
        <v/>
      </c>
      <c r="G1570" s="7" t="str">
        <f>IF(Notes!CE1566="","",Notes!CE1566)</f>
        <v/>
      </c>
      <c r="H1570" s="7" t="str">
        <f>IF(Notes!CF1566="","",Notes!CF1566)</f>
        <v/>
      </c>
      <c r="I1570" s="7"/>
      <c r="J1570" s="7"/>
      <c r="K1570" s="7"/>
    </row>
    <row r="1571" spans="1:11" x14ac:dyDescent="0.35">
      <c r="A1571" s="7" t="str">
        <f>IF(Notes!BY1567="","",Notes!BY1567)</f>
        <v/>
      </c>
      <c r="B1571" s="7" t="str">
        <f>IF(Notes!BZ1567="","",Notes!BZ1567)</f>
        <v/>
      </c>
      <c r="C1571" s="7" t="str">
        <f>IF(Notes!CA1567="","",Notes!CA1567)</f>
        <v/>
      </c>
      <c r="D1571" s="7" t="str">
        <f>IF(Notes!CB1567="","",Notes!CB1567)</f>
        <v/>
      </c>
      <c r="E1571" s="7" t="str">
        <f>IF(Notes!CC1567="","",Notes!CC1567)</f>
        <v/>
      </c>
      <c r="F1571" s="7" t="str">
        <f>IF(Notes!CD1567="","",Notes!CD1567)</f>
        <v/>
      </c>
      <c r="G1571" s="7" t="str">
        <f>IF(Notes!CE1567="","",Notes!CE1567)</f>
        <v/>
      </c>
      <c r="H1571" s="7" t="str">
        <f>IF(Notes!CF1567="","",Notes!CF1567)</f>
        <v/>
      </c>
      <c r="I1571" s="7"/>
      <c r="J1571" s="7"/>
      <c r="K1571" s="7"/>
    </row>
    <row r="1572" spans="1:11" x14ac:dyDescent="0.35">
      <c r="A1572" s="7" t="str">
        <f>IF(Notes!BY1568="","",Notes!BY1568)</f>
        <v/>
      </c>
      <c r="B1572" s="7" t="str">
        <f>IF(Notes!BZ1568="","",Notes!BZ1568)</f>
        <v/>
      </c>
      <c r="C1572" s="7" t="str">
        <f>IF(Notes!CA1568="","",Notes!CA1568)</f>
        <v/>
      </c>
      <c r="D1572" s="7" t="str">
        <f>IF(Notes!CB1568="","",Notes!CB1568)</f>
        <v/>
      </c>
      <c r="E1572" s="7" t="str">
        <f>IF(Notes!CC1568="","",Notes!CC1568)</f>
        <v/>
      </c>
      <c r="F1572" s="7" t="str">
        <f>IF(Notes!CD1568="","",Notes!CD1568)</f>
        <v/>
      </c>
      <c r="G1572" s="7" t="str">
        <f>IF(Notes!CE1568="","",Notes!CE1568)</f>
        <v/>
      </c>
      <c r="H1572" s="7" t="str">
        <f>IF(Notes!CF1568="","",Notes!CF1568)</f>
        <v/>
      </c>
      <c r="I1572" s="7"/>
      <c r="J1572" s="7"/>
      <c r="K1572" s="7"/>
    </row>
    <row r="1573" spans="1:11" x14ac:dyDescent="0.35">
      <c r="A1573" s="7" t="str">
        <f>IF(Notes!BY1569="","",Notes!BY1569)</f>
        <v/>
      </c>
      <c r="B1573" s="7" t="str">
        <f>IF(Notes!BZ1569="","",Notes!BZ1569)</f>
        <v/>
      </c>
      <c r="C1573" s="7" t="str">
        <f>IF(Notes!CA1569="","",Notes!CA1569)</f>
        <v/>
      </c>
      <c r="D1573" s="7" t="str">
        <f>IF(Notes!CB1569="","",Notes!CB1569)</f>
        <v/>
      </c>
      <c r="E1573" s="7" t="str">
        <f>IF(Notes!CC1569="","",Notes!CC1569)</f>
        <v/>
      </c>
      <c r="F1573" s="7" t="str">
        <f>IF(Notes!CD1569="","",Notes!CD1569)</f>
        <v/>
      </c>
      <c r="G1573" s="7" t="str">
        <f>IF(Notes!CE1569="","",Notes!CE1569)</f>
        <v/>
      </c>
      <c r="H1573" s="7" t="str">
        <f>IF(Notes!CF1569="","",Notes!CF1569)</f>
        <v/>
      </c>
      <c r="I1573" s="7"/>
      <c r="J1573" s="7"/>
      <c r="K1573" s="7"/>
    </row>
    <row r="1574" spans="1:11" x14ac:dyDescent="0.35">
      <c r="A1574" s="7" t="str">
        <f>IF(Notes!BY1570="","",Notes!BY1570)</f>
        <v/>
      </c>
      <c r="B1574" s="7" t="str">
        <f>IF(Notes!BZ1570="","",Notes!BZ1570)</f>
        <v/>
      </c>
      <c r="C1574" s="7" t="str">
        <f>IF(Notes!CA1570="","",Notes!CA1570)</f>
        <v/>
      </c>
      <c r="D1574" s="7" t="str">
        <f>IF(Notes!CB1570="","",Notes!CB1570)</f>
        <v/>
      </c>
      <c r="E1574" s="7" t="str">
        <f>IF(Notes!CC1570="","",Notes!CC1570)</f>
        <v/>
      </c>
      <c r="F1574" s="7" t="str">
        <f>IF(Notes!CD1570="","",Notes!CD1570)</f>
        <v/>
      </c>
      <c r="G1574" s="7" t="str">
        <f>IF(Notes!CE1570="","",Notes!CE1570)</f>
        <v/>
      </c>
      <c r="H1574" s="7" t="str">
        <f>IF(Notes!CF1570="","",Notes!CF1570)</f>
        <v/>
      </c>
      <c r="I1574" s="7"/>
      <c r="J1574" s="7"/>
      <c r="K1574" s="7"/>
    </row>
    <row r="1575" spans="1:11" x14ac:dyDescent="0.35">
      <c r="A1575" s="7" t="str">
        <f>IF(Notes!BY1571="","",Notes!BY1571)</f>
        <v/>
      </c>
      <c r="B1575" s="7" t="str">
        <f>IF(Notes!BZ1571="","",Notes!BZ1571)</f>
        <v/>
      </c>
      <c r="C1575" s="7" t="str">
        <f>IF(Notes!CA1571="","",Notes!CA1571)</f>
        <v/>
      </c>
      <c r="D1575" s="7" t="str">
        <f>IF(Notes!CB1571="","",Notes!CB1571)</f>
        <v/>
      </c>
      <c r="E1575" s="7" t="str">
        <f>IF(Notes!CC1571="","",Notes!CC1571)</f>
        <v/>
      </c>
      <c r="F1575" s="7" t="str">
        <f>IF(Notes!CD1571="","",Notes!CD1571)</f>
        <v/>
      </c>
      <c r="G1575" s="7" t="str">
        <f>IF(Notes!CE1571="","",Notes!CE1571)</f>
        <v/>
      </c>
      <c r="H1575" s="7" t="str">
        <f>IF(Notes!CF1571="","",Notes!CF1571)</f>
        <v/>
      </c>
      <c r="I1575" s="7"/>
      <c r="J1575" s="7"/>
      <c r="K1575" s="7"/>
    </row>
    <row r="1576" spans="1:11" x14ac:dyDescent="0.35">
      <c r="A1576" s="7" t="str">
        <f>IF(Notes!BY1572="","",Notes!BY1572)</f>
        <v/>
      </c>
      <c r="B1576" s="7" t="str">
        <f>IF(Notes!BZ1572="","",Notes!BZ1572)</f>
        <v/>
      </c>
      <c r="C1576" s="7" t="str">
        <f>IF(Notes!CA1572="","",Notes!CA1572)</f>
        <v/>
      </c>
      <c r="D1576" s="7" t="str">
        <f>IF(Notes!CB1572="","",Notes!CB1572)</f>
        <v/>
      </c>
      <c r="E1576" s="7" t="str">
        <f>IF(Notes!CC1572="","",Notes!CC1572)</f>
        <v/>
      </c>
      <c r="F1576" s="7" t="str">
        <f>IF(Notes!CD1572="","",Notes!CD1572)</f>
        <v/>
      </c>
      <c r="G1576" s="7" t="str">
        <f>IF(Notes!CE1572="","",Notes!CE1572)</f>
        <v/>
      </c>
      <c r="H1576" s="7" t="str">
        <f>IF(Notes!CF1572="","",Notes!CF1572)</f>
        <v/>
      </c>
      <c r="I1576" s="7"/>
      <c r="J1576" s="7"/>
      <c r="K1576" s="7"/>
    </row>
    <row r="1577" spans="1:11" x14ac:dyDescent="0.35">
      <c r="A1577" s="7" t="str">
        <f>IF(Notes!BY1573="","",Notes!BY1573)</f>
        <v/>
      </c>
      <c r="B1577" s="7" t="str">
        <f>IF(Notes!BZ1573="","",Notes!BZ1573)</f>
        <v/>
      </c>
      <c r="C1577" s="7" t="str">
        <f>IF(Notes!CA1573="","",Notes!CA1573)</f>
        <v/>
      </c>
      <c r="D1577" s="7" t="str">
        <f>IF(Notes!CB1573="","",Notes!CB1573)</f>
        <v/>
      </c>
      <c r="E1577" s="7" t="str">
        <f>IF(Notes!CC1573="","",Notes!CC1573)</f>
        <v/>
      </c>
      <c r="F1577" s="7" t="str">
        <f>IF(Notes!CD1573="","",Notes!CD1573)</f>
        <v/>
      </c>
      <c r="G1577" s="7" t="str">
        <f>IF(Notes!CE1573="","",Notes!CE1573)</f>
        <v/>
      </c>
      <c r="H1577" s="7" t="str">
        <f>IF(Notes!CF1573="","",Notes!CF1573)</f>
        <v/>
      </c>
      <c r="I1577" s="7"/>
      <c r="J1577" s="7"/>
      <c r="K1577" s="7"/>
    </row>
    <row r="1578" spans="1:11" x14ac:dyDescent="0.35">
      <c r="A1578" s="7" t="str">
        <f>IF(Notes!BY1574="","",Notes!BY1574)</f>
        <v/>
      </c>
      <c r="B1578" s="7" t="str">
        <f>IF(Notes!BZ1574="","",Notes!BZ1574)</f>
        <v/>
      </c>
      <c r="C1578" s="7" t="str">
        <f>IF(Notes!CA1574="","",Notes!CA1574)</f>
        <v/>
      </c>
      <c r="D1578" s="7" t="str">
        <f>IF(Notes!CB1574="","",Notes!CB1574)</f>
        <v/>
      </c>
      <c r="E1578" s="7" t="str">
        <f>IF(Notes!CC1574="","",Notes!CC1574)</f>
        <v/>
      </c>
      <c r="F1578" s="7" t="str">
        <f>IF(Notes!CD1574="","",Notes!CD1574)</f>
        <v/>
      </c>
      <c r="G1578" s="7" t="str">
        <f>IF(Notes!CE1574="","",Notes!CE1574)</f>
        <v/>
      </c>
      <c r="H1578" s="7" t="str">
        <f>IF(Notes!CF1574="","",Notes!CF1574)</f>
        <v/>
      </c>
      <c r="I1578" s="7"/>
      <c r="J1578" s="7"/>
      <c r="K1578" s="7"/>
    </row>
    <row r="1579" spans="1:11" x14ac:dyDescent="0.35">
      <c r="A1579" s="7" t="str">
        <f>IF(Notes!BY1575="","",Notes!BY1575)</f>
        <v/>
      </c>
      <c r="B1579" s="7" t="str">
        <f>IF(Notes!BZ1575="","",Notes!BZ1575)</f>
        <v/>
      </c>
      <c r="C1579" s="7" t="str">
        <f>IF(Notes!CA1575="","",Notes!CA1575)</f>
        <v/>
      </c>
      <c r="D1579" s="7" t="str">
        <f>IF(Notes!CB1575="","",Notes!CB1575)</f>
        <v/>
      </c>
      <c r="E1579" s="7" t="str">
        <f>IF(Notes!CC1575="","",Notes!CC1575)</f>
        <v/>
      </c>
      <c r="F1579" s="7" t="str">
        <f>IF(Notes!CD1575="","",Notes!CD1575)</f>
        <v/>
      </c>
      <c r="G1579" s="7" t="str">
        <f>IF(Notes!CE1575="","",Notes!CE1575)</f>
        <v/>
      </c>
      <c r="H1579" s="7" t="str">
        <f>IF(Notes!CF1575="","",Notes!CF1575)</f>
        <v/>
      </c>
      <c r="I1579" s="7"/>
      <c r="J1579" s="7"/>
      <c r="K1579" s="7"/>
    </row>
    <row r="1580" spans="1:11" x14ac:dyDescent="0.35">
      <c r="A1580" s="7" t="str">
        <f>IF(Notes!BY1576="","",Notes!BY1576)</f>
        <v/>
      </c>
      <c r="B1580" s="7" t="str">
        <f>IF(Notes!BZ1576="","",Notes!BZ1576)</f>
        <v/>
      </c>
      <c r="C1580" s="7" t="str">
        <f>IF(Notes!CA1576="","",Notes!CA1576)</f>
        <v/>
      </c>
      <c r="D1580" s="7" t="str">
        <f>IF(Notes!CB1576="","",Notes!CB1576)</f>
        <v/>
      </c>
      <c r="E1580" s="7" t="str">
        <f>IF(Notes!CC1576="","",Notes!CC1576)</f>
        <v/>
      </c>
      <c r="F1580" s="7" t="str">
        <f>IF(Notes!CD1576="","",Notes!CD1576)</f>
        <v/>
      </c>
      <c r="G1580" s="7" t="str">
        <f>IF(Notes!CE1576="","",Notes!CE1576)</f>
        <v/>
      </c>
      <c r="H1580" s="7" t="str">
        <f>IF(Notes!CF1576="","",Notes!CF1576)</f>
        <v/>
      </c>
      <c r="I1580" s="7"/>
      <c r="J1580" s="7"/>
      <c r="K1580" s="7"/>
    </row>
    <row r="1581" spans="1:11" x14ac:dyDescent="0.35">
      <c r="A1581" s="7" t="str">
        <f>IF(Notes!BY1577="","",Notes!BY1577)</f>
        <v/>
      </c>
      <c r="B1581" s="7" t="str">
        <f>IF(Notes!BZ1577="","",Notes!BZ1577)</f>
        <v/>
      </c>
      <c r="C1581" s="7" t="str">
        <f>IF(Notes!CA1577="","",Notes!CA1577)</f>
        <v/>
      </c>
      <c r="D1581" s="7" t="str">
        <f>IF(Notes!CB1577="","",Notes!CB1577)</f>
        <v/>
      </c>
      <c r="E1581" s="7" t="str">
        <f>IF(Notes!CC1577="","",Notes!CC1577)</f>
        <v/>
      </c>
      <c r="F1581" s="7" t="str">
        <f>IF(Notes!CD1577="","",Notes!CD1577)</f>
        <v/>
      </c>
      <c r="G1581" s="7" t="str">
        <f>IF(Notes!CE1577="","",Notes!CE1577)</f>
        <v/>
      </c>
      <c r="H1581" s="7" t="str">
        <f>IF(Notes!CF1577="","",Notes!CF1577)</f>
        <v/>
      </c>
      <c r="I1581" s="7"/>
      <c r="J1581" s="7"/>
      <c r="K1581" s="7"/>
    </row>
    <row r="1582" spans="1:11" x14ac:dyDescent="0.35">
      <c r="A1582" s="7" t="str">
        <f>IF(Notes!BY1578="","",Notes!BY1578)</f>
        <v/>
      </c>
      <c r="B1582" s="7" t="str">
        <f>IF(Notes!BZ1578="","",Notes!BZ1578)</f>
        <v/>
      </c>
      <c r="C1582" s="7" t="str">
        <f>IF(Notes!CA1578="","",Notes!CA1578)</f>
        <v/>
      </c>
      <c r="D1582" s="7" t="str">
        <f>IF(Notes!CB1578="","",Notes!CB1578)</f>
        <v/>
      </c>
      <c r="E1582" s="7" t="str">
        <f>IF(Notes!CC1578="","",Notes!CC1578)</f>
        <v/>
      </c>
      <c r="F1582" s="7" t="str">
        <f>IF(Notes!CD1578="","",Notes!CD1578)</f>
        <v/>
      </c>
      <c r="G1582" s="7" t="str">
        <f>IF(Notes!CE1578="","",Notes!CE1578)</f>
        <v/>
      </c>
      <c r="H1582" s="7" t="str">
        <f>IF(Notes!CF1578="","",Notes!CF1578)</f>
        <v/>
      </c>
      <c r="I1582" s="7"/>
      <c r="J1582" s="7"/>
      <c r="K1582" s="7"/>
    </row>
    <row r="1583" spans="1:11" x14ac:dyDescent="0.35">
      <c r="A1583" s="7" t="str">
        <f>IF(Notes!BY1579="","",Notes!BY1579)</f>
        <v/>
      </c>
      <c r="B1583" s="7" t="str">
        <f>IF(Notes!BZ1579="","",Notes!BZ1579)</f>
        <v/>
      </c>
      <c r="C1583" s="7" t="str">
        <f>IF(Notes!CA1579="","",Notes!CA1579)</f>
        <v/>
      </c>
      <c r="D1583" s="7" t="str">
        <f>IF(Notes!CB1579="","",Notes!CB1579)</f>
        <v/>
      </c>
      <c r="E1583" s="7" t="str">
        <f>IF(Notes!CC1579="","",Notes!CC1579)</f>
        <v/>
      </c>
      <c r="F1583" s="7" t="str">
        <f>IF(Notes!CD1579="","",Notes!CD1579)</f>
        <v/>
      </c>
      <c r="G1583" s="7" t="str">
        <f>IF(Notes!CE1579="","",Notes!CE1579)</f>
        <v/>
      </c>
      <c r="H1583" s="7" t="str">
        <f>IF(Notes!CF1579="","",Notes!CF1579)</f>
        <v/>
      </c>
      <c r="I1583" s="7"/>
      <c r="J1583" s="7"/>
      <c r="K1583" s="7"/>
    </row>
    <row r="1584" spans="1:11" x14ac:dyDescent="0.35">
      <c r="A1584" s="7" t="str">
        <f>IF(Notes!BY1580="","",Notes!BY1580)</f>
        <v/>
      </c>
      <c r="B1584" s="7" t="str">
        <f>IF(Notes!BZ1580="","",Notes!BZ1580)</f>
        <v/>
      </c>
      <c r="C1584" s="7" t="str">
        <f>IF(Notes!CA1580="","",Notes!CA1580)</f>
        <v/>
      </c>
      <c r="D1584" s="7" t="str">
        <f>IF(Notes!CB1580="","",Notes!CB1580)</f>
        <v/>
      </c>
      <c r="E1584" s="7" t="str">
        <f>IF(Notes!CC1580="","",Notes!CC1580)</f>
        <v/>
      </c>
      <c r="F1584" s="7" t="str">
        <f>IF(Notes!CD1580="","",Notes!CD1580)</f>
        <v/>
      </c>
      <c r="G1584" s="7" t="str">
        <f>IF(Notes!CE1580="","",Notes!CE1580)</f>
        <v/>
      </c>
      <c r="H1584" s="7" t="str">
        <f>IF(Notes!CF1580="","",Notes!CF1580)</f>
        <v/>
      </c>
      <c r="I1584" s="7"/>
      <c r="J1584" s="7"/>
      <c r="K1584" s="7"/>
    </row>
    <row r="1585" spans="1:11" x14ac:dyDescent="0.35">
      <c r="A1585" s="7" t="str">
        <f>IF(Notes!BY1581="","",Notes!BY1581)</f>
        <v/>
      </c>
      <c r="B1585" s="7" t="str">
        <f>IF(Notes!BZ1581="","",Notes!BZ1581)</f>
        <v/>
      </c>
      <c r="C1585" s="7" t="str">
        <f>IF(Notes!CA1581="","",Notes!CA1581)</f>
        <v/>
      </c>
      <c r="D1585" s="7" t="str">
        <f>IF(Notes!CB1581="","",Notes!CB1581)</f>
        <v/>
      </c>
      <c r="E1585" s="7" t="str">
        <f>IF(Notes!CC1581="","",Notes!CC1581)</f>
        <v/>
      </c>
      <c r="F1585" s="7" t="str">
        <f>IF(Notes!CD1581="","",Notes!CD1581)</f>
        <v/>
      </c>
      <c r="G1585" s="7" t="str">
        <f>IF(Notes!CE1581="","",Notes!CE1581)</f>
        <v/>
      </c>
      <c r="H1585" s="7" t="str">
        <f>IF(Notes!CF1581="","",Notes!CF1581)</f>
        <v/>
      </c>
      <c r="I1585" s="7"/>
      <c r="J1585" s="7"/>
      <c r="K1585" s="7"/>
    </row>
    <row r="1586" spans="1:11" x14ac:dyDescent="0.35">
      <c r="A1586" s="7" t="str">
        <f>IF(Notes!BY1582="","",Notes!BY1582)</f>
        <v/>
      </c>
      <c r="B1586" s="7" t="str">
        <f>IF(Notes!BZ1582="","",Notes!BZ1582)</f>
        <v/>
      </c>
      <c r="C1586" s="7" t="str">
        <f>IF(Notes!CA1582="","",Notes!CA1582)</f>
        <v/>
      </c>
      <c r="D1586" s="7" t="str">
        <f>IF(Notes!CB1582="","",Notes!CB1582)</f>
        <v/>
      </c>
      <c r="E1586" s="7" t="str">
        <f>IF(Notes!CC1582="","",Notes!CC1582)</f>
        <v/>
      </c>
      <c r="F1586" s="7" t="str">
        <f>IF(Notes!CD1582="","",Notes!CD1582)</f>
        <v/>
      </c>
      <c r="G1586" s="7" t="str">
        <f>IF(Notes!CE1582="","",Notes!CE1582)</f>
        <v/>
      </c>
      <c r="H1586" s="7" t="str">
        <f>IF(Notes!CF1582="","",Notes!CF1582)</f>
        <v/>
      </c>
      <c r="I1586" s="7"/>
      <c r="J1586" s="7"/>
      <c r="K1586" s="7"/>
    </row>
    <row r="1587" spans="1:11" x14ac:dyDescent="0.35">
      <c r="A1587" s="7" t="str">
        <f>IF(Notes!BY1583="","",Notes!BY1583)</f>
        <v/>
      </c>
      <c r="B1587" s="7" t="str">
        <f>IF(Notes!BZ1583="","",Notes!BZ1583)</f>
        <v/>
      </c>
      <c r="C1587" s="7" t="str">
        <f>IF(Notes!CA1583="","",Notes!CA1583)</f>
        <v/>
      </c>
      <c r="D1587" s="7" t="str">
        <f>IF(Notes!CB1583="","",Notes!CB1583)</f>
        <v/>
      </c>
      <c r="E1587" s="7" t="str">
        <f>IF(Notes!CC1583="","",Notes!CC1583)</f>
        <v/>
      </c>
      <c r="F1587" s="7" t="str">
        <f>IF(Notes!CD1583="","",Notes!CD1583)</f>
        <v/>
      </c>
      <c r="G1587" s="7" t="str">
        <f>IF(Notes!CE1583="","",Notes!CE1583)</f>
        <v/>
      </c>
      <c r="H1587" s="7" t="str">
        <f>IF(Notes!CF1583="","",Notes!CF1583)</f>
        <v/>
      </c>
      <c r="I1587" s="7"/>
      <c r="J1587" s="7"/>
      <c r="K1587" s="7"/>
    </row>
    <row r="1588" spans="1:11" x14ac:dyDescent="0.35">
      <c r="A1588" s="7" t="str">
        <f>IF(Notes!BY1584="","",Notes!BY1584)</f>
        <v/>
      </c>
      <c r="B1588" s="7" t="str">
        <f>IF(Notes!BZ1584="","",Notes!BZ1584)</f>
        <v/>
      </c>
      <c r="C1588" s="7" t="str">
        <f>IF(Notes!CA1584="","",Notes!CA1584)</f>
        <v/>
      </c>
      <c r="D1588" s="7" t="str">
        <f>IF(Notes!CB1584="","",Notes!CB1584)</f>
        <v/>
      </c>
      <c r="E1588" s="7" t="str">
        <f>IF(Notes!CC1584="","",Notes!CC1584)</f>
        <v/>
      </c>
      <c r="F1588" s="7" t="str">
        <f>IF(Notes!CD1584="","",Notes!CD1584)</f>
        <v/>
      </c>
      <c r="G1588" s="7" t="str">
        <f>IF(Notes!CE1584="","",Notes!CE1584)</f>
        <v/>
      </c>
      <c r="H1588" s="7" t="str">
        <f>IF(Notes!CF1584="","",Notes!CF1584)</f>
        <v/>
      </c>
      <c r="I1588" s="7"/>
      <c r="J1588" s="7"/>
      <c r="K1588" s="7"/>
    </row>
    <row r="1589" spans="1:11" x14ac:dyDescent="0.35">
      <c r="A1589" s="7" t="str">
        <f>IF(Notes!BY1585="","",Notes!BY1585)</f>
        <v/>
      </c>
      <c r="B1589" s="7" t="str">
        <f>IF(Notes!BZ1585="","",Notes!BZ1585)</f>
        <v/>
      </c>
      <c r="C1589" s="7" t="str">
        <f>IF(Notes!CA1585="","",Notes!CA1585)</f>
        <v/>
      </c>
      <c r="D1589" s="7" t="str">
        <f>IF(Notes!CB1585="","",Notes!CB1585)</f>
        <v/>
      </c>
      <c r="E1589" s="7" t="str">
        <f>IF(Notes!CC1585="","",Notes!CC1585)</f>
        <v/>
      </c>
      <c r="F1589" s="7" t="str">
        <f>IF(Notes!CD1585="","",Notes!CD1585)</f>
        <v/>
      </c>
      <c r="G1589" s="7" t="str">
        <f>IF(Notes!CE1585="","",Notes!CE1585)</f>
        <v/>
      </c>
      <c r="H1589" s="7" t="str">
        <f>IF(Notes!CF1585="","",Notes!CF1585)</f>
        <v/>
      </c>
      <c r="I1589" s="7"/>
      <c r="J1589" s="7"/>
      <c r="K1589" s="7"/>
    </row>
    <row r="1590" spans="1:11" x14ac:dyDescent="0.35">
      <c r="A1590" s="7" t="str">
        <f>IF(Notes!BY1586="","",Notes!BY1586)</f>
        <v/>
      </c>
      <c r="B1590" s="7" t="str">
        <f>IF(Notes!BZ1586="","",Notes!BZ1586)</f>
        <v/>
      </c>
      <c r="C1590" s="7" t="str">
        <f>IF(Notes!CA1586="","",Notes!CA1586)</f>
        <v/>
      </c>
      <c r="D1590" s="7" t="str">
        <f>IF(Notes!CB1586="","",Notes!CB1586)</f>
        <v/>
      </c>
      <c r="E1590" s="7" t="str">
        <f>IF(Notes!CC1586="","",Notes!CC1586)</f>
        <v/>
      </c>
      <c r="F1590" s="7" t="str">
        <f>IF(Notes!CD1586="","",Notes!CD1586)</f>
        <v/>
      </c>
      <c r="G1590" s="7" t="str">
        <f>IF(Notes!CE1586="","",Notes!CE1586)</f>
        <v/>
      </c>
      <c r="H1590" s="7" t="str">
        <f>IF(Notes!CF1586="","",Notes!CF1586)</f>
        <v/>
      </c>
      <c r="I1590" s="7"/>
      <c r="J1590" s="7"/>
      <c r="K1590" s="7"/>
    </row>
    <row r="1591" spans="1:11" x14ac:dyDescent="0.35">
      <c r="A1591" s="7" t="str">
        <f>IF(Notes!BY1587="","",Notes!BY1587)</f>
        <v/>
      </c>
      <c r="B1591" s="7" t="str">
        <f>IF(Notes!BZ1587="","",Notes!BZ1587)</f>
        <v/>
      </c>
      <c r="C1591" s="7" t="str">
        <f>IF(Notes!CA1587="","",Notes!CA1587)</f>
        <v/>
      </c>
      <c r="D1591" s="7" t="str">
        <f>IF(Notes!CB1587="","",Notes!CB1587)</f>
        <v/>
      </c>
      <c r="E1591" s="7" t="str">
        <f>IF(Notes!CC1587="","",Notes!CC1587)</f>
        <v/>
      </c>
      <c r="F1591" s="7" t="str">
        <f>IF(Notes!CD1587="","",Notes!CD1587)</f>
        <v/>
      </c>
      <c r="G1591" s="7" t="str">
        <f>IF(Notes!CE1587="","",Notes!CE1587)</f>
        <v/>
      </c>
      <c r="H1591" s="7" t="str">
        <f>IF(Notes!CF1587="","",Notes!CF1587)</f>
        <v/>
      </c>
      <c r="I1591" s="7"/>
      <c r="J1591" s="7"/>
      <c r="K1591" s="7"/>
    </row>
    <row r="1592" spans="1:11" x14ac:dyDescent="0.35">
      <c r="A1592" s="7" t="str">
        <f>IF(Notes!BY1588="","",Notes!BY1588)</f>
        <v/>
      </c>
      <c r="B1592" s="7" t="str">
        <f>IF(Notes!BZ1588="","",Notes!BZ1588)</f>
        <v/>
      </c>
      <c r="C1592" s="7" t="str">
        <f>IF(Notes!CA1588="","",Notes!CA1588)</f>
        <v/>
      </c>
      <c r="D1592" s="7" t="str">
        <f>IF(Notes!CB1588="","",Notes!CB1588)</f>
        <v/>
      </c>
      <c r="E1592" s="7" t="str">
        <f>IF(Notes!CC1588="","",Notes!CC1588)</f>
        <v/>
      </c>
      <c r="F1592" s="7" t="str">
        <f>IF(Notes!CD1588="","",Notes!CD1588)</f>
        <v/>
      </c>
      <c r="G1592" s="7" t="str">
        <f>IF(Notes!CE1588="","",Notes!CE1588)</f>
        <v/>
      </c>
      <c r="H1592" s="7" t="str">
        <f>IF(Notes!CF1588="","",Notes!CF1588)</f>
        <v/>
      </c>
      <c r="I1592" s="7"/>
      <c r="J1592" s="7"/>
      <c r="K1592" s="7"/>
    </row>
    <row r="1593" spans="1:11" x14ac:dyDescent="0.35">
      <c r="A1593" s="7" t="str">
        <f>IF(Notes!BY1589="","",Notes!BY1589)</f>
        <v/>
      </c>
      <c r="B1593" s="7" t="str">
        <f>IF(Notes!BZ1589="","",Notes!BZ1589)</f>
        <v/>
      </c>
      <c r="C1593" s="7" t="str">
        <f>IF(Notes!CA1589="","",Notes!CA1589)</f>
        <v/>
      </c>
      <c r="D1593" s="7" t="str">
        <f>IF(Notes!CB1589="","",Notes!CB1589)</f>
        <v/>
      </c>
      <c r="E1593" s="7" t="str">
        <f>IF(Notes!CC1589="","",Notes!CC1589)</f>
        <v/>
      </c>
      <c r="F1593" s="7" t="str">
        <f>IF(Notes!CD1589="","",Notes!CD1589)</f>
        <v/>
      </c>
      <c r="G1593" s="7" t="str">
        <f>IF(Notes!CE1589="","",Notes!CE1589)</f>
        <v/>
      </c>
      <c r="H1593" s="7" t="str">
        <f>IF(Notes!CF1589="","",Notes!CF1589)</f>
        <v/>
      </c>
      <c r="I1593" s="7"/>
      <c r="J1593" s="7"/>
      <c r="K1593" s="7"/>
    </row>
    <row r="1594" spans="1:11" x14ac:dyDescent="0.35">
      <c r="A1594" s="7" t="str">
        <f>IF(Notes!BY1590="","",Notes!BY1590)</f>
        <v/>
      </c>
      <c r="B1594" s="7" t="str">
        <f>IF(Notes!BZ1590="","",Notes!BZ1590)</f>
        <v/>
      </c>
      <c r="C1594" s="7" t="str">
        <f>IF(Notes!CA1590="","",Notes!CA1590)</f>
        <v/>
      </c>
      <c r="D1594" s="7" t="str">
        <f>IF(Notes!CB1590="","",Notes!CB1590)</f>
        <v/>
      </c>
      <c r="E1594" s="7" t="str">
        <f>IF(Notes!CC1590="","",Notes!CC1590)</f>
        <v/>
      </c>
      <c r="F1594" s="7" t="str">
        <f>IF(Notes!CD1590="","",Notes!CD1590)</f>
        <v/>
      </c>
      <c r="G1594" s="7" t="str">
        <f>IF(Notes!CE1590="","",Notes!CE1590)</f>
        <v/>
      </c>
      <c r="H1594" s="7" t="str">
        <f>IF(Notes!CF1590="","",Notes!CF1590)</f>
        <v/>
      </c>
      <c r="I1594" s="7"/>
      <c r="J1594" s="7"/>
      <c r="K1594" s="7"/>
    </row>
    <row r="1595" spans="1:11" x14ac:dyDescent="0.35">
      <c r="A1595" s="7" t="str">
        <f>IF(Notes!BY1591="","",Notes!BY1591)</f>
        <v/>
      </c>
      <c r="B1595" s="7" t="str">
        <f>IF(Notes!BZ1591="","",Notes!BZ1591)</f>
        <v/>
      </c>
      <c r="C1595" s="7" t="str">
        <f>IF(Notes!CA1591="","",Notes!CA1591)</f>
        <v/>
      </c>
      <c r="D1595" s="7" t="str">
        <f>IF(Notes!CB1591="","",Notes!CB1591)</f>
        <v/>
      </c>
      <c r="E1595" s="7" t="str">
        <f>IF(Notes!CC1591="","",Notes!CC1591)</f>
        <v/>
      </c>
      <c r="F1595" s="7" t="str">
        <f>IF(Notes!CD1591="","",Notes!CD1591)</f>
        <v/>
      </c>
      <c r="G1595" s="7" t="str">
        <f>IF(Notes!CE1591="","",Notes!CE1591)</f>
        <v/>
      </c>
      <c r="H1595" s="7" t="str">
        <f>IF(Notes!CF1591="","",Notes!CF1591)</f>
        <v/>
      </c>
      <c r="I1595" s="7"/>
      <c r="J1595" s="7"/>
      <c r="K1595" s="7"/>
    </row>
    <row r="1596" spans="1:11" x14ac:dyDescent="0.35">
      <c r="A1596" s="7" t="str">
        <f>IF(Notes!BY1592="","",Notes!BY1592)</f>
        <v/>
      </c>
      <c r="B1596" s="7" t="str">
        <f>IF(Notes!BZ1592="","",Notes!BZ1592)</f>
        <v/>
      </c>
      <c r="C1596" s="7" t="str">
        <f>IF(Notes!CA1592="","",Notes!CA1592)</f>
        <v/>
      </c>
      <c r="D1596" s="7" t="str">
        <f>IF(Notes!CB1592="","",Notes!CB1592)</f>
        <v/>
      </c>
      <c r="E1596" s="7" t="str">
        <f>IF(Notes!CC1592="","",Notes!CC1592)</f>
        <v/>
      </c>
      <c r="F1596" s="7" t="str">
        <f>IF(Notes!CD1592="","",Notes!CD1592)</f>
        <v/>
      </c>
      <c r="G1596" s="7" t="str">
        <f>IF(Notes!CE1592="","",Notes!CE1592)</f>
        <v/>
      </c>
      <c r="H1596" s="7" t="str">
        <f>IF(Notes!CF1592="","",Notes!CF1592)</f>
        <v/>
      </c>
      <c r="I1596" s="7"/>
      <c r="J1596" s="7"/>
      <c r="K1596" s="7"/>
    </row>
    <row r="1597" spans="1:11" x14ac:dyDescent="0.35">
      <c r="A1597" s="7" t="str">
        <f>IF(Notes!BY1593="","",Notes!BY1593)</f>
        <v/>
      </c>
      <c r="B1597" s="7" t="str">
        <f>IF(Notes!BZ1593="","",Notes!BZ1593)</f>
        <v/>
      </c>
      <c r="C1597" s="7" t="str">
        <f>IF(Notes!CA1593="","",Notes!CA1593)</f>
        <v/>
      </c>
      <c r="D1597" s="7" t="str">
        <f>IF(Notes!CB1593="","",Notes!CB1593)</f>
        <v/>
      </c>
      <c r="E1597" s="7" t="str">
        <f>IF(Notes!CC1593="","",Notes!CC1593)</f>
        <v/>
      </c>
      <c r="F1597" s="7" t="str">
        <f>IF(Notes!CD1593="","",Notes!CD1593)</f>
        <v/>
      </c>
      <c r="G1597" s="7" t="str">
        <f>IF(Notes!CE1593="","",Notes!CE1593)</f>
        <v/>
      </c>
      <c r="H1597" s="7" t="str">
        <f>IF(Notes!CF1593="","",Notes!CF1593)</f>
        <v/>
      </c>
      <c r="I1597" s="7"/>
      <c r="J1597" s="7"/>
      <c r="K1597" s="7"/>
    </row>
    <row r="1598" spans="1:11" x14ac:dyDescent="0.35">
      <c r="A1598" s="7" t="str">
        <f>IF(Notes!BY1594="","",Notes!BY1594)</f>
        <v/>
      </c>
      <c r="B1598" s="7" t="str">
        <f>IF(Notes!BZ1594="","",Notes!BZ1594)</f>
        <v/>
      </c>
      <c r="C1598" s="7" t="str">
        <f>IF(Notes!CA1594="","",Notes!CA1594)</f>
        <v/>
      </c>
      <c r="D1598" s="7" t="str">
        <f>IF(Notes!CB1594="","",Notes!CB1594)</f>
        <v/>
      </c>
      <c r="E1598" s="7" t="str">
        <f>IF(Notes!CC1594="","",Notes!CC1594)</f>
        <v/>
      </c>
      <c r="F1598" s="7" t="str">
        <f>IF(Notes!CD1594="","",Notes!CD1594)</f>
        <v/>
      </c>
      <c r="G1598" s="7" t="str">
        <f>IF(Notes!CE1594="","",Notes!CE1594)</f>
        <v/>
      </c>
      <c r="H1598" s="7" t="str">
        <f>IF(Notes!CF1594="","",Notes!CF1594)</f>
        <v/>
      </c>
      <c r="I1598" s="7"/>
      <c r="J1598" s="7"/>
      <c r="K1598" s="7"/>
    </row>
    <row r="1599" spans="1:11" x14ac:dyDescent="0.35">
      <c r="A1599" s="7" t="str">
        <f>IF(Notes!BY1595="","",Notes!BY1595)</f>
        <v/>
      </c>
      <c r="B1599" s="7" t="str">
        <f>IF(Notes!BZ1595="","",Notes!BZ1595)</f>
        <v/>
      </c>
      <c r="C1599" s="7" t="str">
        <f>IF(Notes!CA1595="","",Notes!CA1595)</f>
        <v/>
      </c>
      <c r="D1599" s="7" t="str">
        <f>IF(Notes!CB1595="","",Notes!CB1595)</f>
        <v/>
      </c>
      <c r="E1599" s="7" t="str">
        <f>IF(Notes!CC1595="","",Notes!CC1595)</f>
        <v/>
      </c>
      <c r="F1599" s="7" t="str">
        <f>IF(Notes!CD1595="","",Notes!CD1595)</f>
        <v/>
      </c>
      <c r="G1599" s="7" t="str">
        <f>IF(Notes!CE1595="","",Notes!CE1595)</f>
        <v/>
      </c>
      <c r="H1599" s="7" t="str">
        <f>IF(Notes!CF1595="","",Notes!CF1595)</f>
        <v/>
      </c>
      <c r="I1599" s="7"/>
      <c r="J1599" s="7"/>
      <c r="K1599" s="7"/>
    </row>
    <row r="1600" spans="1:11" x14ac:dyDescent="0.35">
      <c r="A1600" s="7" t="str">
        <f>IF(Notes!BY1596="","",Notes!BY1596)</f>
        <v/>
      </c>
      <c r="B1600" s="7" t="str">
        <f>IF(Notes!BZ1596="","",Notes!BZ1596)</f>
        <v/>
      </c>
      <c r="C1600" s="7" t="str">
        <f>IF(Notes!CA1596="","",Notes!CA1596)</f>
        <v/>
      </c>
      <c r="D1600" s="7" t="str">
        <f>IF(Notes!CB1596="","",Notes!CB1596)</f>
        <v/>
      </c>
      <c r="E1600" s="7" t="str">
        <f>IF(Notes!CC1596="","",Notes!CC1596)</f>
        <v/>
      </c>
      <c r="F1600" s="7" t="str">
        <f>IF(Notes!CD1596="","",Notes!CD1596)</f>
        <v/>
      </c>
      <c r="G1600" s="7" t="str">
        <f>IF(Notes!CE1596="","",Notes!CE1596)</f>
        <v/>
      </c>
      <c r="H1600" s="7" t="str">
        <f>IF(Notes!CF1596="","",Notes!CF1596)</f>
        <v/>
      </c>
      <c r="I1600" s="7"/>
      <c r="J1600" s="7"/>
      <c r="K1600" s="7"/>
    </row>
    <row r="1601" spans="1:11" x14ac:dyDescent="0.35">
      <c r="A1601" s="7" t="str">
        <f>IF(Notes!BY1597="","",Notes!BY1597)</f>
        <v/>
      </c>
      <c r="B1601" s="7" t="str">
        <f>IF(Notes!BZ1597="","",Notes!BZ1597)</f>
        <v/>
      </c>
      <c r="C1601" s="7" t="str">
        <f>IF(Notes!CA1597="","",Notes!CA1597)</f>
        <v/>
      </c>
      <c r="D1601" s="7" t="str">
        <f>IF(Notes!CB1597="","",Notes!CB1597)</f>
        <v/>
      </c>
      <c r="E1601" s="7" t="str">
        <f>IF(Notes!CC1597="","",Notes!CC1597)</f>
        <v/>
      </c>
      <c r="F1601" s="7" t="str">
        <f>IF(Notes!CD1597="","",Notes!CD1597)</f>
        <v/>
      </c>
      <c r="G1601" s="7" t="str">
        <f>IF(Notes!CE1597="","",Notes!CE1597)</f>
        <v/>
      </c>
      <c r="H1601" s="7" t="str">
        <f>IF(Notes!CF1597="","",Notes!CF1597)</f>
        <v/>
      </c>
      <c r="I1601" s="7"/>
      <c r="J1601" s="7"/>
      <c r="K1601" s="7"/>
    </row>
    <row r="1602" spans="1:11" x14ac:dyDescent="0.35">
      <c r="A1602" s="7" t="str">
        <f>IF(Notes!BY1598="","",Notes!BY1598)</f>
        <v/>
      </c>
      <c r="B1602" s="7" t="str">
        <f>IF(Notes!BZ1598="","",Notes!BZ1598)</f>
        <v/>
      </c>
      <c r="C1602" s="7" t="str">
        <f>IF(Notes!CA1598="","",Notes!CA1598)</f>
        <v/>
      </c>
      <c r="D1602" s="7" t="str">
        <f>IF(Notes!CB1598="","",Notes!CB1598)</f>
        <v/>
      </c>
      <c r="E1602" s="7" t="str">
        <f>IF(Notes!CC1598="","",Notes!CC1598)</f>
        <v/>
      </c>
      <c r="F1602" s="7" t="str">
        <f>IF(Notes!CD1598="","",Notes!CD1598)</f>
        <v/>
      </c>
      <c r="G1602" s="7" t="str">
        <f>IF(Notes!CE1598="","",Notes!CE1598)</f>
        <v/>
      </c>
      <c r="H1602" s="7" t="str">
        <f>IF(Notes!CF1598="","",Notes!CF1598)</f>
        <v/>
      </c>
      <c r="I1602" s="7"/>
      <c r="J1602" s="7"/>
      <c r="K1602" s="7"/>
    </row>
    <row r="1603" spans="1:11" x14ac:dyDescent="0.35">
      <c r="A1603" s="7" t="str">
        <f>IF(Notes!BY1599="","",Notes!BY1599)</f>
        <v/>
      </c>
      <c r="B1603" s="7" t="str">
        <f>IF(Notes!BZ1599="","",Notes!BZ1599)</f>
        <v/>
      </c>
      <c r="C1603" s="7" t="str">
        <f>IF(Notes!CA1599="","",Notes!CA1599)</f>
        <v/>
      </c>
      <c r="D1603" s="7" t="str">
        <f>IF(Notes!CB1599="","",Notes!CB1599)</f>
        <v/>
      </c>
      <c r="E1603" s="7" t="str">
        <f>IF(Notes!CC1599="","",Notes!CC1599)</f>
        <v/>
      </c>
      <c r="F1603" s="7" t="str">
        <f>IF(Notes!CD1599="","",Notes!CD1599)</f>
        <v/>
      </c>
      <c r="G1603" s="7" t="str">
        <f>IF(Notes!CE1599="","",Notes!CE1599)</f>
        <v/>
      </c>
      <c r="H1603" s="7" t="str">
        <f>IF(Notes!CF1599="","",Notes!CF1599)</f>
        <v/>
      </c>
      <c r="I1603" s="7"/>
      <c r="J1603" s="7"/>
      <c r="K1603" s="7"/>
    </row>
    <row r="1604" spans="1:11" x14ac:dyDescent="0.35">
      <c r="A1604" s="7" t="str">
        <f>IF(Notes!BY1600="","",Notes!BY1600)</f>
        <v/>
      </c>
      <c r="B1604" s="7" t="str">
        <f>IF(Notes!BZ1600="","",Notes!BZ1600)</f>
        <v/>
      </c>
      <c r="C1604" s="7" t="str">
        <f>IF(Notes!CA1600="","",Notes!CA1600)</f>
        <v/>
      </c>
      <c r="D1604" s="7" t="str">
        <f>IF(Notes!CB1600="","",Notes!CB1600)</f>
        <v/>
      </c>
      <c r="E1604" s="7" t="str">
        <f>IF(Notes!CC1600="","",Notes!CC1600)</f>
        <v/>
      </c>
      <c r="F1604" s="7" t="str">
        <f>IF(Notes!CD1600="","",Notes!CD1600)</f>
        <v/>
      </c>
      <c r="G1604" s="7" t="str">
        <f>IF(Notes!CE1600="","",Notes!CE1600)</f>
        <v/>
      </c>
      <c r="H1604" s="7" t="str">
        <f>IF(Notes!CF1600="","",Notes!CF1600)</f>
        <v/>
      </c>
      <c r="I1604" s="7"/>
      <c r="J1604" s="7"/>
      <c r="K1604" s="7"/>
    </row>
    <row r="1605" spans="1:11" x14ac:dyDescent="0.35">
      <c r="A1605" s="7" t="str">
        <f>IF(Notes!BY1601="","",Notes!BY1601)</f>
        <v/>
      </c>
      <c r="B1605" s="7" t="str">
        <f>IF(Notes!BZ1601="","",Notes!BZ1601)</f>
        <v/>
      </c>
      <c r="C1605" s="7" t="str">
        <f>IF(Notes!CA1601="","",Notes!CA1601)</f>
        <v/>
      </c>
      <c r="D1605" s="7" t="str">
        <f>IF(Notes!CB1601="","",Notes!CB1601)</f>
        <v/>
      </c>
      <c r="E1605" s="7" t="str">
        <f>IF(Notes!CC1601="","",Notes!CC1601)</f>
        <v/>
      </c>
      <c r="F1605" s="7" t="str">
        <f>IF(Notes!CD1601="","",Notes!CD1601)</f>
        <v/>
      </c>
      <c r="G1605" s="7" t="str">
        <f>IF(Notes!CE1601="","",Notes!CE1601)</f>
        <v/>
      </c>
      <c r="H1605" s="7" t="str">
        <f>IF(Notes!CF1601="","",Notes!CF1601)</f>
        <v/>
      </c>
      <c r="I1605" s="7"/>
      <c r="J1605" s="7"/>
      <c r="K1605" s="7"/>
    </row>
    <row r="1606" spans="1:11" x14ac:dyDescent="0.35">
      <c r="A1606" s="7" t="str">
        <f>IF(Notes!BY1602="","",Notes!BY1602)</f>
        <v/>
      </c>
      <c r="B1606" s="7" t="str">
        <f>IF(Notes!BZ1602="","",Notes!BZ1602)</f>
        <v/>
      </c>
      <c r="C1606" s="7" t="str">
        <f>IF(Notes!CA1602="","",Notes!CA1602)</f>
        <v/>
      </c>
      <c r="D1606" s="7" t="str">
        <f>IF(Notes!CB1602="","",Notes!CB1602)</f>
        <v/>
      </c>
      <c r="E1606" s="7" t="str">
        <f>IF(Notes!CC1602="","",Notes!CC1602)</f>
        <v/>
      </c>
      <c r="F1606" s="7" t="str">
        <f>IF(Notes!CD1602="","",Notes!CD1602)</f>
        <v/>
      </c>
      <c r="G1606" s="7" t="str">
        <f>IF(Notes!CE1602="","",Notes!CE1602)</f>
        <v/>
      </c>
      <c r="H1606" s="7" t="str">
        <f>IF(Notes!CF1602="","",Notes!CF1602)</f>
        <v/>
      </c>
      <c r="I1606" s="7"/>
      <c r="J1606" s="7"/>
      <c r="K1606" s="7"/>
    </row>
    <row r="1607" spans="1:11" x14ac:dyDescent="0.35">
      <c r="A1607" s="7" t="str">
        <f>IF(Notes!BY1603="","",Notes!BY1603)</f>
        <v/>
      </c>
      <c r="B1607" s="7" t="str">
        <f>IF(Notes!BZ1603="","",Notes!BZ1603)</f>
        <v/>
      </c>
      <c r="C1607" s="7" t="str">
        <f>IF(Notes!CA1603="","",Notes!CA1603)</f>
        <v/>
      </c>
      <c r="D1607" s="7" t="str">
        <f>IF(Notes!CB1603="","",Notes!CB1603)</f>
        <v/>
      </c>
      <c r="E1607" s="7" t="str">
        <f>IF(Notes!CC1603="","",Notes!CC1603)</f>
        <v/>
      </c>
      <c r="F1607" s="7" t="str">
        <f>IF(Notes!CD1603="","",Notes!CD1603)</f>
        <v/>
      </c>
      <c r="G1607" s="7" t="str">
        <f>IF(Notes!CE1603="","",Notes!CE1603)</f>
        <v/>
      </c>
      <c r="H1607" s="7" t="str">
        <f>IF(Notes!CF1603="","",Notes!CF1603)</f>
        <v/>
      </c>
      <c r="I1607" s="7"/>
      <c r="J1607" s="7"/>
      <c r="K1607" s="7"/>
    </row>
    <row r="1608" spans="1:11" x14ac:dyDescent="0.35">
      <c r="A1608" s="7" t="str">
        <f>IF(Notes!BY1604="","",Notes!BY1604)</f>
        <v/>
      </c>
      <c r="B1608" s="7" t="str">
        <f>IF(Notes!BZ1604="","",Notes!BZ1604)</f>
        <v/>
      </c>
      <c r="C1608" s="7" t="str">
        <f>IF(Notes!CA1604="","",Notes!CA1604)</f>
        <v/>
      </c>
      <c r="D1608" s="7" t="str">
        <f>IF(Notes!CB1604="","",Notes!CB1604)</f>
        <v/>
      </c>
      <c r="E1608" s="7" t="str">
        <f>IF(Notes!CC1604="","",Notes!CC1604)</f>
        <v/>
      </c>
      <c r="F1608" s="7" t="str">
        <f>IF(Notes!CD1604="","",Notes!CD1604)</f>
        <v/>
      </c>
      <c r="G1608" s="7" t="str">
        <f>IF(Notes!CE1604="","",Notes!CE1604)</f>
        <v/>
      </c>
      <c r="H1608" s="7" t="str">
        <f>IF(Notes!CF1604="","",Notes!CF1604)</f>
        <v/>
      </c>
      <c r="I1608" s="7"/>
      <c r="J1608" s="7"/>
      <c r="K1608" s="7"/>
    </row>
    <row r="1609" spans="1:11" x14ac:dyDescent="0.35">
      <c r="A1609" s="7" t="str">
        <f>IF(Notes!BY1605="","",Notes!BY1605)</f>
        <v/>
      </c>
      <c r="B1609" s="7" t="str">
        <f>IF(Notes!BZ1605="","",Notes!BZ1605)</f>
        <v/>
      </c>
      <c r="C1609" s="7" t="str">
        <f>IF(Notes!CA1605="","",Notes!CA1605)</f>
        <v/>
      </c>
      <c r="D1609" s="7" t="str">
        <f>IF(Notes!CB1605="","",Notes!CB1605)</f>
        <v/>
      </c>
      <c r="E1609" s="7" t="str">
        <f>IF(Notes!CC1605="","",Notes!CC1605)</f>
        <v/>
      </c>
      <c r="F1609" s="7" t="str">
        <f>IF(Notes!CD1605="","",Notes!CD1605)</f>
        <v/>
      </c>
      <c r="G1609" s="7" t="str">
        <f>IF(Notes!CE1605="","",Notes!CE1605)</f>
        <v/>
      </c>
      <c r="H1609" s="7" t="str">
        <f>IF(Notes!CF1605="","",Notes!CF1605)</f>
        <v/>
      </c>
      <c r="I1609" s="7"/>
      <c r="J1609" s="7"/>
      <c r="K1609" s="7"/>
    </row>
    <row r="1610" spans="1:11" x14ac:dyDescent="0.35">
      <c r="A1610" s="7" t="str">
        <f>IF(Notes!BY1606="","",Notes!BY1606)</f>
        <v/>
      </c>
      <c r="B1610" s="7" t="str">
        <f>IF(Notes!BZ1606="","",Notes!BZ1606)</f>
        <v/>
      </c>
      <c r="C1610" s="7" t="str">
        <f>IF(Notes!CA1606="","",Notes!CA1606)</f>
        <v/>
      </c>
      <c r="D1610" s="7" t="str">
        <f>IF(Notes!CB1606="","",Notes!CB1606)</f>
        <v/>
      </c>
      <c r="E1610" s="7" t="str">
        <f>IF(Notes!CC1606="","",Notes!CC1606)</f>
        <v/>
      </c>
      <c r="F1610" s="7" t="str">
        <f>IF(Notes!CD1606="","",Notes!CD1606)</f>
        <v/>
      </c>
      <c r="G1610" s="7" t="str">
        <f>IF(Notes!CE1606="","",Notes!CE1606)</f>
        <v/>
      </c>
      <c r="H1610" s="7" t="str">
        <f>IF(Notes!CF1606="","",Notes!CF1606)</f>
        <v/>
      </c>
      <c r="I1610" s="7"/>
      <c r="J1610" s="7"/>
      <c r="K1610" s="7"/>
    </row>
    <row r="1611" spans="1:11" x14ac:dyDescent="0.35">
      <c r="A1611" s="7" t="str">
        <f>IF(Notes!BY1607="","",Notes!BY1607)</f>
        <v/>
      </c>
      <c r="B1611" s="7" t="str">
        <f>IF(Notes!BZ1607="","",Notes!BZ1607)</f>
        <v/>
      </c>
      <c r="C1611" s="7" t="str">
        <f>IF(Notes!CA1607="","",Notes!CA1607)</f>
        <v/>
      </c>
      <c r="D1611" s="7" t="str">
        <f>IF(Notes!CB1607="","",Notes!CB1607)</f>
        <v/>
      </c>
      <c r="E1611" s="7" t="str">
        <f>IF(Notes!CC1607="","",Notes!CC1607)</f>
        <v/>
      </c>
      <c r="F1611" s="7" t="str">
        <f>IF(Notes!CD1607="","",Notes!CD1607)</f>
        <v/>
      </c>
      <c r="G1611" s="7" t="str">
        <f>IF(Notes!CE1607="","",Notes!CE1607)</f>
        <v/>
      </c>
      <c r="H1611" s="7" t="str">
        <f>IF(Notes!CF1607="","",Notes!CF1607)</f>
        <v/>
      </c>
      <c r="I1611" s="7"/>
      <c r="J1611" s="7"/>
      <c r="K1611" s="7"/>
    </row>
    <row r="1612" spans="1:11" x14ac:dyDescent="0.35">
      <c r="A1612" s="7" t="str">
        <f>IF(Notes!BY1608="","",Notes!BY1608)</f>
        <v/>
      </c>
      <c r="B1612" s="7" t="str">
        <f>IF(Notes!BZ1608="","",Notes!BZ1608)</f>
        <v/>
      </c>
      <c r="C1612" s="7" t="str">
        <f>IF(Notes!CA1608="","",Notes!CA1608)</f>
        <v/>
      </c>
      <c r="D1612" s="7" t="str">
        <f>IF(Notes!CB1608="","",Notes!CB1608)</f>
        <v/>
      </c>
      <c r="E1612" s="7" t="str">
        <f>IF(Notes!CC1608="","",Notes!CC1608)</f>
        <v/>
      </c>
      <c r="F1612" s="7" t="str">
        <f>IF(Notes!CD1608="","",Notes!CD1608)</f>
        <v/>
      </c>
      <c r="G1612" s="7" t="str">
        <f>IF(Notes!CE1608="","",Notes!CE1608)</f>
        <v/>
      </c>
      <c r="H1612" s="7" t="str">
        <f>IF(Notes!CF1608="","",Notes!CF1608)</f>
        <v/>
      </c>
      <c r="I1612" s="7"/>
      <c r="J1612" s="7"/>
      <c r="K1612" s="7"/>
    </row>
    <row r="1613" spans="1:11" x14ac:dyDescent="0.35">
      <c r="A1613" s="7" t="str">
        <f>IF(Notes!BY1609="","",Notes!BY1609)</f>
        <v/>
      </c>
      <c r="B1613" s="7" t="str">
        <f>IF(Notes!BZ1609="","",Notes!BZ1609)</f>
        <v/>
      </c>
      <c r="C1613" s="7" t="str">
        <f>IF(Notes!CA1609="","",Notes!CA1609)</f>
        <v/>
      </c>
      <c r="D1613" s="7" t="str">
        <f>IF(Notes!CB1609="","",Notes!CB1609)</f>
        <v/>
      </c>
      <c r="E1613" s="7" t="str">
        <f>IF(Notes!CC1609="","",Notes!CC1609)</f>
        <v/>
      </c>
      <c r="F1613" s="7" t="str">
        <f>IF(Notes!CD1609="","",Notes!CD1609)</f>
        <v/>
      </c>
      <c r="G1613" s="7" t="str">
        <f>IF(Notes!CE1609="","",Notes!CE1609)</f>
        <v/>
      </c>
      <c r="H1613" s="7" t="str">
        <f>IF(Notes!CF1609="","",Notes!CF1609)</f>
        <v/>
      </c>
      <c r="I1613" s="7"/>
      <c r="J1613" s="7"/>
      <c r="K1613" s="7"/>
    </row>
    <row r="1614" spans="1:11" x14ac:dyDescent="0.35">
      <c r="A1614" s="7" t="str">
        <f>IF(Notes!BY1610="","",Notes!BY1610)</f>
        <v/>
      </c>
      <c r="B1614" s="7" t="str">
        <f>IF(Notes!BZ1610="","",Notes!BZ1610)</f>
        <v/>
      </c>
      <c r="C1614" s="7" t="str">
        <f>IF(Notes!CA1610="","",Notes!CA1610)</f>
        <v/>
      </c>
      <c r="D1614" s="7" t="str">
        <f>IF(Notes!CB1610="","",Notes!CB1610)</f>
        <v/>
      </c>
      <c r="E1614" s="7" t="str">
        <f>IF(Notes!CC1610="","",Notes!CC1610)</f>
        <v/>
      </c>
      <c r="F1614" s="7" t="str">
        <f>IF(Notes!CD1610="","",Notes!CD1610)</f>
        <v/>
      </c>
      <c r="G1614" s="7" t="str">
        <f>IF(Notes!CE1610="","",Notes!CE1610)</f>
        <v/>
      </c>
      <c r="H1614" s="7" t="str">
        <f>IF(Notes!CF1610="","",Notes!CF1610)</f>
        <v/>
      </c>
      <c r="I1614" s="7"/>
      <c r="J1614" s="7"/>
      <c r="K1614" s="7"/>
    </row>
    <row r="1615" spans="1:11" x14ac:dyDescent="0.35">
      <c r="A1615" s="7" t="str">
        <f>IF(Notes!BY1611="","",Notes!BY1611)</f>
        <v/>
      </c>
      <c r="B1615" s="7" t="str">
        <f>IF(Notes!BZ1611="","",Notes!BZ1611)</f>
        <v/>
      </c>
      <c r="C1615" s="7" t="str">
        <f>IF(Notes!CA1611="","",Notes!CA1611)</f>
        <v/>
      </c>
      <c r="D1615" s="7" t="str">
        <f>IF(Notes!CB1611="","",Notes!CB1611)</f>
        <v/>
      </c>
      <c r="E1615" s="7" t="str">
        <f>IF(Notes!CC1611="","",Notes!CC1611)</f>
        <v/>
      </c>
      <c r="F1615" s="7" t="str">
        <f>IF(Notes!CD1611="","",Notes!CD1611)</f>
        <v/>
      </c>
      <c r="G1615" s="7" t="str">
        <f>IF(Notes!CE1611="","",Notes!CE1611)</f>
        <v/>
      </c>
      <c r="H1615" s="7" t="str">
        <f>IF(Notes!CF1611="","",Notes!CF1611)</f>
        <v/>
      </c>
      <c r="I1615" s="7"/>
      <c r="J1615" s="7"/>
      <c r="K1615" s="7"/>
    </row>
    <row r="1616" spans="1:11" x14ac:dyDescent="0.35">
      <c r="A1616" s="7" t="str">
        <f>IF(Notes!BY1612="","",Notes!BY1612)</f>
        <v/>
      </c>
      <c r="B1616" s="7" t="str">
        <f>IF(Notes!BZ1612="","",Notes!BZ1612)</f>
        <v/>
      </c>
      <c r="C1616" s="7" t="str">
        <f>IF(Notes!CA1612="","",Notes!CA1612)</f>
        <v/>
      </c>
      <c r="D1616" s="7" t="str">
        <f>IF(Notes!CB1612="","",Notes!CB1612)</f>
        <v/>
      </c>
      <c r="E1616" s="7" t="str">
        <f>IF(Notes!CC1612="","",Notes!CC1612)</f>
        <v/>
      </c>
      <c r="F1616" s="7" t="str">
        <f>IF(Notes!CD1612="","",Notes!CD1612)</f>
        <v/>
      </c>
      <c r="G1616" s="7" t="str">
        <f>IF(Notes!CE1612="","",Notes!CE1612)</f>
        <v/>
      </c>
      <c r="H1616" s="7" t="str">
        <f>IF(Notes!CF1612="","",Notes!CF1612)</f>
        <v/>
      </c>
      <c r="I1616" s="7"/>
      <c r="J1616" s="7"/>
      <c r="K1616" s="7"/>
    </row>
    <row r="1617" spans="1:11" x14ac:dyDescent="0.35">
      <c r="A1617" s="7" t="str">
        <f>IF(Notes!BY1613="","",Notes!BY1613)</f>
        <v/>
      </c>
      <c r="B1617" s="7" t="str">
        <f>IF(Notes!BZ1613="","",Notes!BZ1613)</f>
        <v/>
      </c>
      <c r="C1617" s="7" t="str">
        <f>IF(Notes!CA1613="","",Notes!CA1613)</f>
        <v/>
      </c>
      <c r="D1617" s="7" t="str">
        <f>IF(Notes!CB1613="","",Notes!CB1613)</f>
        <v/>
      </c>
      <c r="E1617" s="7" t="str">
        <f>IF(Notes!CC1613="","",Notes!CC1613)</f>
        <v/>
      </c>
      <c r="F1617" s="7" t="str">
        <f>IF(Notes!CD1613="","",Notes!CD1613)</f>
        <v/>
      </c>
      <c r="G1617" s="7" t="str">
        <f>IF(Notes!CE1613="","",Notes!CE1613)</f>
        <v/>
      </c>
      <c r="H1617" s="7" t="str">
        <f>IF(Notes!CF1613="","",Notes!CF1613)</f>
        <v/>
      </c>
      <c r="I1617" s="7"/>
      <c r="J1617" s="7"/>
      <c r="K1617" s="7"/>
    </row>
    <row r="1618" spans="1:11" x14ac:dyDescent="0.35">
      <c r="A1618" s="7" t="str">
        <f>IF(Notes!BY1614="","",Notes!BY1614)</f>
        <v/>
      </c>
      <c r="B1618" s="7" t="str">
        <f>IF(Notes!BZ1614="","",Notes!BZ1614)</f>
        <v/>
      </c>
      <c r="C1618" s="7" t="str">
        <f>IF(Notes!CA1614="","",Notes!CA1614)</f>
        <v/>
      </c>
      <c r="D1618" s="7" t="str">
        <f>IF(Notes!CB1614="","",Notes!CB1614)</f>
        <v/>
      </c>
      <c r="E1618" s="7" t="str">
        <f>IF(Notes!CC1614="","",Notes!CC1614)</f>
        <v/>
      </c>
      <c r="F1618" s="7" t="str">
        <f>IF(Notes!CD1614="","",Notes!CD1614)</f>
        <v/>
      </c>
      <c r="G1618" s="7" t="str">
        <f>IF(Notes!CE1614="","",Notes!CE1614)</f>
        <v/>
      </c>
      <c r="H1618" s="7" t="str">
        <f>IF(Notes!CF1614="","",Notes!CF1614)</f>
        <v/>
      </c>
      <c r="I1618" s="7"/>
      <c r="J1618" s="7"/>
      <c r="K1618" s="7"/>
    </row>
    <row r="1619" spans="1:11" x14ac:dyDescent="0.35">
      <c r="A1619" s="7" t="str">
        <f>IF(Notes!BY1615="","",Notes!BY1615)</f>
        <v/>
      </c>
      <c r="B1619" s="7" t="str">
        <f>IF(Notes!BZ1615="","",Notes!BZ1615)</f>
        <v/>
      </c>
      <c r="C1619" s="7" t="str">
        <f>IF(Notes!CA1615="","",Notes!CA1615)</f>
        <v/>
      </c>
      <c r="D1619" s="7" t="str">
        <f>IF(Notes!CB1615="","",Notes!CB1615)</f>
        <v/>
      </c>
      <c r="E1619" s="7" t="str">
        <f>IF(Notes!CC1615="","",Notes!CC1615)</f>
        <v/>
      </c>
      <c r="F1619" s="7" t="str">
        <f>IF(Notes!CD1615="","",Notes!CD1615)</f>
        <v/>
      </c>
      <c r="G1619" s="7" t="str">
        <f>IF(Notes!CE1615="","",Notes!CE1615)</f>
        <v/>
      </c>
      <c r="H1619" s="7" t="str">
        <f>IF(Notes!CF1615="","",Notes!CF1615)</f>
        <v/>
      </c>
      <c r="I1619" s="7"/>
      <c r="J1619" s="7"/>
      <c r="K1619" s="7"/>
    </row>
    <row r="1620" spans="1:11" x14ac:dyDescent="0.35">
      <c r="A1620" s="7" t="str">
        <f>IF(Notes!BY1616="","",Notes!BY1616)</f>
        <v/>
      </c>
      <c r="B1620" s="7" t="str">
        <f>IF(Notes!BZ1616="","",Notes!BZ1616)</f>
        <v/>
      </c>
      <c r="C1620" s="7" t="str">
        <f>IF(Notes!CA1616="","",Notes!CA1616)</f>
        <v/>
      </c>
      <c r="D1620" s="7" t="str">
        <f>IF(Notes!CB1616="","",Notes!CB1616)</f>
        <v/>
      </c>
      <c r="E1620" s="7" t="str">
        <f>IF(Notes!CC1616="","",Notes!CC1616)</f>
        <v/>
      </c>
      <c r="F1620" s="7" t="str">
        <f>IF(Notes!CD1616="","",Notes!CD1616)</f>
        <v/>
      </c>
      <c r="G1620" s="7" t="str">
        <f>IF(Notes!CE1616="","",Notes!CE1616)</f>
        <v/>
      </c>
      <c r="H1620" s="7" t="str">
        <f>IF(Notes!CF1616="","",Notes!CF1616)</f>
        <v/>
      </c>
      <c r="I1620" s="7"/>
      <c r="J1620" s="7"/>
      <c r="K1620" s="7"/>
    </row>
    <row r="1621" spans="1:11" x14ac:dyDescent="0.35">
      <c r="A1621" s="7" t="str">
        <f>IF(Notes!BY1617="","",Notes!BY1617)</f>
        <v/>
      </c>
      <c r="B1621" s="7" t="str">
        <f>IF(Notes!BZ1617="","",Notes!BZ1617)</f>
        <v/>
      </c>
      <c r="C1621" s="7" t="str">
        <f>IF(Notes!CA1617="","",Notes!CA1617)</f>
        <v/>
      </c>
      <c r="D1621" s="7" t="str">
        <f>IF(Notes!CB1617="","",Notes!CB1617)</f>
        <v/>
      </c>
      <c r="E1621" s="7" t="str">
        <f>IF(Notes!CC1617="","",Notes!CC1617)</f>
        <v/>
      </c>
      <c r="F1621" s="7" t="str">
        <f>IF(Notes!CD1617="","",Notes!CD1617)</f>
        <v/>
      </c>
      <c r="G1621" s="7" t="str">
        <f>IF(Notes!CE1617="","",Notes!CE1617)</f>
        <v/>
      </c>
      <c r="H1621" s="7" t="str">
        <f>IF(Notes!CF1617="","",Notes!CF1617)</f>
        <v/>
      </c>
      <c r="I1621" s="7"/>
      <c r="J1621" s="7"/>
      <c r="K1621" s="7"/>
    </row>
    <row r="1622" spans="1:11" x14ac:dyDescent="0.35">
      <c r="A1622" s="7" t="str">
        <f>IF(Notes!BY1618="","",Notes!BY1618)</f>
        <v/>
      </c>
      <c r="B1622" s="7" t="str">
        <f>IF(Notes!BZ1618="","",Notes!BZ1618)</f>
        <v/>
      </c>
      <c r="C1622" s="7" t="str">
        <f>IF(Notes!CA1618="","",Notes!CA1618)</f>
        <v/>
      </c>
      <c r="D1622" s="7" t="str">
        <f>IF(Notes!CB1618="","",Notes!CB1618)</f>
        <v/>
      </c>
      <c r="E1622" s="7" t="str">
        <f>IF(Notes!CC1618="","",Notes!CC1618)</f>
        <v/>
      </c>
      <c r="F1622" s="7" t="str">
        <f>IF(Notes!CD1618="","",Notes!CD1618)</f>
        <v/>
      </c>
      <c r="G1622" s="7" t="str">
        <f>IF(Notes!CE1618="","",Notes!CE1618)</f>
        <v/>
      </c>
      <c r="H1622" s="7" t="str">
        <f>IF(Notes!CF1618="","",Notes!CF1618)</f>
        <v/>
      </c>
      <c r="I1622" s="7"/>
      <c r="J1622" s="7"/>
      <c r="K1622" s="7"/>
    </row>
    <row r="1623" spans="1:11" x14ac:dyDescent="0.35">
      <c r="A1623" s="7" t="str">
        <f>IF(Notes!BY1619="","",Notes!BY1619)</f>
        <v/>
      </c>
      <c r="B1623" s="7" t="str">
        <f>IF(Notes!BZ1619="","",Notes!BZ1619)</f>
        <v/>
      </c>
      <c r="C1623" s="7" t="str">
        <f>IF(Notes!CA1619="","",Notes!CA1619)</f>
        <v/>
      </c>
      <c r="D1623" s="7" t="str">
        <f>IF(Notes!CB1619="","",Notes!CB1619)</f>
        <v/>
      </c>
      <c r="E1623" s="7" t="str">
        <f>IF(Notes!CC1619="","",Notes!CC1619)</f>
        <v/>
      </c>
      <c r="F1623" s="7" t="str">
        <f>IF(Notes!CD1619="","",Notes!CD1619)</f>
        <v/>
      </c>
      <c r="G1623" s="7" t="str">
        <f>IF(Notes!CE1619="","",Notes!CE1619)</f>
        <v/>
      </c>
      <c r="H1623" s="7" t="str">
        <f>IF(Notes!CF1619="","",Notes!CF1619)</f>
        <v/>
      </c>
      <c r="I1623" s="7"/>
      <c r="J1623" s="7"/>
      <c r="K1623" s="7"/>
    </row>
    <row r="1624" spans="1:11" x14ac:dyDescent="0.35">
      <c r="A1624" s="7" t="str">
        <f>IF(Notes!BY1620="","",Notes!BY1620)</f>
        <v/>
      </c>
      <c r="B1624" s="7" t="str">
        <f>IF(Notes!BZ1620="","",Notes!BZ1620)</f>
        <v/>
      </c>
      <c r="C1624" s="7" t="str">
        <f>IF(Notes!CA1620="","",Notes!CA1620)</f>
        <v/>
      </c>
      <c r="D1624" s="7" t="str">
        <f>IF(Notes!CB1620="","",Notes!CB1620)</f>
        <v/>
      </c>
      <c r="E1624" s="7" t="str">
        <f>IF(Notes!CC1620="","",Notes!CC1620)</f>
        <v/>
      </c>
      <c r="F1624" s="7" t="str">
        <f>IF(Notes!CD1620="","",Notes!CD1620)</f>
        <v/>
      </c>
      <c r="G1624" s="7" t="str">
        <f>IF(Notes!CE1620="","",Notes!CE1620)</f>
        <v/>
      </c>
      <c r="H1624" s="7" t="str">
        <f>IF(Notes!CF1620="","",Notes!CF1620)</f>
        <v/>
      </c>
      <c r="I1624" s="7"/>
      <c r="J1624" s="7"/>
      <c r="K1624" s="7"/>
    </row>
    <row r="1625" spans="1:11" x14ac:dyDescent="0.35">
      <c r="A1625" s="7" t="str">
        <f>IF(Notes!BY1621="","",Notes!BY1621)</f>
        <v/>
      </c>
      <c r="B1625" s="7" t="str">
        <f>IF(Notes!BZ1621="","",Notes!BZ1621)</f>
        <v/>
      </c>
      <c r="C1625" s="7" t="str">
        <f>IF(Notes!CA1621="","",Notes!CA1621)</f>
        <v/>
      </c>
      <c r="D1625" s="7" t="str">
        <f>IF(Notes!CB1621="","",Notes!CB1621)</f>
        <v/>
      </c>
      <c r="E1625" s="7" t="str">
        <f>IF(Notes!CC1621="","",Notes!CC1621)</f>
        <v/>
      </c>
      <c r="F1625" s="7" t="str">
        <f>IF(Notes!CD1621="","",Notes!CD1621)</f>
        <v/>
      </c>
      <c r="G1625" s="7" t="str">
        <f>IF(Notes!CE1621="","",Notes!CE1621)</f>
        <v/>
      </c>
      <c r="H1625" s="7" t="str">
        <f>IF(Notes!CF1621="","",Notes!CF1621)</f>
        <v/>
      </c>
      <c r="I1625" s="7"/>
      <c r="J1625" s="7"/>
      <c r="K1625" s="7"/>
    </row>
    <row r="1626" spans="1:11" x14ac:dyDescent="0.35">
      <c r="A1626" s="7" t="str">
        <f>IF(Notes!BY1622="","",Notes!BY1622)</f>
        <v/>
      </c>
      <c r="B1626" s="7" t="str">
        <f>IF(Notes!BZ1622="","",Notes!BZ1622)</f>
        <v/>
      </c>
      <c r="C1626" s="7" t="str">
        <f>IF(Notes!CA1622="","",Notes!CA1622)</f>
        <v/>
      </c>
      <c r="D1626" s="7" t="str">
        <f>IF(Notes!CB1622="","",Notes!CB1622)</f>
        <v/>
      </c>
      <c r="E1626" s="7" t="str">
        <f>IF(Notes!CC1622="","",Notes!CC1622)</f>
        <v/>
      </c>
      <c r="F1626" s="7" t="str">
        <f>IF(Notes!CD1622="","",Notes!CD1622)</f>
        <v/>
      </c>
      <c r="G1626" s="7" t="str">
        <f>IF(Notes!CE1622="","",Notes!CE1622)</f>
        <v/>
      </c>
      <c r="H1626" s="7" t="str">
        <f>IF(Notes!CF1622="","",Notes!CF1622)</f>
        <v/>
      </c>
      <c r="I1626" s="7"/>
      <c r="J1626" s="7"/>
      <c r="K1626" s="7"/>
    </row>
    <row r="1627" spans="1:11" x14ac:dyDescent="0.35">
      <c r="A1627" s="7" t="str">
        <f>IF(Notes!BY1623="","",Notes!BY1623)</f>
        <v/>
      </c>
      <c r="B1627" s="7" t="str">
        <f>IF(Notes!BZ1623="","",Notes!BZ1623)</f>
        <v/>
      </c>
      <c r="C1627" s="7" t="str">
        <f>IF(Notes!CA1623="","",Notes!CA1623)</f>
        <v/>
      </c>
      <c r="D1627" s="7" t="str">
        <f>IF(Notes!CB1623="","",Notes!CB1623)</f>
        <v/>
      </c>
      <c r="E1627" s="7" t="str">
        <f>IF(Notes!CC1623="","",Notes!CC1623)</f>
        <v/>
      </c>
      <c r="F1627" s="7" t="str">
        <f>IF(Notes!CD1623="","",Notes!CD1623)</f>
        <v/>
      </c>
      <c r="G1627" s="7" t="str">
        <f>IF(Notes!CE1623="","",Notes!CE1623)</f>
        <v/>
      </c>
      <c r="H1627" s="7" t="str">
        <f>IF(Notes!CF1623="","",Notes!CF1623)</f>
        <v/>
      </c>
      <c r="I1627" s="7"/>
      <c r="J1627" s="7"/>
      <c r="K1627" s="7"/>
    </row>
    <row r="1628" spans="1:11" x14ac:dyDescent="0.35">
      <c r="A1628" s="7" t="str">
        <f>IF(Notes!BY1624="","",Notes!BY1624)</f>
        <v/>
      </c>
      <c r="B1628" s="7" t="str">
        <f>IF(Notes!BZ1624="","",Notes!BZ1624)</f>
        <v/>
      </c>
      <c r="C1628" s="7" t="str">
        <f>IF(Notes!CA1624="","",Notes!CA1624)</f>
        <v/>
      </c>
      <c r="D1628" s="7" t="str">
        <f>IF(Notes!CB1624="","",Notes!CB1624)</f>
        <v/>
      </c>
      <c r="E1628" s="7" t="str">
        <f>IF(Notes!CC1624="","",Notes!CC1624)</f>
        <v/>
      </c>
      <c r="F1628" s="7" t="str">
        <f>IF(Notes!CD1624="","",Notes!CD1624)</f>
        <v/>
      </c>
      <c r="G1628" s="7" t="str">
        <f>IF(Notes!CE1624="","",Notes!CE1624)</f>
        <v/>
      </c>
      <c r="H1628" s="7" t="str">
        <f>IF(Notes!CF1624="","",Notes!CF1624)</f>
        <v/>
      </c>
      <c r="I1628" s="7"/>
      <c r="J1628" s="7"/>
      <c r="K1628" s="7"/>
    </row>
    <row r="1629" spans="1:11" x14ac:dyDescent="0.35">
      <c r="A1629" s="7" t="str">
        <f>IF(Notes!BY1625="","",Notes!BY1625)</f>
        <v/>
      </c>
      <c r="B1629" s="7" t="str">
        <f>IF(Notes!BZ1625="","",Notes!BZ1625)</f>
        <v/>
      </c>
      <c r="C1629" s="7" t="str">
        <f>IF(Notes!CA1625="","",Notes!CA1625)</f>
        <v/>
      </c>
      <c r="D1629" s="7" t="str">
        <f>IF(Notes!CB1625="","",Notes!CB1625)</f>
        <v/>
      </c>
      <c r="E1629" s="7" t="str">
        <f>IF(Notes!CC1625="","",Notes!CC1625)</f>
        <v/>
      </c>
      <c r="F1629" s="7" t="str">
        <f>IF(Notes!CD1625="","",Notes!CD1625)</f>
        <v/>
      </c>
      <c r="G1629" s="7" t="str">
        <f>IF(Notes!CE1625="","",Notes!CE1625)</f>
        <v/>
      </c>
      <c r="H1629" s="7" t="str">
        <f>IF(Notes!CF1625="","",Notes!CF1625)</f>
        <v/>
      </c>
      <c r="I1629" s="7"/>
      <c r="J1629" s="7"/>
      <c r="K1629" s="7"/>
    </row>
    <row r="1630" spans="1:11" x14ac:dyDescent="0.35">
      <c r="A1630" s="7" t="str">
        <f>IF(Notes!BY1626="","",Notes!BY1626)</f>
        <v/>
      </c>
      <c r="B1630" s="7" t="str">
        <f>IF(Notes!BZ1626="","",Notes!BZ1626)</f>
        <v/>
      </c>
      <c r="C1630" s="7" t="str">
        <f>IF(Notes!CA1626="","",Notes!CA1626)</f>
        <v/>
      </c>
      <c r="D1630" s="7" t="str">
        <f>IF(Notes!CB1626="","",Notes!CB1626)</f>
        <v/>
      </c>
      <c r="E1630" s="7" t="str">
        <f>IF(Notes!CC1626="","",Notes!CC1626)</f>
        <v/>
      </c>
      <c r="F1630" s="7" t="str">
        <f>IF(Notes!CD1626="","",Notes!CD1626)</f>
        <v/>
      </c>
      <c r="G1630" s="7" t="str">
        <f>IF(Notes!CE1626="","",Notes!CE1626)</f>
        <v/>
      </c>
      <c r="H1630" s="7" t="str">
        <f>IF(Notes!CF1626="","",Notes!CF1626)</f>
        <v/>
      </c>
      <c r="I1630" s="7"/>
      <c r="J1630" s="7"/>
      <c r="K1630" s="7"/>
    </row>
    <row r="1631" spans="1:11" x14ac:dyDescent="0.35">
      <c r="A1631" s="7" t="str">
        <f>IF(Notes!BY1627="","",Notes!BY1627)</f>
        <v/>
      </c>
      <c r="B1631" s="7" t="str">
        <f>IF(Notes!BZ1627="","",Notes!BZ1627)</f>
        <v/>
      </c>
      <c r="C1631" s="7" t="str">
        <f>IF(Notes!CA1627="","",Notes!CA1627)</f>
        <v/>
      </c>
      <c r="D1631" s="7" t="str">
        <f>IF(Notes!CB1627="","",Notes!CB1627)</f>
        <v/>
      </c>
      <c r="E1631" s="7" t="str">
        <f>IF(Notes!CC1627="","",Notes!CC1627)</f>
        <v/>
      </c>
      <c r="F1631" s="7" t="str">
        <f>IF(Notes!CD1627="","",Notes!CD1627)</f>
        <v/>
      </c>
      <c r="G1631" s="7" t="str">
        <f>IF(Notes!CE1627="","",Notes!CE1627)</f>
        <v/>
      </c>
      <c r="H1631" s="7" t="str">
        <f>IF(Notes!CF1627="","",Notes!CF1627)</f>
        <v/>
      </c>
      <c r="I1631" s="7"/>
      <c r="J1631" s="7"/>
      <c r="K1631" s="7"/>
    </row>
    <row r="1632" spans="1:11" x14ac:dyDescent="0.35">
      <c r="A1632" s="7" t="str">
        <f>IF(Notes!BY1628="","",Notes!BY1628)</f>
        <v/>
      </c>
      <c r="B1632" s="7" t="str">
        <f>IF(Notes!BZ1628="","",Notes!BZ1628)</f>
        <v/>
      </c>
      <c r="C1632" s="7" t="str">
        <f>IF(Notes!CA1628="","",Notes!CA1628)</f>
        <v/>
      </c>
      <c r="D1632" s="7" t="str">
        <f>IF(Notes!CB1628="","",Notes!CB1628)</f>
        <v/>
      </c>
      <c r="E1632" s="7" t="str">
        <f>IF(Notes!CC1628="","",Notes!CC1628)</f>
        <v/>
      </c>
      <c r="F1632" s="7" t="str">
        <f>IF(Notes!CD1628="","",Notes!CD1628)</f>
        <v/>
      </c>
      <c r="G1632" s="7" t="str">
        <f>IF(Notes!CE1628="","",Notes!CE1628)</f>
        <v/>
      </c>
      <c r="H1632" s="7" t="str">
        <f>IF(Notes!CF1628="","",Notes!CF1628)</f>
        <v/>
      </c>
      <c r="I1632" s="7"/>
      <c r="J1632" s="7"/>
      <c r="K1632" s="7"/>
    </row>
    <row r="1633" spans="1:11" x14ac:dyDescent="0.35">
      <c r="A1633" s="7" t="str">
        <f>IF(Notes!BY1629="","",Notes!BY1629)</f>
        <v/>
      </c>
      <c r="B1633" s="7" t="str">
        <f>IF(Notes!BZ1629="","",Notes!BZ1629)</f>
        <v/>
      </c>
      <c r="C1633" s="7" t="str">
        <f>IF(Notes!CA1629="","",Notes!CA1629)</f>
        <v/>
      </c>
      <c r="D1633" s="7" t="str">
        <f>IF(Notes!CB1629="","",Notes!CB1629)</f>
        <v/>
      </c>
      <c r="E1633" s="7" t="str">
        <f>IF(Notes!CC1629="","",Notes!CC1629)</f>
        <v/>
      </c>
      <c r="F1633" s="7" t="str">
        <f>IF(Notes!CD1629="","",Notes!CD1629)</f>
        <v/>
      </c>
      <c r="G1633" s="7" t="str">
        <f>IF(Notes!CE1629="","",Notes!CE1629)</f>
        <v/>
      </c>
      <c r="H1633" s="7" t="str">
        <f>IF(Notes!CF1629="","",Notes!CF1629)</f>
        <v/>
      </c>
      <c r="I1633" s="7"/>
      <c r="J1633" s="7"/>
      <c r="K1633" s="7"/>
    </row>
    <row r="1634" spans="1:11" x14ac:dyDescent="0.35">
      <c r="A1634" s="7" t="str">
        <f>IF(Notes!BY1630="","",Notes!BY1630)</f>
        <v/>
      </c>
      <c r="B1634" s="7" t="str">
        <f>IF(Notes!BZ1630="","",Notes!BZ1630)</f>
        <v/>
      </c>
      <c r="C1634" s="7" t="str">
        <f>IF(Notes!CA1630="","",Notes!CA1630)</f>
        <v/>
      </c>
      <c r="D1634" s="7" t="str">
        <f>IF(Notes!CB1630="","",Notes!CB1630)</f>
        <v/>
      </c>
      <c r="E1634" s="7" t="str">
        <f>IF(Notes!CC1630="","",Notes!CC1630)</f>
        <v/>
      </c>
      <c r="F1634" s="7" t="str">
        <f>IF(Notes!CD1630="","",Notes!CD1630)</f>
        <v/>
      </c>
      <c r="G1634" s="7" t="str">
        <f>IF(Notes!CE1630="","",Notes!CE1630)</f>
        <v/>
      </c>
      <c r="H1634" s="7" t="str">
        <f>IF(Notes!CF1630="","",Notes!CF1630)</f>
        <v/>
      </c>
      <c r="I1634" s="7"/>
      <c r="J1634" s="7"/>
      <c r="K1634" s="7"/>
    </row>
    <row r="1635" spans="1:11" x14ac:dyDescent="0.35">
      <c r="A1635" s="7" t="str">
        <f>IF(Notes!BY1631="","",Notes!BY1631)</f>
        <v/>
      </c>
      <c r="B1635" s="7" t="str">
        <f>IF(Notes!BZ1631="","",Notes!BZ1631)</f>
        <v/>
      </c>
      <c r="C1635" s="7" t="str">
        <f>IF(Notes!CA1631="","",Notes!CA1631)</f>
        <v/>
      </c>
      <c r="D1635" s="7" t="str">
        <f>IF(Notes!CB1631="","",Notes!CB1631)</f>
        <v/>
      </c>
      <c r="E1635" s="7" t="str">
        <f>IF(Notes!CC1631="","",Notes!CC1631)</f>
        <v/>
      </c>
      <c r="F1635" s="7" t="str">
        <f>IF(Notes!CD1631="","",Notes!CD1631)</f>
        <v/>
      </c>
      <c r="G1635" s="7" t="str">
        <f>IF(Notes!CE1631="","",Notes!CE1631)</f>
        <v/>
      </c>
      <c r="H1635" s="7" t="str">
        <f>IF(Notes!CF1631="","",Notes!CF1631)</f>
        <v/>
      </c>
      <c r="I1635" s="7"/>
      <c r="J1635" s="7"/>
      <c r="K1635" s="7"/>
    </row>
    <row r="1636" spans="1:11" x14ac:dyDescent="0.35">
      <c r="A1636" s="7" t="str">
        <f>IF(Notes!BY1632="","",Notes!BY1632)</f>
        <v/>
      </c>
      <c r="B1636" s="7" t="str">
        <f>IF(Notes!BZ1632="","",Notes!BZ1632)</f>
        <v/>
      </c>
      <c r="C1636" s="7" t="str">
        <f>IF(Notes!CA1632="","",Notes!CA1632)</f>
        <v/>
      </c>
      <c r="D1636" s="7" t="str">
        <f>IF(Notes!CB1632="","",Notes!CB1632)</f>
        <v/>
      </c>
      <c r="E1636" s="7" t="str">
        <f>IF(Notes!CC1632="","",Notes!CC1632)</f>
        <v/>
      </c>
      <c r="F1636" s="7" t="str">
        <f>IF(Notes!CD1632="","",Notes!CD1632)</f>
        <v/>
      </c>
      <c r="G1636" s="7" t="str">
        <f>IF(Notes!CE1632="","",Notes!CE1632)</f>
        <v/>
      </c>
      <c r="H1636" s="7" t="str">
        <f>IF(Notes!CF1632="","",Notes!CF1632)</f>
        <v/>
      </c>
      <c r="I1636" s="7"/>
      <c r="J1636" s="7"/>
      <c r="K1636" s="7"/>
    </row>
    <row r="1637" spans="1:11" x14ac:dyDescent="0.35">
      <c r="A1637" s="7" t="str">
        <f>IF(Notes!BY1633="","",Notes!BY1633)</f>
        <v/>
      </c>
      <c r="B1637" s="7" t="str">
        <f>IF(Notes!BZ1633="","",Notes!BZ1633)</f>
        <v/>
      </c>
      <c r="C1637" s="7" t="str">
        <f>IF(Notes!CA1633="","",Notes!CA1633)</f>
        <v/>
      </c>
      <c r="D1637" s="7" t="str">
        <f>IF(Notes!CB1633="","",Notes!CB1633)</f>
        <v/>
      </c>
      <c r="E1637" s="7" t="str">
        <f>IF(Notes!CC1633="","",Notes!CC1633)</f>
        <v/>
      </c>
      <c r="F1637" s="7" t="str">
        <f>IF(Notes!CD1633="","",Notes!CD1633)</f>
        <v/>
      </c>
      <c r="G1637" s="7" t="str">
        <f>IF(Notes!CE1633="","",Notes!CE1633)</f>
        <v/>
      </c>
      <c r="H1637" s="7" t="str">
        <f>IF(Notes!CF1633="","",Notes!CF1633)</f>
        <v/>
      </c>
      <c r="I1637" s="7"/>
      <c r="J1637" s="7"/>
      <c r="K1637" s="7"/>
    </row>
    <row r="1638" spans="1:11" x14ac:dyDescent="0.35">
      <c r="A1638" s="7" t="str">
        <f>IF(Notes!BY1634="","",Notes!BY1634)</f>
        <v/>
      </c>
      <c r="B1638" s="7" t="str">
        <f>IF(Notes!BZ1634="","",Notes!BZ1634)</f>
        <v/>
      </c>
      <c r="C1638" s="7" t="str">
        <f>IF(Notes!CA1634="","",Notes!CA1634)</f>
        <v/>
      </c>
      <c r="D1638" s="7" t="str">
        <f>IF(Notes!CB1634="","",Notes!CB1634)</f>
        <v/>
      </c>
      <c r="E1638" s="7" t="str">
        <f>IF(Notes!CC1634="","",Notes!CC1634)</f>
        <v/>
      </c>
      <c r="F1638" s="7" t="str">
        <f>IF(Notes!CD1634="","",Notes!CD1634)</f>
        <v/>
      </c>
      <c r="G1638" s="7" t="str">
        <f>IF(Notes!CE1634="","",Notes!CE1634)</f>
        <v/>
      </c>
      <c r="H1638" s="7" t="str">
        <f>IF(Notes!CF1634="","",Notes!CF1634)</f>
        <v/>
      </c>
      <c r="I1638" s="7"/>
      <c r="J1638" s="7"/>
      <c r="K1638" s="7"/>
    </row>
    <row r="1639" spans="1:11" x14ac:dyDescent="0.35">
      <c r="A1639" s="7" t="str">
        <f>IF(Notes!BY1635="","",Notes!BY1635)</f>
        <v/>
      </c>
      <c r="B1639" s="7" t="str">
        <f>IF(Notes!BZ1635="","",Notes!BZ1635)</f>
        <v/>
      </c>
      <c r="C1639" s="7" t="str">
        <f>IF(Notes!CA1635="","",Notes!CA1635)</f>
        <v/>
      </c>
      <c r="D1639" s="7" t="str">
        <f>IF(Notes!CB1635="","",Notes!CB1635)</f>
        <v/>
      </c>
      <c r="E1639" s="7" t="str">
        <f>IF(Notes!CC1635="","",Notes!CC1635)</f>
        <v/>
      </c>
      <c r="F1639" s="7" t="str">
        <f>IF(Notes!CD1635="","",Notes!CD1635)</f>
        <v/>
      </c>
      <c r="G1639" s="7" t="str">
        <f>IF(Notes!CE1635="","",Notes!CE1635)</f>
        <v/>
      </c>
      <c r="H1639" s="7" t="str">
        <f>IF(Notes!CF1635="","",Notes!CF1635)</f>
        <v/>
      </c>
      <c r="I1639" s="7"/>
      <c r="J1639" s="7"/>
      <c r="K1639" s="7"/>
    </row>
    <row r="1640" spans="1:11" x14ac:dyDescent="0.35">
      <c r="A1640" s="7" t="str">
        <f>IF(Notes!BY1636="","",Notes!BY1636)</f>
        <v/>
      </c>
      <c r="B1640" s="7" t="str">
        <f>IF(Notes!BZ1636="","",Notes!BZ1636)</f>
        <v/>
      </c>
      <c r="C1640" s="7" t="str">
        <f>IF(Notes!CA1636="","",Notes!CA1636)</f>
        <v/>
      </c>
      <c r="D1640" s="7" t="str">
        <f>IF(Notes!CB1636="","",Notes!CB1636)</f>
        <v/>
      </c>
      <c r="E1640" s="7" t="str">
        <f>IF(Notes!CC1636="","",Notes!CC1636)</f>
        <v/>
      </c>
      <c r="F1640" s="7" t="str">
        <f>IF(Notes!CD1636="","",Notes!CD1636)</f>
        <v/>
      </c>
      <c r="G1640" s="7" t="str">
        <f>IF(Notes!CE1636="","",Notes!CE1636)</f>
        <v/>
      </c>
      <c r="H1640" s="7" t="str">
        <f>IF(Notes!CF1636="","",Notes!CF1636)</f>
        <v/>
      </c>
      <c r="I1640" s="7"/>
      <c r="J1640" s="7"/>
      <c r="K1640" s="7"/>
    </row>
    <row r="1641" spans="1:11" x14ac:dyDescent="0.35">
      <c r="A1641" s="7" t="str">
        <f>IF(Notes!BY1637="","",Notes!BY1637)</f>
        <v/>
      </c>
      <c r="B1641" s="7" t="str">
        <f>IF(Notes!BZ1637="","",Notes!BZ1637)</f>
        <v/>
      </c>
      <c r="C1641" s="7" t="str">
        <f>IF(Notes!CA1637="","",Notes!CA1637)</f>
        <v/>
      </c>
      <c r="D1641" s="7" t="str">
        <f>IF(Notes!CB1637="","",Notes!CB1637)</f>
        <v/>
      </c>
      <c r="E1641" s="7" t="str">
        <f>IF(Notes!CC1637="","",Notes!CC1637)</f>
        <v/>
      </c>
      <c r="F1641" s="7" t="str">
        <f>IF(Notes!CD1637="","",Notes!CD1637)</f>
        <v/>
      </c>
      <c r="G1641" s="7" t="str">
        <f>IF(Notes!CE1637="","",Notes!CE1637)</f>
        <v/>
      </c>
      <c r="H1641" s="7" t="str">
        <f>IF(Notes!CF1637="","",Notes!CF1637)</f>
        <v/>
      </c>
      <c r="I1641" s="7"/>
      <c r="J1641" s="7"/>
      <c r="K1641" s="7"/>
    </row>
    <row r="1642" spans="1:11" x14ac:dyDescent="0.35">
      <c r="A1642" s="7" t="str">
        <f>IF(Notes!BY1638="","",Notes!BY1638)</f>
        <v/>
      </c>
      <c r="B1642" s="7" t="str">
        <f>IF(Notes!BZ1638="","",Notes!BZ1638)</f>
        <v/>
      </c>
      <c r="C1642" s="7" t="str">
        <f>IF(Notes!CA1638="","",Notes!CA1638)</f>
        <v/>
      </c>
      <c r="D1642" s="7" t="str">
        <f>IF(Notes!CB1638="","",Notes!CB1638)</f>
        <v/>
      </c>
      <c r="E1642" s="7" t="str">
        <f>IF(Notes!CC1638="","",Notes!CC1638)</f>
        <v/>
      </c>
      <c r="F1642" s="7" t="str">
        <f>IF(Notes!CD1638="","",Notes!CD1638)</f>
        <v/>
      </c>
      <c r="G1642" s="7" t="str">
        <f>IF(Notes!CE1638="","",Notes!CE1638)</f>
        <v/>
      </c>
      <c r="H1642" s="7" t="str">
        <f>IF(Notes!CF1638="","",Notes!CF1638)</f>
        <v/>
      </c>
      <c r="I1642" s="7"/>
      <c r="J1642" s="7"/>
      <c r="K1642" s="7"/>
    </row>
    <row r="1643" spans="1:11" x14ac:dyDescent="0.35">
      <c r="A1643" s="7" t="str">
        <f>IF(Notes!BY1639="","",Notes!BY1639)</f>
        <v/>
      </c>
      <c r="B1643" s="7" t="str">
        <f>IF(Notes!BZ1639="","",Notes!BZ1639)</f>
        <v/>
      </c>
      <c r="C1643" s="7" t="str">
        <f>IF(Notes!CA1639="","",Notes!CA1639)</f>
        <v/>
      </c>
      <c r="D1643" s="7" t="str">
        <f>IF(Notes!CB1639="","",Notes!CB1639)</f>
        <v/>
      </c>
      <c r="E1643" s="7" t="str">
        <f>IF(Notes!CC1639="","",Notes!CC1639)</f>
        <v/>
      </c>
      <c r="F1643" s="7" t="str">
        <f>IF(Notes!CD1639="","",Notes!CD1639)</f>
        <v/>
      </c>
      <c r="G1643" s="7" t="str">
        <f>IF(Notes!CE1639="","",Notes!CE1639)</f>
        <v/>
      </c>
      <c r="H1643" s="7" t="str">
        <f>IF(Notes!CF1639="","",Notes!CF1639)</f>
        <v/>
      </c>
      <c r="I1643" s="7"/>
      <c r="J1643" s="7"/>
      <c r="K1643" s="7"/>
    </row>
    <row r="1644" spans="1:11" x14ac:dyDescent="0.35">
      <c r="A1644" s="7" t="str">
        <f>IF(Notes!BY1640="","",Notes!BY1640)</f>
        <v/>
      </c>
      <c r="B1644" s="7" t="str">
        <f>IF(Notes!BZ1640="","",Notes!BZ1640)</f>
        <v/>
      </c>
      <c r="C1644" s="7" t="str">
        <f>IF(Notes!CA1640="","",Notes!CA1640)</f>
        <v/>
      </c>
      <c r="D1644" s="7" t="str">
        <f>IF(Notes!CB1640="","",Notes!CB1640)</f>
        <v/>
      </c>
      <c r="E1644" s="7" t="str">
        <f>IF(Notes!CC1640="","",Notes!CC1640)</f>
        <v/>
      </c>
      <c r="F1644" s="7" t="str">
        <f>IF(Notes!CD1640="","",Notes!CD1640)</f>
        <v/>
      </c>
      <c r="G1644" s="7" t="str">
        <f>IF(Notes!CE1640="","",Notes!CE1640)</f>
        <v/>
      </c>
      <c r="H1644" s="7" t="str">
        <f>IF(Notes!CF1640="","",Notes!CF1640)</f>
        <v/>
      </c>
      <c r="I1644" s="7"/>
      <c r="J1644" s="7"/>
      <c r="K1644" s="7"/>
    </row>
    <row r="1645" spans="1:11" x14ac:dyDescent="0.35">
      <c r="A1645" s="7" t="str">
        <f>IF(Notes!BY1641="","",Notes!BY1641)</f>
        <v/>
      </c>
      <c r="B1645" s="7" t="str">
        <f>IF(Notes!BZ1641="","",Notes!BZ1641)</f>
        <v/>
      </c>
      <c r="C1645" s="7" t="str">
        <f>IF(Notes!CA1641="","",Notes!CA1641)</f>
        <v/>
      </c>
      <c r="D1645" s="7" t="str">
        <f>IF(Notes!CB1641="","",Notes!CB1641)</f>
        <v/>
      </c>
      <c r="E1645" s="7" t="str">
        <f>IF(Notes!CC1641="","",Notes!CC1641)</f>
        <v/>
      </c>
      <c r="F1645" s="7" t="str">
        <f>IF(Notes!CD1641="","",Notes!CD1641)</f>
        <v/>
      </c>
      <c r="G1645" s="7" t="str">
        <f>IF(Notes!CE1641="","",Notes!CE1641)</f>
        <v/>
      </c>
      <c r="H1645" s="7" t="str">
        <f>IF(Notes!CF1641="","",Notes!CF1641)</f>
        <v/>
      </c>
      <c r="I1645" s="7"/>
      <c r="J1645" s="7"/>
      <c r="K1645" s="7"/>
    </row>
    <row r="1646" spans="1:11" x14ac:dyDescent="0.35">
      <c r="A1646" s="7" t="str">
        <f>IF(Notes!BY1642="","",Notes!BY1642)</f>
        <v/>
      </c>
      <c r="B1646" s="7" t="str">
        <f>IF(Notes!BZ1642="","",Notes!BZ1642)</f>
        <v/>
      </c>
      <c r="C1646" s="7" t="str">
        <f>IF(Notes!CA1642="","",Notes!CA1642)</f>
        <v/>
      </c>
      <c r="D1646" s="7" t="str">
        <f>IF(Notes!CB1642="","",Notes!CB1642)</f>
        <v/>
      </c>
      <c r="E1646" s="7" t="str">
        <f>IF(Notes!CC1642="","",Notes!CC1642)</f>
        <v/>
      </c>
      <c r="F1646" s="7" t="str">
        <f>IF(Notes!CD1642="","",Notes!CD1642)</f>
        <v/>
      </c>
      <c r="G1646" s="7" t="str">
        <f>IF(Notes!CE1642="","",Notes!CE1642)</f>
        <v/>
      </c>
      <c r="H1646" s="7" t="str">
        <f>IF(Notes!CF1642="","",Notes!CF1642)</f>
        <v/>
      </c>
      <c r="I1646" s="7"/>
      <c r="J1646" s="7"/>
      <c r="K1646" s="7"/>
    </row>
    <row r="1647" spans="1:11" x14ac:dyDescent="0.35">
      <c r="A1647" s="7" t="str">
        <f>IF(Notes!BY1643="","",Notes!BY1643)</f>
        <v/>
      </c>
      <c r="B1647" s="7" t="str">
        <f>IF(Notes!BZ1643="","",Notes!BZ1643)</f>
        <v/>
      </c>
      <c r="C1647" s="7" t="str">
        <f>IF(Notes!CA1643="","",Notes!CA1643)</f>
        <v/>
      </c>
      <c r="D1647" s="7" t="str">
        <f>IF(Notes!CB1643="","",Notes!CB1643)</f>
        <v/>
      </c>
      <c r="E1647" s="7" t="str">
        <f>IF(Notes!CC1643="","",Notes!CC1643)</f>
        <v/>
      </c>
      <c r="F1647" s="7" t="str">
        <f>IF(Notes!CD1643="","",Notes!CD1643)</f>
        <v/>
      </c>
      <c r="G1647" s="7" t="str">
        <f>IF(Notes!CE1643="","",Notes!CE1643)</f>
        <v/>
      </c>
      <c r="H1647" s="7" t="str">
        <f>IF(Notes!CF1643="","",Notes!CF1643)</f>
        <v/>
      </c>
      <c r="I1647" s="7"/>
      <c r="J1647" s="7"/>
      <c r="K1647" s="7"/>
    </row>
    <row r="1648" spans="1:11" x14ac:dyDescent="0.35">
      <c r="A1648" s="7" t="str">
        <f>IF(Notes!BY1644="","",Notes!BY1644)</f>
        <v/>
      </c>
      <c r="B1648" s="7" t="str">
        <f>IF(Notes!BZ1644="","",Notes!BZ1644)</f>
        <v/>
      </c>
      <c r="C1648" s="7" t="str">
        <f>IF(Notes!CA1644="","",Notes!CA1644)</f>
        <v/>
      </c>
      <c r="D1648" s="7" t="str">
        <f>IF(Notes!CB1644="","",Notes!CB1644)</f>
        <v/>
      </c>
      <c r="E1648" s="7" t="str">
        <f>IF(Notes!CC1644="","",Notes!CC1644)</f>
        <v/>
      </c>
      <c r="F1648" s="7" t="str">
        <f>IF(Notes!CD1644="","",Notes!CD1644)</f>
        <v/>
      </c>
      <c r="G1648" s="7" t="str">
        <f>IF(Notes!CE1644="","",Notes!CE1644)</f>
        <v/>
      </c>
      <c r="H1648" s="7" t="str">
        <f>IF(Notes!CF1644="","",Notes!CF1644)</f>
        <v/>
      </c>
      <c r="I1648" s="7"/>
      <c r="J1648" s="7"/>
      <c r="K1648" s="7"/>
    </row>
    <row r="1649" spans="1:11" x14ac:dyDescent="0.35">
      <c r="A1649" s="7" t="str">
        <f>IF(Notes!BY1645="","",Notes!BY1645)</f>
        <v/>
      </c>
      <c r="B1649" s="7" t="str">
        <f>IF(Notes!BZ1645="","",Notes!BZ1645)</f>
        <v/>
      </c>
      <c r="C1649" s="7" t="str">
        <f>IF(Notes!CA1645="","",Notes!CA1645)</f>
        <v/>
      </c>
      <c r="D1649" s="7" t="str">
        <f>IF(Notes!CB1645="","",Notes!CB1645)</f>
        <v/>
      </c>
      <c r="E1649" s="7" t="str">
        <f>IF(Notes!CC1645="","",Notes!CC1645)</f>
        <v/>
      </c>
      <c r="F1649" s="7" t="str">
        <f>IF(Notes!CD1645="","",Notes!CD1645)</f>
        <v/>
      </c>
      <c r="G1649" s="7" t="str">
        <f>IF(Notes!CE1645="","",Notes!CE1645)</f>
        <v/>
      </c>
      <c r="H1649" s="7" t="str">
        <f>IF(Notes!CF1645="","",Notes!CF1645)</f>
        <v/>
      </c>
      <c r="I1649" s="7"/>
      <c r="J1649" s="7"/>
      <c r="K1649" s="7"/>
    </row>
    <row r="1650" spans="1:11" x14ac:dyDescent="0.35">
      <c r="A1650" s="7" t="str">
        <f>IF(Notes!BY1646="","",Notes!BY1646)</f>
        <v/>
      </c>
      <c r="B1650" s="7" t="str">
        <f>IF(Notes!BZ1646="","",Notes!BZ1646)</f>
        <v/>
      </c>
      <c r="C1650" s="7" t="str">
        <f>IF(Notes!CA1646="","",Notes!CA1646)</f>
        <v/>
      </c>
      <c r="D1650" s="7" t="str">
        <f>IF(Notes!CB1646="","",Notes!CB1646)</f>
        <v/>
      </c>
      <c r="E1650" s="7" t="str">
        <f>IF(Notes!CC1646="","",Notes!CC1646)</f>
        <v/>
      </c>
      <c r="F1650" s="7" t="str">
        <f>IF(Notes!CD1646="","",Notes!CD1646)</f>
        <v/>
      </c>
      <c r="G1650" s="7" t="str">
        <f>IF(Notes!CE1646="","",Notes!CE1646)</f>
        <v/>
      </c>
      <c r="H1650" s="7" t="str">
        <f>IF(Notes!CF1646="","",Notes!CF1646)</f>
        <v/>
      </c>
      <c r="I1650" s="7"/>
      <c r="J1650" s="7"/>
      <c r="K1650" s="7"/>
    </row>
    <row r="1651" spans="1:11" x14ac:dyDescent="0.35">
      <c r="A1651" s="7" t="str">
        <f>IF(Notes!BY1647="","",Notes!BY1647)</f>
        <v/>
      </c>
      <c r="B1651" s="7" t="str">
        <f>IF(Notes!BZ1647="","",Notes!BZ1647)</f>
        <v/>
      </c>
      <c r="C1651" s="7" t="str">
        <f>IF(Notes!CA1647="","",Notes!CA1647)</f>
        <v/>
      </c>
      <c r="D1651" s="7" t="str">
        <f>IF(Notes!CB1647="","",Notes!CB1647)</f>
        <v/>
      </c>
      <c r="E1651" s="7" t="str">
        <f>IF(Notes!CC1647="","",Notes!CC1647)</f>
        <v/>
      </c>
      <c r="F1651" s="7" t="str">
        <f>IF(Notes!CD1647="","",Notes!CD1647)</f>
        <v/>
      </c>
      <c r="G1651" s="7" t="str">
        <f>IF(Notes!CE1647="","",Notes!CE1647)</f>
        <v/>
      </c>
      <c r="H1651" s="7" t="str">
        <f>IF(Notes!CF1647="","",Notes!CF1647)</f>
        <v/>
      </c>
      <c r="I1651" s="7"/>
      <c r="J1651" s="7"/>
      <c r="K1651" s="7"/>
    </row>
    <row r="1652" spans="1:11" x14ac:dyDescent="0.35">
      <c r="A1652" s="7" t="str">
        <f>IF(Notes!BY1648="","",Notes!BY1648)</f>
        <v/>
      </c>
      <c r="B1652" s="7" t="str">
        <f>IF(Notes!BZ1648="","",Notes!BZ1648)</f>
        <v/>
      </c>
      <c r="C1652" s="7" t="str">
        <f>IF(Notes!CA1648="","",Notes!CA1648)</f>
        <v/>
      </c>
      <c r="D1652" s="7" t="str">
        <f>IF(Notes!CB1648="","",Notes!CB1648)</f>
        <v/>
      </c>
      <c r="E1652" s="7" t="str">
        <f>IF(Notes!CC1648="","",Notes!CC1648)</f>
        <v/>
      </c>
      <c r="F1652" s="7" t="str">
        <f>IF(Notes!CD1648="","",Notes!CD1648)</f>
        <v/>
      </c>
      <c r="G1652" s="7" t="str">
        <f>IF(Notes!CE1648="","",Notes!CE1648)</f>
        <v/>
      </c>
      <c r="H1652" s="7" t="str">
        <f>IF(Notes!CF1648="","",Notes!CF1648)</f>
        <v/>
      </c>
      <c r="I1652" s="7"/>
      <c r="J1652" s="7"/>
      <c r="K1652" s="7"/>
    </row>
    <row r="1653" spans="1:11" x14ac:dyDescent="0.35">
      <c r="A1653" s="7" t="str">
        <f>IF(Notes!BY1649="","",Notes!BY1649)</f>
        <v/>
      </c>
      <c r="B1653" s="7" t="str">
        <f>IF(Notes!BZ1649="","",Notes!BZ1649)</f>
        <v/>
      </c>
      <c r="C1653" s="7" t="str">
        <f>IF(Notes!CA1649="","",Notes!CA1649)</f>
        <v/>
      </c>
      <c r="D1653" s="7" t="str">
        <f>IF(Notes!CB1649="","",Notes!CB1649)</f>
        <v/>
      </c>
      <c r="E1653" s="7" t="str">
        <f>IF(Notes!CC1649="","",Notes!CC1649)</f>
        <v/>
      </c>
      <c r="F1653" s="7" t="str">
        <f>IF(Notes!CD1649="","",Notes!CD1649)</f>
        <v/>
      </c>
      <c r="G1653" s="7" t="str">
        <f>IF(Notes!CE1649="","",Notes!CE1649)</f>
        <v/>
      </c>
      <c r="H1653" s="7" t="str">
        <f>IF(Notes!CF1649="","",Notes!CF1649)</f>
        <v/>
      </c>
      <c r="I1653" s="7"/>
      <c r="J1653" s="7"/>
      <c r="K1653" s="7"/>
    </row>
    <row r="1654" spans="1:11" x14ac:dyDescent="0.35">
      <c r="A1654" s="7" t="str">
        <f>IF(Notes!BY1650="","",Notes!BY1650)</f>
        <v/>
      </c>
      <c r="B1654" s="7" t="str">
        <f>IF(Notes!BZ1650="","",Notes!BZ1650)</f>
        <v/>
      </c>
      <c r="C1654" s="7" t="str">
        <f>IF(Notes!CA1650="","",Notes!CA1650)</f>
        <v/>
      </c>
      <c r="D1654" s="7" t="str">
        <f>IF(Notes!CB1650="","",Notes!CB1650)</f>
        <v/>
      </c>
      <c r="E1654" s="7" t="str">
        <f>IF(Notes!CC1650="","",Notes!CC1650)</f>
        <v/>
      </c>
      <c r="F1654" s="7" t="str">
        <f>IF(Notes!CD1650="","",Notes!CD1650)</f>
        <v/>
      </c>
      <c r="G1654" s="7" t="str">
        <f>IF(Notes!CE1650="","",Notes!CE1650)</f>
        <v/>
      </c>
      <c r="H1654" s="7" t="str">
        <f>IF(Notes!CF1650="","",Notes!CF1650)</f>
        <v/>
      </c>
      <c r="I1654" s="7"/>
      <c r="J1654" s="7"/>
      <c r="K1654" s="7"/>
    </row>
    <row r="1655" spans="1:11" x14ac:dyDescent="0.35">
      <c r="A1655" s="7" t="str">
        <f>IF(Notes!BY1651="","",Notes!BY1651)</f>
        <v/>
      </c>
      <c r="B1655" s="7" t="str">
        <f>IF(Notes!BZ1651="","",Notes!BZ1651)</f>
        <v/>
      </c>
      <c r="C1655" s="7" t="str">
        <f>IF(Notes!CA1651="","",Notes!CA1651)</f>
        <v/>
      </c>
      <c r="D1655" s="7" t="str">
        <f>IF(Notes!CB1651="","",Notes!CB1651)</f>
        <v/>
      </c>
      <c r="E1655" s="7" t="str">
        <f>IF(Notes!CC1651="","",Notes!CC1651)</f>
        <v/>
      </c>
      <c r="F1655" s="7" t="str">
        <f>IF(Notes!CD1651="","",Notes!CD1651)</f>
        <v/>
      </c>
      <c r="G1655" s="7" t="str">
        <f>IF(Notes!CE1651="","",Notes!CE1651)</f>
        <v/>
      </c>
      <c r="H1655" s="7" t="str">
        <f>IF(Notes!CF1651="","",Notes!CF1651)</f>
        <v/>
      </c>
      <c r="I1655" s="7"/>
      <c r="J1655" s="7"/>
      <c r="K1655" s="7"/>
    </row>
    <row r="1656" spans="1:11" x14ac:dyDescent="0.35">
      <c r="A1656" s="7" t="str">
        <f>IF(Notes!BY1652="","",Notes!BY1652)</f>
        <v/>
      </c>
      <c r="B1656" s="7" t="str">
        <f>IF(Notes!BZ1652="","",Notes!BZ1652)</f>
        <v/>
      </c>
      <c r="C1656" s="7" t="str">
        <f>IF(Notes!CA1652="","",Notes!CA1652)</f>
        <v/>
      </c>
      <c r="D1656" s="7" t="str">
        <f>IF(Notes!CB1652="","",Notes!CB1652)</f>
        <v/>
      </c>
      <c r="E1656" s="7" t="str">
        <f>IF(Notes!CC1652="","",Notes!CC1652)</f>
        <v/>
      </c>
      <c r="F1656" s="7" t="str">
        <f>IF(Notes!CD1652="","",Notes!CD1652)</f>
        <v/>
      </c>
      <c r="G1656" s="7" t="str">
        <f>IF(Notes!CE1652="","",Notes!CE1652)</f>
        <v/>
      </c>
      <c r="H1656" s="7" t="str">
        <f>IF(Notes!CF1652="","",Notes!CF1652)</f>
        <v/>
      </c>
      <c r="I1656" s="7"/>
      <c r="J1656" s="7"/>
      <c r="K1656" s="7"/>
    </row>
    <row r="1657" spans="1:11" x14ac:dyDescent="0.35">
      <c r="A1657" s="7" t="str">
        <f>IF(Notes!BY1653="","",Notes!BY1653)</f>
        <v/>
      </c>
      <c r="B1657" s="7" t="str">
        <f>IF(Notes!BZ1653="","",Notes!BZ1653)</f>
        <v/>
      </c>
      <c r="C1657" s="7" t="str">
        <f>IF(Notes!CA1653="","",Notes!CA1653)</f>
        <v/>
      </c>
      <c r="D1657" s="7" t="str">
        <f>IF(Notes!CB1653="","",Notes!CB1653)</f>
        <v/>
      </c>
      <c r="E1657" s="7" t="str">
        <f>IF(Notes!CC1653="","",Notes!CC1653)</f>
        <v/>
      </c>
      <c r="F1657" s="7" t="str">
        <f>IF(Notes!CD1653="","",Notes!CD1653)</f>
        <v/>
      </c>
      <c r="G1657" s="7" t="str">
        <f>IF(Notes!CE1653="","",Notes!CE1653)</f>
        <v/>
      </c>
      <c r="H1657" s="7" t="str">
        <f>IF(Notes!CF1653="","",Notes!CF1653)</f>
        <v/>
      </c>
      <c r="I1657" s="7"/>
      <c r="J1657" s="7"/>
      <c r="K1657" s="7"/>
    </row>
    <row r="1658" spans="1:11" x14ac:dyDescent="0.35">
      <c r="A1658" s="7" t="str">
        <f>IF(Notes!BY1654="","",Notes!BY1654)</f>
        <v/>
      </c>
      <c r="B1658" s="7" t="str">
        <f>IF(Notes!BZ1654="","",Notes!BZ1654)</f>
        <v/>
      </c>
      <c r="C1658" s="7" t="str">
        <f>IF(Notes!CA1654="","",Notes!CA1654)</f>
        <v/>
      </c>
      <c r="D1658" s="7" t="str">
        <f>IF(Notes!CB1654="","",Notes!CB1654)</f>
        <v/>
      </c>
      <c r="E1658" s="7" t="str">
        <f>IF(Notes!CC1654="","",Notes!CC1654)</f>
        <v/>
      </c>
      <c r="F1658" s="7" t="str">
        <f>IF(Notes!CD1654="","",Notes!CD1654)</f>
        <v/>
      </c>
      <c r="G1658" s="7" t="str">
        <f>IF(Notes!CE1654="","",Notes!CE1654)</f>
        <v/>
      </c>
      <c r="H1658" s="7" t="str">
        <f>IF(Notes!CF1654="","",Notes!CF1654)</f>
        <v/>
      </c>
      <c r="I1658" s="7"/>
      <c r="J1658" s="7"/>
      <c r="K1658" s="7"/>
    </row>
    <row r="1659" spans="1:11" x14ac:dyDescent="0.35">
      <c r="A1659" s="7" t="str">
        <f>IF(Notes!BY1655="","",Notes!BY1655)</f>
        <v/>
      </c>
      <c r="B1659" s="7" t="str">
        <f>IF(Notes!BZ1655="","",Notes!BZ1655)</f>
        <v/>
      </c>
      <c r="C1659" s="7" t="str">
        <f>IF(Notes!CA1655="","",Notes!CA1655)</f>
        <v/>
      </c>
      <c r="D1659" s="7" t="str">
        <f>IF(Notes!CB1655="","",Notes!CB1655)</f>
        <v/>
      </c>
      <c r="E1659" s="7" t="str">
        <f>IF(Notes!CC1655="","",Notes!CC1655)</f>
        <v/>
      </c>
      <c r="F1659" s="7" t="str">
        <f>IF(Notes!CD1655="","",Notes!CD1655)</f>
        <v/>
      </c>
      <c r="G1659" s="7" t="str">
        <f>IF(Notes!CE1655="","",Notes!CE1655)</f>
        <v/>
      </c>
      <c r="H1659" s="7" t="str">
        <f>IF(Notes!CF1655="","",Notes!CF1655)</f>
        <v/>
      </c>
      <c r="I1659" s="7"/>
      <c r="J1659" s="7"/>
      <c r="K1659" s="7"/>
    </row>
    <row r="1660" spans="1:11" x14ac:dyDescent="0.35">
      <c r="A1660" s="7" t="str">
        <f>IF(Notes!BY1656="","",Notes!BY1656)</f>
        <v/>
      </c>
      <c r="B1660" s="7" t="str">
        <f>IF(Notes!BZ1656="","",Notes!BZ1656)</f>
        <v/>
      </c>
      <c r="C1660" s="7" t="str">
        <f>IF(Notes!CA1656="","",Notes!CA1656)</f>
        <v/>
      </c>
      <c r="D1660" s="7" t="str">
        <f>IF(Notes!CB1656="","",Notes!CB1656)</f>
        <v/>
      </c>
      <c r="E1660" s="7" t="str">
        <f>IF(Notes!CC1656="","",Notes!CC1656)</f>
        <v/>
      </c>
      <c r="F1660" s="7" t="str">
        <f>IF(Notes!CD1656="","",Notes!CD1656)</f>
        <v/>
      </c>
      <c r="G1660" s="7" t="str">
        <f>IF(Notes!CE1656="","",Notes!CE1656)</f>
        <v/>
      </c>
      <c r="H1660" s="7" t="str">
        <f>IF(Notes!CF1656="","",Notes!CF1656)</f>
        <v/>
      </c>
      <c r="I1660" s="7"/>
      <c r="J1660" s="7"/>
      <c r="K1660" s="7"/>
    </row>
    <row r="1661" spans="1:11" x14ac:dyDescent="0.35">
      <c r="A1661" s="7" t="str">
        <f>IF(Notes!BY1657="","",Notes!BY1657)</f>
        <v/>
      </c>
      <c r="B1661" s="7" t="str">
        <f>IF(Notes!BZ1657="","",Notes!BZ1657)</f>
        <v/>
      </c>
      <c r="C1661" s="7" t="str">
        <f>IF(Notes!CA1657="","",Notes!CA1657)</f>
        <v/>
      </c>
      <c r="D1661" s="7" t="str">
        <f>IF(Notes!CB1657="","",Notes!CB1657)</f>
        <v/>
      </c>
      <c r="E1661" s="7" t="str">
        <f>IF(Notes!CC1657="","",Notes!CC1657)</f>
        <v/>
      </c>
      <c r="F1661" s="7" t="str">
        <f>IF(Notes!CD1657="","",Notes!CD1657)</f>
        <v/>
      </c>
      <c r="G1661" s="7" t="str">
        <f>IF(Notes!CE1657="","",Notes!CE1657)</f>
        <v/>
      </c>
      <c r="H1661" s="7" t="str">
        <f>IF(Notes!CF1657="","",Notes!CF1657)</f>
        <v/>
      </c>
      <c r="I1661" s="7"/>
      <c r="J1661" s="7"/>
      <c r="K1661" s="7"/>
    </row>
    <row r="1662" spans="1:11" x14ac:dyDescent="0.35">
      <c r="A1662" s="7" t="str">
        <f>IF(Notes!BY1658="","",Notes!BY1658)</f>
        <v/>
      </c>
      <c r="B1662" s="7" t="str">
        <f>IF(Notes!BZ1658="","",Notes!BZ1658)</f>
        <v/>
      </c>
      <c r="C1662" s="7" t="str">
        <f>IF(Notes!CA1658="","",Notes!CA1658)</f>
        <v/>
      </c>
      <c r="D1662" s="7" t="str">
        <f>IF(Notes!CB1658="","",Notes!CB1658)</f>
        <v/>
      </c>
      <c r="E1662" s="7" t="str">
        <f>IF(Notes!CC1658="","",Notes!CC1658)</f>
        <v/>
      </c>
      <c r="F1662" s="7" t="str">
        <f>IF(Notes!CD1658="","",Notes!CD1658)</f>
        <v/>
      </c>
      <c r="G1662" s="7" t="str">
        <f>IF(Notes!CE1658="","",Notes!CE1658)</f>
        <v/>
      </c>
      <c r="H1662" s="7" t="str">
        <f>IF(Notes!CF1658="","",Notes!CF1658)</f>
        <v/>
      </c>
      <c r="I1662" s="7"/>
      <c r="J1662" s="7"/>
      <c r="K1662" s="7"/>
    </row>
    <row r="1663" spans="1:11" x14ac:dyDescent="0.35">
      <c r="A1663" s="7" t="str">
        <f>IF(Notes!BY1659="","",Notes!BY1659)</f>
        <v/>
      </c>
      <c r="B1663" s="7" t="str">
        <f>IF(Notes!BZ1659="","",Notes!BZ1659)</f>
        <v/>
      </c>
      <c r="C1663" s="7" t="str">
        <f>IF(Notes!CA1659="","",Notes!CA1659)</f>
        <v/>
      </c>
      <c r="D1663" s="7" t="str">
        <f>IF(Notes!CB1659="","",Notes!CB1659)</f>
        <v/>
      </c>
      <c r="E1663" s="7" t="str">
        <f>IF(Notes!CC1659="","",Notes!CC1659)</f>
        <v/>
      </c>
      <c r="F1663" s="7" t="str">
        <f>IF(Notes!CD1659="","",Notes!CD1659)</f>
        <v/>
      </c>
      <c r="G1663" s="7" t="str">
        <f>IF(Notes!CE1659="","",Notes!CE1659)</f>
        <v/>
      </c>
      <c r="H1663" s="7" t="str">
        <f>IF(Notes!CF1659="","",Notes!CF1659)</f>
        <v/>
      </c>
      <c r="I1663" s="7"/>
      <c r="J1663" s="7"/>
      <c r="K1663" s="7"/>
    </row>
    <row r="1664" spans="1:11" x14ac:dyDescent="0.35">
      <c r="A1664" s="7" t="str">
        <f>IF(Notes!BY1660="","",Notes!BY1660)</f>
        <v/>
      </c>
      <c r="B1664" s="7" t="str">
        <f>IF(Notes!BZ1660="","",Notes!BZ1660)</f>
        <v/>
      </c>
      <c r="C1664" s="7" t="str">
        <f>IF(Notes!CA1660="","",Notes!CA1660)</f>
        <v/>
      </c>
      <c r="D1664" s="7" t="str">
        <f>IF(Notes!CB1660="","",Notes!CB1660)</f>
        <v/>
      </c>
      <c r="E1664" s="7" t="str">
        <f>IF(Notes!CC1660="","",Notes!CC1660)</f>
        <v/>
      </c>
      <c r="F1664" s="7" t="str">
        <f>IF(Notes!CD1660="","",Notes!CD1660)</f>
        <v/>
      </c>
      <c r="G1664" s="7" t="str">
        <f>IF(Notes!CE1660="","",Notes!CE1660)</f>
        <v/>
      </c>
      <c r="H1664" s="7" t="str">
        <f>IF(Notes!CF1660="","",Notes!CF1660)</f>
        <v/>
      </c>
      <c r="I1664" s="7"/>
      <c r="J1664" s="7"/>
      <c r="K1664" s="7"/>
    </row>
    <row r="1665" spans="1:11" x14ac:dyDescent="0.35">
      <c r="A1665" s="7" t="str">
        <f>IF(Notes!BY1661="","",Notes!BY1661)</f>
        <v/>
      </c>
      <c r="B1665" s="7" t="str">
        <f>IF(Notes!BZ1661="","",Notes!BZ1661)</f>
        <v/>
      </c>
      <c r="C1665" s="7" t="str">
        <f>IF(Notes!CA1661="","",Notes!CA1661)</f>
        <v/>
      </c>
      <c r="D1665" s="7" t="str">
        <f>IF(Notes!CB1661="","",Notes!CB1661)</f>
        <v/>
      </c>
      <c r="E1665" s="7" t="str">
        <f>IF(Notes!CC1661="","",Notes!CC1661)</f>
        <v/>
      </c>
      <c r="F1665" s="7" t="str">
        <f>IF(Notes!CD1661="","",Notes!CD1661)</f>
        <v/>
      </c>
      <c r="G1665" s="7" t="str">
        <f>IF(Notes!CE1661="","",Notes!CE1661)</f>
        <v/>
      </c>
      <c r="H1665" s="7" t="str">
        <f>IF(Notes!CF1661="","",Notes!CF1661)</f>
        <v/>
      </c>
      <c r="I1665" s="7"/>
      <c r="J1665" s="7"/>
      <c r="K1665" s="7"/>
    </row>
    <row r="1666" spans="1:11" x14ac:dyDescent="0.35">
      <c r="A1666" s="7" t="str">
        <f>IF(Notes!BY1662="","",Notes!BY1662)</f>
        <v/>
      </c>
      <c r="B1666" s="7" t="str">
        <f>IF(Notes!BZ1662="","",Notes!BZ1662)</f>
        <v/>
      </c>
      <c r="C1666" s="7" t="str">
        <f>IF(Notes!CA1662="","",Notes!CA1662)</f>
        <v/>
      </c>
      <c r="D1666" s="7" t="str">
        <f>IF(Notes!CB1662="","",Notes!CB1662)</f>
        <v/>
      </c>
      <c r="E1666" s="7" t="str">
        <f>IF(Notes!CC1662="","",Notes!CC1662)</f>
        <v/>
      </c>
      <c r="F1666" s="7" t="str">
        <f>IF(Notes!CD1662="","",Notes!CD1662)</f>
        <v/>
      </c>
      <c r="G1666" s="7" t="str">
        <f>IF(Notes!CE1662="","",Notes!CE1662)</f>
        <v/>
      </c>
      <c r="H1666" s="7" t="str">
        <f>IF(Notes!CF1662="","",Notes!CF1662)</f>
        <v/>
      </c>
      <c r="I1666" s="7"/>
      <c r="J1666" s="7"/>
      <c r="K1666" s="7"/>
    </row>
    <row r="1667" spans="1:11" x14ac:dyDescent="0.35">
      <c r="A1667" s="7" t="str">
        <f>IF(Notes!BY1663="","",Notes!BY1663)</f>
        <v/>
      </c>
      <c r="B1667" s="7" t="str">
        <f>IF(Notes!BZ1663="","",Notes!BZ1663)</f>
        <v/>
      </c>
      <c r="C1667" s="7" t="str">
        <f>IF(Notes!CA1663="","",Notes!CA1663)</f>
        <v/>
      </c>
      <c r="D1667" s="7" t="str">
        <f>IF(Notes!CB1663="","",Notes!CB1663)</f>
        <v/>
      </c>
      <c r="E1667" s="7" t="str">
        <f>IF(Notes!CC1663="","",Notes!CC1663)</f>
        <v/>
      </c>
      <c r="F1667" s="7" t="str">
        <f>IF(Notes!CD1663="","",Notes!CD1663)</f>
        <v/>
      </c>
      <c r="G1667" s="7" t="str">
        <f>IF(Notes!CE1663="","",Notes!CE1663)</f>
        <v/>
      </c>
      <c r="H1667" s="7" t="str">
        <f>IF(Notes!CF1663="","",Notes!CF1663)</f>
        <v/>
      </c>
      <c r="I1667" s="7"/>
      <c r="J1667" s="7"/>
      <c r="K1667" s="7"/>
    </row>
    <row r="1668" spans="1:11" x14ac:dyDescent="0.35">
      <c r="A1668" s="7" t="str">
        <f>IF(Notes!BY1664="","",Notes!BY1664)</f>
        <v/>
      </c>
      <c r="B1668" s="7" t="str">
        <f>IF(Notes!BZ1664="","",Notes!BZ1664)</f>
        <v/>
      </c>
      <c r="C1668" s="7" t="str">
        <f>IF(Notes!CA1664="","",Notes!CA1664)</f>
        <v/>
      </c>
      <c r="D1668" s="7" t="str">
        <f>IF(Notes!CB1664="","",Notes!CB1664)</f>
        <v/>
      </c>
      <c r="E1668" s="7" t="str">
        <f>IF(Notes!CC1664="","",Notes!CC1664)</f>
        <v/>
      </c>
      <c r="F1668" s="7" t="str">
        <f>IF(Notes!CD1664="","",Notes!CD1664)</f>
        <v/>
      </c>
      <c r="G1668" s="7" t="str">
        <f>IF(Notes!CE1664="","",Notes!CE1664)</f>
        <v/>
      </c>
      <c r="H1668" s="7" t="str">
        <f>IF(Notes!CF1664="","",Notes!CF1664)</f>
        <v/>
      </c>
      <c r="I1668" s="7"/>
      <c r="J1668" s="7"/>
      <c r="K1668" s="7"/>
    </row>
    <row r="1669" spans="1:11" x14ac:dyDescent="0.35">
      <c r="A1669" s="7" t="str">
        <f>IF(Notes!BY1665="","",Notes!BY1665)</f>
        <v/>
      </c>
      <c r="B1669" s="7" t="str">
        <f>IF(Notes!BZ1665="","",Notes!BZ1665)</f>
        <v/>
      </c>
      <c r="C1669" s="7" t="str">
        <f>IF(Notes!CA1665="","",Notes!CA1665)</f>
        <v/>
      </c>
      <c r="D1669" s="7" t="str">
        <f>IF(Notes!CB1665="","",Notes!CB1665)</f>
        <v/>
      </c>
      <c r="E1669" s="7" t="str">
        <f>IF(Notes!CC1665="","",Notes!CC1665)</f>
        <v/>
      </c>
      <c r="F1669" s="7" t="str">
        <f>IF(Notes!CD1665="","",Notes!CD1665)</f>
        <v/>
      </c>
      <c r="G1669" s="7" t="str">
        <f>IF(Notes!CE1665="","",Notes!CE1665)</f>
        <v/>
      </c>
      <c r="H1669" s="7" t="str">
        <f>IF(Notes!CF1665="","",Notes!CF1665)</f>
        <v/>
      </c>
      <c r="I1669" s="7"/>
      <c r="J1669" s="7"/>
      <c r="K1669" s="7"/>
    </row>
    <row r="1670" spans="1:11" x14ac:dyDescent="0.35">
      <c r="A1670" s="7" t="str">
        <f>IF(Notes!BY1666="","",Notes!BY1666)</f>
        <v/>
      </c>
      <c r="B1670" s="7" t="str">
        <f>IF(Notes!BZ1666="","",Notes!BZ1666)</f>
        <v/>
      </c>
      <c r="C1670" s="7" t="str">
        <f>IF(Notes!CA1666="","",Notes!CA1666)</f>
        <v/>
      </c>
      <c r="D1670" s="7" t="str">
        <f>IF(Notes!CB1666="","",Notes!CB1666)</f>
        <v/>
      </c>
      <c r="E1670" s="7" t="str">
        <f>IF(Notes!CC1666="","",Notes!CC1666)</f>
        <v/>
      </c>
      <c r="F1670" s="7" t="str">
        <f>IF(Notes!CD1666="","",Notes!CD1666)</f>
        <v/>
      </c>
      <c r="G1670" s="7" t="str">
        <f>IF(Notes!CE1666="","",Notes!CE1666)</f>
        <v/>
      </c>
      <c r="H1670" s="7" t="str">
        <f>IF(Notes!CF1666="","",Notes!CF1666)</f>
        <v/>
      </c>
      <c r="I1670" s="7"/>
      <c r="J1670" s="7"/>
      <c r="K1670" s="7"/>
    </row>
    <row r="1671" spans="1:11" x14ac:dyDescent="0.35">
      <c r="A1671" s="7" t="str">
        <f>IF(Notes!BY1667="","",Notes!BY1667)</f>
        <v/>
      </c>
      <c r="B1671" s="7" t="str">
        <f>IF(Notes!BZ1667="","",Notes!BZ1667)</f>
        <v/>
      </c>
      <c r="C1671" s="7" t="str">
        <f>IF(Notes!CA1667="","",Notes!CA1667)</f>
        <v/>
      </c>
      <c r="D1671" s="7" t="str">
        <f>IF(Notes!CB1667="","",Notes!CB1667)</f>
        <v/>
      </c>
      <c r="E1671" s="7" t="str">
        <f>IF(Notes!CC1667="","",Notes!CC1667)</f>
        <v/>
      </c>
      <c r="F1671" s="7" t="str">
        <f>IF(Notes!CD1667="","",Notes!CD1667)</f>
        <v/>
      </c>
      <c r="G1671" s="7" t="str">
        <f>IF(Notes!CE1667="","",Notes!CE1667)</f>
        <v/>
      </c>
      <c r="H1671" s="7" t="str">
        <f>IF(Notes!CF1667="","",Notes!CF1667)</f>
        <v/>
      </c>
      <c r="I1671" s="7"/>
      <c r="J1671" s="7"/>
      <c r="K1671" s="7"/>
    </row>
    <row r="1672" spans="1:11" x14ac:dyDescent="0.35">
      <c r="A1672" s="7" t="str">
        <f>IF(Notes!BY1668="","",Notes!BY1668)</f>
        <v/>
      </c>
      <c r="B1672" s="7" t="str">
        <f>IF(Notes!BZ1668="","",Notes!BZ1668)</f>
        <v/>
      </c>
      <c r="C1672" s="7" t="str">
        <f>IF(Notes!CA1668="","",Notes!CA1668)</f>
        <v/>
      </c>
      <c r="D1672" s="7" t="str">
        <f>IF(Notes!CB1668="","",Notes!CB1668)</f>
        <v/>
      </c>
      <c r="E1672" s="7" t="str">
        <f>IF(Notes!CC1668="","",Notes!CC1668)</f>
        <v/>
      </c>
      <c r="F1672" s="7" t="str">
        <f>IF(Notes!CD1668="","",Notes!CD1668)</f>
        <v/>
      </c>
      <c r="G1672" s="7" t="str">
        <f>IF(Notes!CE1668="","",Notes!CE1668)</f>
        <v/>
      </c>
      <c r="H1672" s="7" t="str">
        <f>IF(Notes!CF1668="","",Notes!CF1668)</f>
        <v/>
      </c>
      <c r="I1672" s="7"/>
      <c r="J1672" s="7"/>
      <c r="K1672" s="7"/>
    </row>
    <row r="1673" spans="1:11" x14ac:dyDescent="0.35">
      <c r="A1673" s="7" t="str">
        <f>IF(Notes!BY1669="","",Notes!BY1669)</f>
        <v/>
      </c>
      <c r="B1673" s="7" t="str">
        <f>IF(Notes!BZ1669="","",Notes!BZ1669)</f>
        <v/>
      </c>
      <c r="C1673" s="7" t="str">
        <f>IF(Notes!CA1669="","",Notes!CA1669)</f>
        <v/>
      </c>
      <c r="D1673" s="7" t="str">
        <f>IF(Notes!CB1669="","",Notes!CB1669)</f>
        <v/>
      </c>
      <c r="E1673" s="7" t="str">
        <f>IF(Notes!CC1669="","",Notes!CC1669)</f>
        <v/>
      </c>
      <c r="F1673" s="7" t="str">
        <f>IF(Notes!CD1669="","",Notes!CD1669)</f>
        <v/>
      </c>
      <c r="G1673" s="7" t="str">
        <f>IF(Notes!CE1669="","",Notes!CE1669)</f>
        <v/>
      </c>
      <c r="H1673" s="7" t="str">
        <f>IF(Notes!CF1669="","",Notes!CF1669)</f>
        <v/>
      </c>
      <c r="I1673" s="7"/>
      <c r="J1673" s="7"/>
      <c r="K1673" s="7"/>
    </row>
    <row r="1674" spans="1:11" x14ac:dyDescent="0.35">
      <c r="A1674" s="7" t="str">
        <f>IF(Notes!BY1670="","",Notes!BY1670)</f>
        <v/>
      </c>
      <c r="B1674" s="7" t="str">
        <f>IF(Notes!BZ1670="","",Notes!BZ1670)</f>
        <v/>
      </c>
      <c r="C1674" s="7" t="str">
        <f>IF(Notes!CA1670="","",Notes!CA1670)</f>
        <v/>
      </c>
      <c r="D1674" s="7" t="str">
        <f>IF(Notes!CB1670="","",Notes!CB1670)</f>
        <v/>
      </c>
      <c r="E1674" s="7" t="str">
        <f>IF(Notes!CC1670="","",Notes!CC1670)</f>
        <v/>
      </c>
      <c r="F1674" s="7" t="str">
        <f>IF(Notes!CD1670="","",Notes!CD1670)</f>
        <v/>
      </c>
      <c r="G1674" s="7" t="str">
        <f>IF(Notes!CE1670="","",Notes!CE1670)</f>
        <v/>
      </c>
      <c r="H1674" s="7" t="str">
        <f>IF(Notes!CF1670="","",Notes!CF1670)</f>
        <v/>
      </c>
      <c r="I1674" s="7"/>
      <c r="J1674" s="7"/>
      <c r="K1674" s="7"/>
    </row>
    <row r="1675" spans="1:11" x14ac:dyDescent="0.35">
      <c r="A1675" s="7" t="str">
        <f>IF(Notes!BY1671="","",Notes!BY1671)</f>
        <v/>
      </c>
      <c r="B1675" s="7" t="str">
        <f>IF(Notes!BZ1671="","",Notes!BZ1671)</f>
        <v/>
      </c>
      <c r="C1675" s="7" t="str">
        <f>IF(Notes!CA1671="","",Notes!CA1671)</f>
        <v/>
      </c>
      <c r="D1675" s="7" t="str">
        <f>IF(Notes!CB1671="","",Notes!CB1671)</f>
        <v/>
      </c>
      <c r="E1675" s="7" t="str">
        <f>IF(Notes!CC1671="","",Notes!CC1671)</f>
        <v/>
      </c>
      <c r="F1675" s="7" t="str">
        <f>IF(Notes!CD1671="","",Notes!CD1671)</f>
        <v/>
      </c>
      <c r="G1675" s="7" t="str">
        <f>IF(Notes!CE1671="","",Notes!CE1671)</f>
        <v/>
      </c>
      <c r="H1675" s="7" t="str">
        <f>IF(Notes!CF1671="","",Notes!CF1671)</f>
        <v/>
      </c>
      <c r="I1675" s="7"/>
      <c r="J1675" s="7"/>
      <c r="K1675" s="7"/>
    </row>
    <row r="1676" spans="1:11" x14ac:dyDescent="0.35">
      <c r="A1676" s="7" t="str">
        <f>IF(Notes!BY1672="","",Notes!BY1672)</f>
        <v/>
      </c>
      <c r="B1676" s="7" t="str">
        <f>IF(Notes!BZ1672="","",Notes!BZ1672)</f>
        <v/>
      </c>
      <c r="C1676" s="7" t="str">
        <f>IF(Notes!CA1672="","",Notes!CA1672)</f>
        <v/>
      </c>
      <c r="D1676" s="7" t="str">
        <f>IF(Notes!CB1672="","",Notes!CB1672)</f>
        <v/>
      </c>
      <c r="E1676" s="7" t="str">
        <f>IF(Notes!CC1672="","",Notes!CC1672)</f>
        <v/>
      </c>
      <c r="F1676" s="7" t="str">
        <f>IF(Notes!CD1672="","",Notes!CD1672)</f>
        <v/>
      </c>
      <c r="G1676" s="7" t="str">
        <f>IF(Notes!CE1672="","",Notes!CE1672)</f>
        <v/>
      </c>
      <c r="H1676" s="7" t="str">
        <f>IF(Notes!CF1672="","",Notes!CF1672)</f>
        <v/>
      </c>
      <c r="I1676" s="7"/>
      <c r="J1676" s="7"/>
      <c r="K1676" s="7"/>
    </row>
    <row r="1677" spans="1:11" x14ac:dyDescent="0.35">
      <c r="A1677" s="7" t="str">
        <f>IF(Notes!BY1673="","",Notes!BY1673)</f>
        <v/>
      </c>
      <c r="B1677" s="7" t="str">
        <f>IF(Notes!BZ1673="","",Notes!BZ1673)</f>
        <v/>
      </c>
      <c r="C1677" s="7" t="str">
        <f>IF(Notes!CA1673="","",Notes!CA1673)</f>
        <v/>
      </c>
      <c r="D1677" s="7" t="str">
        <f>IF(Notes!CB1673="","",Notes!CB1673)</f>
        <v/>
      </c>
      <c r="E1677" s="7" t="str">
        <f>IF(Notes!CC1673="","",Notes!CC1673)</f>
        <v/>
      </c>
      <c r="F1677" s="7" t="str">
        <f>IF(Notes!CD1673="","",Notes!CD1673)</f>
        <v/>
      </c>
      <c r="G1677" s="7" t="str">
        <f>IF(Notes!CE1673="","",Notes!CE1673)</f>
        <v/>
      </c>
      <c r="H1677" s="7" t="str">
        <f>IF(Notes!CF1673="","",Notes!CF1673)</f>
        <v/>
      </c>
      <c r="I1677" s="7"/>
      <c r="J1677" s="7"/>
      <c r="K1677" s="7"/>
    </row>
    <row r="1678" spans="1:11" x14ac:dyDescent="0.35">
      <c r="A1678" s="7" t="str">
        <f>IF(Notes!BY1674="","",Notes!BY1674)</f>
        <v/>
      </c>
      <c r="B1678" s="7" t="str">
        <f>IF(Notes!BZ1674="","",Notes!BZ1674)</f>
        <v/>
      </c>
      <c r="C1678" s="7" t="str">
        <f>IF(Notes!CA1674="","",Notes!CA1674)</f>
        <v/>
      </c>
      <c r="D1678" s="7" t="str">
        <f>IF(Notes!CB1674="","",Notes!CB1674)</f>
        <v/>
      </c>
      <c r="E1678" s="7" t="str">
        <f>IF(Notes!CC1674="","",Notes!CC1674)</f>
        <v/>
      </c>
      <c r="F1678" s="7" t="str">
        <f>IF(Notes!CD1674="","",Notes!CD1674)</f>
        <v/>
      </c>
      <c r="G1678" s="7" t="str">
        <f>IF(Notes!CE1674="","",Notes!CE1674)</f>
        <v/>
      </c>
      <c r="H1678" s="7" t="str">
        <f>IF(Notes!CF1674="","",Notes!CF1674)</f>
        <v/>
      </c>
      <c r="I1678" s="7"/>
      <c r="J1678" s="7"/>
      <c r="K1678" s="7"/>
    </row>
    <row r="1679" spans="1:11" x14ac:dyDescent="0.35">
      <c r="A1679" s="7" t="str">
        <f>IF(Notes!BY1675="","",Notes!BY1675)</f>
        <v/>
      </c>
      <c r="B1679" s="7" t="str">
        <f>IF(Notes!BZ1675="","",Notes!BZ1675)</f>
        <v/>
      </c>
      <c r="C1679" s="7" t="str">
        <f>IF(Notes!CA1675="","",Notes!CA1675)</f>
        <v/>
      </c>
      <c r="D1679" s="7" t="str">
        <f>IF(Notes!CB1675="","",Notes!CB1675)</f>
        <v/>
      </c>
      <c r="E1679" s="7" t="str">
        <f>IF(Notes!CC1675="","",Notes!CC1675)</f>
        <v/>
      </c>
      <c r="F1679" s="7" t="str">
        <f>IF(Notes!CD1675="","",Notes!CD1675)</f>
        <v/>
      </c>
      <c r="G1679" s="7" t="str">
        <f>IF(Notes!CE1675="","",Notes!CE1675)</f>
        <v/>
      </c>
      <c r="H1679" s="7" t="str">
        <f>IF(Notes!CF1675="","",Notes!CF1675)</f>
        <v/>
      </c>
      <c r="I1679" s="7"/>
      <c r="J1679" s="7"/>
      <c r="K1679" s="7"/>
    </row>
    <row r="1680" spans="1:11" x14ac:dyDescent="0.35">
      <c r="A1680" s="7" t="str">
        <f>IF(Notes!BY1676="","",Notes!BY1676)</f>
        <v/>
      </c>
      <c r="B1680" s="7" t="str">
        <f>IF(Notes!BZ1676="","",Notes!BZ1676)</f>
        <v/>
      </c>
      <c r="C1680" s="7" t="str">
        <f>IF(Notes!CA1676="","",Notes!CA1676)</f>
        <v/>
      </c>
      <c r="D1680" s="7" t="str">
        <f>IF(Notes!CB1676="","",Notes!CB1676)</f>
        <v/>
      </c>
      <c r="E1680" s="7" t="str">
        <f>IF(Notes!CC1676="","",Notes!CC1676)</f>
        <v/>
      </c>
      <c r="F1680" s="7" t="str">
        <f>IF(Notes!CD1676="","",Notes!CD1676)</f>
        <v/>
      </c>
      <c r="G1680" s="7" t="str">
        <f>IF(Notes!CE1676="","",Notes!CE1676)</f>
        <v/>
      </c>
      <c r="H1680" s="7" t="str">
        <f>IF(Notes!CF1676="","",Notes!CF1676)</f>
        <v/>
      </c>
      <c r="I1680" s="7"/>
      <c r="J1680" s="7"/>
      <c r="K1680" s="7"/>
    </row>
    <row r="1681" spans="1:11" x14ac:dyDescent="0.35">
      <c r="A1681" s="7" t="str">
        <f>IF(Notes!BY1677="","",Notes!BY1677)</f>
        <v/>
      </c>
      <c r="B1681" s="7" t="str">
        <f>IF(Notes!BZ1677="","",Notes!BZ1677)</f>
        <v/>
      </c>
      <c r="C1681" s="7" t="str">
        <f>IF(Notes!CA1677="","",Notes!CA1677)</f>
        <v/>
      </c>
      <c r="D1681" s="7" t="str">
        <f>IF(Notes!CB1677="","",Notes!CB1677)</f>
        <v/>
      </c>
      <c r="E1681" s="7" t="str">
        <f>IF(Notes!CC1677="","",Notes!CC1677)</f>
        <v/>
      </c>
      <c r="F1681" s="7" t="str">
        <f>IF(Notes!CD1677="","",Notes!CD1677)</f>
        <v/>
      </c>
      <c r="G1681" s="7" t="str">
        <f>IF(Notes!CE1677="","",Notes!CE1677)</f>
        <v/>
      </c>
      <c r="H1681" s="7" t="str">
        <f>IF(Notes!CF1677="","",Notes!CF1677)</f>
        <v/>
      </c>
      <c r="I1681" s="7"/>
      <c r="J1681" s="7"/>
      <c r="K1681" s="7"/>
    </row>
    <row r="1682" spans="1:11" x14ac:dyDescent="0.35">
      <c r="A1682" s="7" t="str">
        <f>IF(Notes!BY1678="","",Notes!BY1678)</f>
        <v/>
      </c>
      <c r="B1682" s="7" t="str">
        <f>IF(Notes!BZ1678="","",Notes!BZ1678)</f>
        <v/>
      </c>
      <c r="C1682" s="7" t="str">
        <f>IF(Notes!CA1678="","",Notes!CA1678)</f>
        <v/>
      </c>
      <c r="D1682" s="7" t="str">
        <f>IF(Notes!CB1678="","",Notes!CB1678)</f>
        <v/>
      </c>
      <c r="E1682" s="7" t="str">
        <f>IF(Notes!CC1678="","",Notes!CC1678)</f>
        <v/>
      </c>
      <c r="F1682" s="7" t="str">
        <f>IF(Notes!CD1678="","",Notes!CD1678)</f>
        <v/>
      </c>
      <c r="G1682" s="7" t="str">
        <f>IF(Notes!CE1678="","",Notes!CE1678)</f>
        <v/>
      </c>
      <c r="H1682" s="7" t="str">
        <f>IF(Notes!CF1678="","",Notes!CF1678)</f>
        <v/>
      </c>
      <c r="I1682" s="7"/>
      <c r="J1682" s="7"/>
      <c r="K1682" s="7"/>
    </row>
    <row r="1683" spans="1:11" x14ac:dyDescent="0.35">
      <c r="A1683" s="7" t="str">
        <f>IF(Notes!BY1679="","",Notes!BY1679)</f>
        <v/>
      </c>
      <c r="B1683" s="7" t="str">
        <f>IF(Notes!BZ1679="","",Notes!BZ1679)</f>
        <v/>
      </c>
      <c r="C1683" s="7" t="str">
        <f>IF(Notes!CA1679="","",Notes!CA1679)</f>
        <v/>
      </c>
      <c r="D1683" s="7" t="str">
        <f>IF(Notes!CB1679="","",Notes!CB1679)</f>
        <v/>
      </c>
      <c r="E1683" s="7" t="str">
        <f>IF(Notes!CC1679="","",Notes!CC1679)</f>
        <v/>
      </c>
      <c r="F1683" s="7" t="str">
        <f>IF(Notes!CD1679="","",Notes!CD1679)</f>
        <v/>
      </c>
      <c r="G1683" s="7" t="str">
        <f>IF(Notes!CE1679="","",Notes!CE1679)</f>
        <v/>
      </c>
      <c r="H1683" s="7" t="str">
        <f>IF(Notes!CF1679="","",Notes!CF1679)</f>
        <v/>
      </c>
      <c r="I1683" s="7"/>
      <c r="J1683" s="7"/>
      <c r="K1683" s="7"/>
    </row>
    <row r="1684" spans="1:11" x14ac:dyDescent="0.35">
      <c r="A1684" s="7" t="str">
        <f>IF(Notes!BY1680="","",Notes!BY1680)</f>
        <v/>
      </c>
      <c r="B1684" s="7" t="str">
        <f>IF(Notes!BZ1680="","",Notes!BZ1680)</f>
        <v/>
      </c>
      <c r="C1684" s="7" t="str">
        <f>IF(Notes!CA1680="","",Notes!CA1680)</f>
        <v/>
      </c>
      <c r="D1684" s="7" t="str">
        <f>IF(Notes!CB1680="","",Notes!CB1680)</f>
        <v/>
      </c>
      <c r="E1684" s="7" t="str">
        <f>IF(Notes!CC1680="","",Notes!CC1680)</f>
        <v/>
      </c>
      <c r="F1684" s="7" t="str">
        <f>IF(Notes!CD1680="","",Notes!CD1680)</f>
        <v/>
      </c>
      <c r="G1684" s="7" t="str">
        <f>IF(Notes!CE1680="","",Notes!CE1680)</f>
        <v/>
      </c>
      <c r="H1684" s="7" t="str">
        <f>IF(Notes!CF1680="","",Notes!CF1680)</f>
        <v/>
      </c>
      <c r="I1684" s="7"/>
      <c r="J1684" s="7"/>
      <c r="K1684" s="7"/>
    </row>
    <row r="1685" spans="1:11" x14ac:dyDescent="0.35">
      <c r="A1685" s="7" t="str">
        <f>IF(Notes!BY1681="","",Notes!BY1681)</f>
        <v/>
      </c>
      <c r="B1685" s="7" t="str">
        <f>IF(Notes!BZ1681="","",Notes!BZ1681)</f>
        <v/>
      </c>
      <c r="C1685" s="7" t="str">
        <f>IF(Notes!CA1681="","",Notes!CA1681)</f>
        <v/>
      </c>
      <c r="D1685" s="7" t="str">
        <f>IF(Notes!CB1681="","",Notes!CB1681)</f>
        <v/>
      </c>
      <c r="E1685" s="7" t="str">
        <f>IF(Notes!CC1681="","",Notes!CC1681)</f>
        <v/>
      </c>
      <c r="F1685" s="7" t="str">
        <f>IF(Notes!CD1681="","",Notes!CD1681)</f>
        <v/>
      </c>
      <c r="G1685" s="7" t="str">
        <f>IF(Notes!CE1681="","",Notes!CE1681)</f>
        <v/>
      </c>
      <c r="H1685" s="7" t="str">
        <f>IF(Notes!CF1681="","",Notes!CF1681)</f>
        <v/>
      </c>
      <c r="I1685" s="7"/>
      <c r="J1685" s="7"/>
      <c r="K1685" s="7"/>
    </row>
    <row r="1686" spans="1:11" x14ac:dyDescent="0.35">
      <c r="A1686" s="7" t="str">
        <f>IF(Notes!BY1682="","",Notes!BY1682)</f>
        <v/>
      </c>
      <c r="B1686" s="7" t="str">
        <f>IF(Notes!BZ1682="","",Notes!BZ1682)</f>
        <v/>
      </c>
      <c r="C1686" s="7" t="str">
        <f>IF(Notes!CA1682="","",Notes!CA1682)</f>
        <v/>
      </c>
      <c r="D1686" s="7" t="str">
        <f>IF(Notes!CB1682="","",Notes!CB1682)</f>
        <v/>
      </c>
      <c r="E1686" s="7" t="str">
        <f>IF(Notes!CC1682="","",Notes!CC1682)</f>
        <v/>
      </c>
      <c r="F1686" s="7" t="str">
        <f>IF(Notes!CD1682="","",Notes!CD1682)</f>
        <v/>
      </c>
      <c r="G1686" s="7" t="str">
        <f>IF(Notes!CE1682="","",Notes!CE1682)</f>
        <v/>
      </c>
      <c r="H1686" s="7" t="str">
        <f>IF(Notes!CF1682="","",Notes!CF1682)</f>
        <v/>
      </c>
      <c r="I1686" s="7"/>
      <c r="J1686" s="7"/>
      <c r="K1686" s="7"/>
    </row>
    <row r="1687" spans="1:11" x14ac:dyDescent="0.35">
      <c r="A1687" s="7" t="str">
        <f>IF(Notes!BY1683="","",Notes!BY1683)</f>
        <v/>
      </c>
      <c r="B1687" s="7" t="str">
        <f>IF(Notes!BZ1683="","",Notes!BZ1683)</f>
        <v/>
      </c>
      <c r="C1687" s="7" t="str">
        <f>IF(Notes!CA1683="","",Notes!CA1683)</f>
        <v/>
      </c>
      <c r="D1687" s="7" t="str">
        <f>IF(Notes!CB1683="","",Notes!CB1683)</f>
        <v/>
      </c>
      <c r="E1687" s="7" t="str">
        <f>IF(Notes!CC1683="","",Notes!CC1683)</f>
        <v/>
      </c>
      <c r="F1687" s="7" t="str">
        <f>IF(Notes!CD1683="","",Notes!CD1683)</f>
        <v/>
      </c>
      <c r="G1687" s="7" t="str">
        <f>IF(Notes!CE1683="","",Notes!CE1683)</f>
        <v/>
      </c>
      <c r="H1687" s="7" t="str">
        <f>IF(Notes!CF1683="","",Notes!CF1683)</f>
        <v/>
      </c>
      <c r="I1687" s="7"/>
      <c r="J1687" s="7"/>
      <c r="K1687" s="7"/>
    </row>
    <row r="1688" spans="1:11" x14ac:dyDescent="0.35">
      <c r="A1688" s="7" t="str">
        <f>IF(Notes!BY1684="","",Notes!BY1684)</f>
        <v/>
      </c>
      <c r="B1688" s="7" t="str">
        <f>IF(Notes!BZ1684="","",Notes!BZ1684)</f>
        <v/>
      </c>
      <c r="C1688" s="7" t="str">
        <f>IF(Notes!CA1684="","",Notes!CA1684)</f>
        <v/>
      </c>
      <c r="D1688" s="7" t="str">
        <f>IF(Notes!CB1684="","",Notes!CB1684)</f>
        <v/>
      </c>
      <c r="E1688" s="7" t="str">
        <f>IF(Notes!CC1684="","",Notes!CC1684)</f>
        <v/>
      </c>
      <c r="F1688" s="7" t="str">
        <f>IF(Notes!CD1684="","",Notes!CD1684)</f>
        <v/>
      </c>
      <c r="G1688" s="7" t="str">
        <f>IF(Notes!CE1684="","",Notes!CE1684)</f>
        <v/>
      </c>
      <c r="H1688" s="7" t="str">
        <f>IF(Notes!CF1684="","",Notes!CF1684)</f>
        <v/>
      </c>
      <c r="I1688" s="7"/>
      <c r="J1688" s="7"/>
      <c r="K1688" s="7"/>
    </row>
    <row r="1689" spans="1:11" x14ac:dyDescent="0.35">
      <c r="A1689" s="7" t="str">
        <f>IF(Notes!BY1685="","",Notes!BY1685)</f>
        <v/>
      </c>
      <c r="B1689" s="7" t="str">
        <f>IF(Notes!BZ1685="","",Notes!BZ1685)</f>
        <v/>
      </c>
      <c r="C1689" s="7" t="str">
        <f>IF(Notes!CA1685="","",Notes!CA1685)</f>
        <v/>
      </c>
      <c r="D1689" s="7" t="str">
        <f>IF(Notes!CB1685="","",Notes!CB1685)</f>
        <v/>
      </c>
      <c r="E1689" s="7" t="str">
        <f>IF(Notes!CC1685="","",Notes!CC1685)</f>
        <v/>
      </c>
      <c r="F1689" s="7" t="str">
        <f>IF(Notes!CD1685="","",Notes!CD1685)</f>
        <v/>
      </c>
      <c r="G1689" s="7" t="str">
        <f>IF(Notes!CE1685="","",Notes!CE1685)</f>
        <v/>
      </c>
      <c r="H1689" s="7" t="str">
        <f>IF(Notes!CF1685="","",Notes!CF1685)</f>
        <v/>
      </c>
      <c r="I1689" s="7"/>
      <c r="J1689" s="7"/>
      <c r="K1689" s="7"/>
    </row>
    <row r="1690" spans="1:11" x14ac:dyDescent="0.35">
      <c r="A1690" s="7" t="str">
        <f>IF(Notes!BY1686="","",Notes!BY1686)</f>
        <v/>
      </c>
      <c r="B1690" s="7" t="str">
        <f>IF(Notes!BZ1686="","",Notes!BZ1686)</f>
        <v/>
      </c>
      <c r="C1690" s="7" t="str">
        <f>IF(Notes!CA1686="","",Notes!CA1686)</f>
        <v/>
      </c>
      <c r="D1690" s="7" t="str">
        <f>IF(Notes!CB1686="","",Notes!CB1686)</f>
        <v/>
      </c>
      <c r="E1690" s="7" t="str">
        <f>IF(Notes!CC1686="","",Notes!CC1686)</f>
        <v/>
      </c>
      <c r="F1690" s="7" t="str">
        <f>IF(Notes!CD1686="","",Notes!CD1686)</f>
        <v/>
      </c>
      <c r="G1690" s="7" t="str">
        <f>IF(Notes!CE1686="","",Notes!CE1686)</f>
        <v/>
      </c>
      <c r="H1690" s="7" t="str">
        <f>IF(Notes!CF1686="","",Notes!CF1686)</f>
        <v/>
      </c>
      <c r="I1690" s="7"/>
      <c r="J1690" s="7"/>
      <c r="K1690" s="7"/>
    </row>
    <row r="1691" spans="1:11" x14ac:dyDescent="0.35">
      <c r="A1691" s="7" t="str">
        <f>IF(Notes!BY1687="","",Notes!BY1687)</f>
        <v/>
      </c>
      <c r="B1691" s="7" t="str">
        <f>IF(Notes!BZ1687="","",Notes!BZ1687)</f>
        <v/>
      </c>
      <c r="C1691" s="7" t="str">
        <f>IF(Notes!CA1687="","",Notes!CA1687)</f>
        <v/>
      </c>
      <c r="D1691" s="7" t="str">
        <f>IF(Notes!CB1687="","",Notes!CB1687)</f>
        <v/>
      </c>
      <c r="E1691" s="7" t="str">
        <f>IF(Notes!CC1687="","",Notes!CC1687)</f>
        <v/>
      </c>
      <c r="F1691" s="7" t="str">
        <f>IF(Notes!CD1687="","",Notes!CD1687)</f>
        <v/>
      </c>
      <c r="G1691" s="7" t="str">
        <f>IF(Notes!CE1687="","",Notes!CE1687)</f>
        <v/>
      </c>
      <c r="H1691" s="7" t="str">
        <f>IF(Notes!CF1687="","",Notes!CF1687)</f>
        <v/>
      </c>
      <c r="I1691" s="7"/>
      <c r="J1691" s="7"/>
      <c r="K1691" s="7"/>
    </row>
    <row r="1692" spans="1:11" x14ac:dyDescent="0.35">
      <c r="A1692" s="7" t="str">
        <f>IF(Notes!BY1688="","",Notes!BY1688)</f>
        <v/>
      </c>
      <c r="B1692" s="7" t="str">
        <f>IF(Notes!BZ1688="","",Notes!BZ1688)</f>
        <v/>
      </c>
      <c r="C1692" s="7" t="str">
        <f>IF(Notes!CA1688="","",Notes!CA1688)</f>
        <v/>
      </c>
      <c r="D1692" s="7" t="str">
        <f>IF(Notes!CB1688="","",Notes!CB1688)</f>
        <v/>
      </c>
      <c r="E1692" s="7" t="str">
        <f>IF(Notes!CC1688="","",Notes!CC1688)</f>
        <v/>
      </c>
      <c r="F1692" s="7" t="str">
        <f>IF(Notes!CD1688="","",Notes!CD1688)</f>
        <v/>
      </c>
      <c r="G1692" s="7" t="str">
        <f>IF(Notes!CE1688="","",Notes!CE1688)</f>
        <v/>
      </c>
      <c r="H1692" s="7" t="str">
        <f>IF(Notes!CF1688="","",Notes!CF1688)</f>
        <v/>
      </c>
      <c r="I1692" s="7"/>
      <c r="J1692" s="7"/>
      <c r="K1692" s="7"/>
    </row>
    <row r="1693" spans="1:11" x14ac:dyDescent="0.35">
      <c r="A1693" s="7" t="str">
        <f>IF(Notes!BY1689="","",Notes!BY1689)</f>
        <v/>
      </c>
      <c r="B1693" s="7" t="str">
        <f>IF(Notes!BZ1689="","",Notes!BZ1689)</f>
        <v/>
      </c>
      <c r="C1693" s="7" t="str">
        <f>IF(Notes!CA1689="","",Notes!CA1689)</f>
        <v/>
      </c>
      <c r="D1693" s="7" t="str">
        <f>IF(Notes!CB1689="","",Notes!CB1689)</f>
        <v/>
      </c>
      <c r="E1693" s="7" t="str">
        <f>IF(Notes!CC1689="","",Notes!CC1689)</f>
        <v/>
      </c>
      <c r="F1693" s="7" t="str">
        <f>IF(Notes!CD1689="","",Notes!CD1689)</f>
        <v/>
      </c>
      <c r="G1693" s="7" t="str">
        <f>IF(Notes!CE1689="","",Notes!CE1689)</f>
        <v/>
      </c>
      <c r="H1693" s="7" t="str">
        <f>IF(Notes!CF1689="","",Notes!CF1689)</f>
        <v/>
      </c>
      <c r="I1693" s="7"/>
      <c r="J1693" s="7"/>
      <c r="K1693" s="7"/>
    </row>
    <row r="1694" spans="1:11" x14ac:dyDescent="0.35">
      <c r="A1694" s="7" t="str">
        <f>IF(Notes!BY1690="","",Notes!BY1690)</f>
        <v/>
      </c>
      <c r="B1694" s="7" t="str">
        <f>IF(Notes!BZ1690="","",Notes!BZ1690)</f>
        <v/>
      </c>
      <c r="C1694" s="7" t="str">
        <f>IF(Notes!CA1690="","",Notes!CA1690)</f>
        <v/>
      </c>
      <c r="D1694" s="7" t="str">
        <f>IF(Notes!CB1690="","",Notes!CB1690)</f>
        <v/>
      </c>
      <c r="E1694" s="7" t="str">
        <f>IF(Notes!CC1690="","",Notes!CC1690)</f>
        <v/>
      </c>
      <c r="F1694" s="7" t="str">
        <f>IF(Notes!CD1690="","",Notes!CD1690)</f>
        <v/>
      </c>
      <c r="G1694" s="7" t="str">
        <f>IF(Notes!CE1690="","",Notes!CE1690)</f>
        <v/>
      </c>
      <c r="H1694" s="7" t="str">
        <f>IF(Notes!CF1690="","",Notes!CF1690)</f>
        <v/>
      </c>
      <c r="I1694" s="7"/>
      <c r="J1694" s="7"/>
      <c r="K1694" s="7"/>
    </row>
    <row r="1695" spans="1:11" x14ac:dyDescent="0.35">
      <c r="A1695" s="7" t="str">
        <f>IF(Notes!BY1691="","",Notes!BY1691)</f>
        <v/>
      </c>
      <c r="B1695" s="7" t="str">
        <f>IF(Notes!BZ1691="","",Notes!BZ1691)</f>
        <v/>
      </c>
      <c r="C1695" s="7" t="str">
        <f>IF(Notes!CA1691="","",Notes!CA1691)</f>
        <v/>
      </c>
      <c r="D1695" s="7" t="str">
        <f>IF(Notes!CB1691="","",Notes!CB1691)</f>
        <v/>
      </c>
      <c r="E1695" s="7" t="str">
        <f>IF(Notes!CC1691="","",Notes!CC1691)</f>
        <v/>
      </c>
      <c r="F1695" s="7" t="str">
        <f>IF(Notes!CD1691="","",Notes!CD1691)</f>
        <v/>
      </c>
      <c r="G1695" s="7" t="str">
        <f>IF(Notes!CE1691="","",Notes!CE1691)</f>
        <v/>
      </c>
      <c r="H1695" s="7" t="str">
        <f>IF(Notes!CF1691="","",Notes!CF1691)</f>
        <v/>
      </c>
      <c r="I1695" s="7"/>
      <c r="J1695" s="7"/>
      <c r="K1695" s="7"/>
    </row>
    <row r="1696" spans="1:11" x14ac:dyDescent="0.35">
      <c r="A1696" s="7" t="str">
        <f>IF(Notes!BY1692="","",Notes!BY1692)</f>
        <v/>
      </c>
      <c r="B1696" s="7" t="str">
        <f>IF(Notes!BZ1692="","",Notes!BZ1692)</f>
        <v/>
      </c>
      <c r="C1696" s="7" t="str">
        <f>IF(Notes!CA1692="","",Notes!CA1692)</f>
        <v/>
      </c>
      <c r="D1696" s="7" t="str">
        <f>IF(Notes!CB1692="","",Notes!CB1692)</f>
        <v/>
      </c>
      <c r="E1696" s="7" t="str">
        <f>IF(Notes!CC1692="","",Notes!CC1692)</f>
        <v/>
      </c>
      <c r="F1696" s="7" t="str">
        <f>IF(Notes!CD1692="","",Notes!CD1692)</f>
        <v/>
      </c>
      <c r="G1696" s="7" t="str">
        <f>IF(Notes!CE1692="","",Notes!CE1692)</f>
        <v/>
      </c>
      <c r="H1696" s="7" t="str">
        <f>IF(Notes!CF1692="","",Notes!CF1692)</f>
        <v/>
      </c>
      <c r="I1696" s="7"/>
      <c r="J1696" s="7"/>
      <c r="K1696" s="7"/>
    </row>
    <row r="1697" spans="1:11" x14ac:dyDescent="0.35">
      <c r="A1697" s="7" t="str">
        <f>IF(Notes!BY1693="","",Notes!BY1693)</f>
        <v/>
      </c>
      <c r="B1697" s="7" t="str">
        <f>IF(Notes!BZ1693="","",Notes!BZ1693)</f>
        <v/>
      </c>
      <c r="C1697" s="7" t="str">
        <f>IF(Notes!CA1693="","",Notes!CA1693)</f>
        <v/>
      </c>
      <c r="D1697" s="7" t="str">
        <f>IF(Notes!CB1693="","",Notes!CB1693)</f>
        <v/>
      </c>
      <c r="E1697" s="7" t="str">
        <f>IF(Notes!CC1693="","",Notes!CC1693)</f>
        <v/>
      </c>
      <c r="F1697" s="7" t="str">
        <f>IF(Notes!CD1693="","",Notes!CD1693)</f>
        <v/>
      </c>
      <c r="G1697" s="7" t="str">
        <f>IF(Notes!CE1693="","",Notes!CE1693)</f>
        <v/>
      </c>
      <c r="H1697" s="7" t="str">
        <f>IF(Notes!CF1693="","",Notes!CF1693)</f>
        <v/>
      </c>
      <c r="I1697" s="7"/>
      <c r="J1697" s="7"/>
      <c r="K1697" s="7"/>
    </row>
    <row r="1698" spans="1:11" x14ac:dyDescent="0.35">
      <c r="A1698" s="7" t="str">
        <f>IF(Notes!BY1694="","",Notes!BY1694)</f>
        <v/>
      </c>
      <c r="B1698" s="7" t="str">
        <f>IF(Notes!BZ1694="","",Notes!BZ1694)</f>
        <v/>
      </c>
      <c r="C1698" s="7" t="str">
        <f>IF(Notes!CA1694="","",Notes!CA1694)</f>
        <v/>
      </c>
      <c r="D1698" s="7" t="str">
        <f>IF(Notes!CB1694="","",Notes!CB1694)</f>
        <v/>
      </c>
      <c r="E1698" s="7" t="str">
        <f>IF(Notes!CC1694="","",Notes!CC1694)</f>
        <v/>
      </c>
      <c r="F1698" s="7" t="str">
        <f>IF(Notes!CD1694="","",Notes!CD1694)</f>
        <v/>
      </c>
      <c r="G1698" s="7" t="str">
        <f>IF(Notes!CE1694="","",Notes!CE1694)</f>
        <v/>
      </c>
      <c r="H1698" s="7" t="str">
        <f>IF(Notes!CF1694="","",Notes!CF1694)</f>
        <v/>
      </c>
      <c r="I1698" s="7"/>
      <c r="J1698" s="7"/>
      <c r="K1698" s="7"/>
    </row>
    <row r="1699" spans="1:11" x14ac:dyDescent="0.35">
      <c r="A1699" s="7" t="str">
        <f>IF(Notes!BY1695="","",Notes!BY1695)</f>
        <v/>
      </c>
      <c r="B1699" s="7" t="str">
        <f>IF(Notes!BZ1695="","",Notes!BZ1695)</f>
        <v/>
      </c>
      <c r="C1699" s="7" t="str">
        <f>IF(Notes!CA1695="","",Notes!CA1695)</f>
        <v/>
      </c>
      <c r="D1699" s="7" t="str">
        <f>IF(Notes!CB1695="","",Notes!CB1695)</f>
        <v/>
      </c>
      <c r="E1699" s="7" t="str">
        <f>IF(Notes!CC1695="","",Notes!CC1695)</f>
        <v/>
      </c>
      <c r="F1699" s="7" t="str">
        <f>IF(Notes!CD1695="","",Notes!CD1695)</f>
        <v/>
      </c>
      <c r="G1699" s="7" t="str">
        <f>IF(Notes!CE1695="","",Notes!CE1695)</f>
        <v/>
      </c>
      <c r="H1699" s="7" t="str">
        <f>IF(Notes!CF1695="","",Notes!CF1695)</f>
        <v/>
      </c>
      <c r="I1699" s="7"/>
      <c r="J1699" s="7"/>
      <c r="K1699" s="7"/>
    </row>
    <row r="1700" spans="1:11" x14ac:dyDescent="0.35">
      <c r="A1700" s="7" t="str">
        <f>IF(Notes!BY1696="","",Notes!BY1696)</f>
        <v/>
      </c>
      <c r="B1700" s="7" t="str">
        <f>IF(Notes!BZ1696="","",Notes!BZ1696)</f>
        <v/>
      </c>
      <c r="C1700" s="7" t="str">
        <f>IF(Notes!CA1696="","",Notes!CA1696)</f>
        <v/>
      </c>
      <c r="D1700" s="7" t="str">
        <f>IF(Notes!CB1696="","",Notes!CB1696)</f>
        <v/>
      </c>
      <c r="E1700" s="7" t="str">
        <f>IF(Notes!CC1696="","",Notes!CC1696)</f>
        <v/>
      </c>
      <c r="F1700" s="7" t="str">
        <f>IF(Notes!CD1696="","",Notes!CD1696)</f>
        <v/>
      </c>
      <c r="G1700" s="7" t="str">
        <f>IF(Notes!CE1696="","",Notes!CE1696)</f>
        <v/>
      </c>
      <c r="H1700" s="7" t="str">
        <f>IF(Notes!CF1696="","",Notes!CF1696)</f>
        <v/>
      </c>
      <c r="I1700" s="7"/>
      <c r="J1700" s="7"/>
      <c r="K1700" s="7"/>
    </row>
    <row r="1701" spans="1:11" x14ac:dyDescent="0.35">
      <c r="A1701" s="7" t="str">
        <f>IF(Notes!BY1697="","",Notes!BY1697)</f>
        <v/>
      </c>
      <c r="B1701" s="7" t="str">
        <f>IF(Notes!BZ1697="","",Notes!BZ1697)</f>
        <v/>
      </c>
      <c r="C1701" s="7" t="str">
        <f>IF(Notes!CA1697="","",Notes!CA1697)</f>
        <v/>
      </c>
      <c r="D1701" s="7" t="str">
        <f>IF(Notes!CB1697="","",Notes!CB1697)</f>
        <v/>
      </c>
      <c r="E1701" s="7" t="str">
        <f>IF(Notes!CC1697="","",Notes!CC1697)</f>
        <v/>
      </c>
      <c r="F1701" s="7" t="str">
        <f>IF(Notes!CD1697="","",Notes!CD1697)</f>
        <v/>
      </c>
      <c r="G1701" s="7" t="str">
        <f>IF(Notes!CE1697="","",Notes!CE1697)</f>
        <v/>
      </c>
      <c r="H1701" s="7" t="str">
        <f>IF(Notes!CF1697="","",Notes!CF1697)</f>
        <v/>
      </c>
      <c r="I1701" s="7"/>
      <c r="J1701" s="7"/>
      <c r="K1701" s="7"/>
    </row>
    <row r="1702" spans="1:11" x14ac:dyDescent="0.35">
      <c r="A1702" s="7" t="str">
        <f>IF(Notes!BY1698="","",Notes!BY1698)</f>
        <v/>
      </c>
      <c r="B1702" s="7" t="str">
        <f>IF(Notes!BZ1698="","",Notes!BZ1698)</f>
        <v/>
      </c>
      <c r="C1702" s="7" t="str">
        <f>IF(Notes!CA1698="","",Notes!CA1698)</f>
        <v/>
      </c>
      <c r="D1702" s="7" t="str">
        <f>IF(Notes!CB1698="","",Notes!CB1698)</f>
        <v/>
      </c>
      <c r="E1702" s="7" t="str">
        <f>IF(Notes!CC1698="","",Notes!CC1698)</f>
        <v/>
      </c>
      <c r="F1702" s="7" t="str">
        <f>IF(Notes!CD1698="","",Notes!CD1698)</f>
        <v/>
      </c>
      <c r="G1702" s="7" t="str">
        <f>IF(Notes!CE1698="","",Notes!CE1698)</f>
        <v/>
      </c>
      <c r="H1702" s="7" t="str">
        <f>IF(Notes!CF1698="","",Notes!CF1698)</f>
        <v/>
      </c>
      <c r="I1702" s="7"/>
      <c r="J1702" s="7"/>
      <c r="K1702" s="7"/>
    </row>
    <row r="1703" spans="1:11" x14ac:dyDescent="0.35">
      <c r="A1703" s="7" t="str">
        <f>IF(Notes!BY1699="","",Notes!BY1699)</f>
        <v/>
      </c>
      <c r="B1703" s="7" t="str">
        <f>IF(Notes!BZ1699="","",Notes!BZ1699)</f>
        <v/>
      </c>
      <c r="C1703" s="7" t="str">
        <f>IF(Notes!CA1699="","",Notes!CA1699)</f>
        <v/>
      </c>
      <c r="D1703" s="7" t="str">
        <f>IF(Notes!CB1699="","",Notes!CB1699)</f>
        <v/>
      </c>
      <c r="E1703" s="7" t="str">
        <f>IF(Notes!CC1699="","",Notes!CC1699)</f>
        <v/>
      </c>
      <c r="F1703" s="7" t="str">
        <f>IF(Notes!CD1699="","",Notes!CD1699)</f>
        <v/>
      </c>
      <c r="G1703" s="7" t="str">
        <f>IF(Notes!CE1699="","",Notes!CE1699)</f>
        <v/>
      </c>
      <c r="H1703" s="7" t="str">
        <f>IF(Notes!CF1699="","",Notes!CF1699)</f>
        <v/>
      </c>
      <c r="I1703" s="7"/>
      <c r="J1703" s="7"/>
      <c r="K1703" s="7"/>
    </row>
    <row r="1704" spans="1:11" x14ac:dyDescent="0.35">
      <c r="A1704" s="7" t="str">
        <f>IF(Notes!BY1700="","",Notes!BY1700)</f>
        <v/>
      </c>
      <c r="B1704" s="7" t="str">
        <f>IF(Notes!BZ1700="","",Notes!BZ1700)</f>
        <v/>
      </c>
      <c r="C1704" s="7" t="str">
        <f>IF(Notes!CA1700="","",Notes!CA1700)</f>
        <v/>
      </c>
      <c r="D1704" s="7" t="str">
        <f>IF(Notes!CB1700="","",Notes!CB1700)</f>
        <v/>
      </c>
      <c r="E1704" s="7" t="str">
        <f>IF(Notes!CC1700="","",Notes!CC1700)</f>
        <v/>
      </c>
      <c r="F1704" s="7" t="str">
        <f>IF(Notes!CD1700="","",Notes!CD1700)</f>
        <v/>
      </c>
      <c r="G1704" s="7" t="str">
        <f>IF(Notes!CE1700="","",Notes!CE1700)</f>
        <v/>
      </c>
      <c r="H1704" s="7" t="str">
        <f>IF(Notes!CF1700="","",Notes!CF1700)</f>
        <v/>
      </c>
      <c r="I1704" s="7"/>
      <c r="J1704" s="7"/>
      <c r="K1704" s="7"/>
    </row>
    <row r="1705" spans="1:11" x14ac:dyDescent="0.35">
      <c r="A1705" s="7" t="str">
        <f>IF(Notes!BY1701="","",Notes!BY1701)</f>
        <v/>
      </c>
      <c r="B1705" s="7" t="str">
        <f>IF(Notes!BZ1701="","",Notes!BZ1701)</f>
        <v/>
      </c>
      <c r="C1705" s="7" t="str">
        <f>IF(Notes!CA1701="","",Notes!CA1701)</f>
        <v/>
      </c>
      <c r="D1705" s="7" t="str">
        <f>IF(Notes!CB1701="","",Notes!CB1701)</f>
        <v/>
      </c>
      <c r="E1705" s="7" t="str">
        <f>IF(Notes!CC1701="","",Notes!CC1701)</f>
        <v/>
      </c>
      <c r="F1705" s="7" t="str">
        <f>IF(Notes!CD1701="","",Notes!CD1701)</f>
        <v/>
      </c>
      <c r="G1705" s="7" t="str">
        <f>IF(Notes!CE1701="","",Notes!CE1701)</f>
        <v/>
      </c>
      <c r="H1705" s="7" t="str">
        <f>IF(Notes!CF1701="","",Notes!CF1701)</f>
        <v/>
      </c>
      <c r="I1705" s="7"/>
      <c r="J1705" s="7"/>
      <c r="K1705" s="7"/>
    </row>
    <row r="1706" spans="1:11" x14ac:dyDescent="0.35">
      <c r="A1706" s="7" t="str">
        <f>IF(Notes!BY1702="","",Notes!BY1702)</f>
        <v/>
      </c>
      <c r="B1706" s="7" t="str">
        <f>IF(Notes!BZ1702="","",Notes!BZ1702)</f>
        <v/>
      </c>
      <c r="C1706" s="7" t="str">
        <f>IF(Notes!CA1702="","",Notes!CA1702)</f>
        <v/>
      </c>
      <c r="D1706" s="7" t="str">
        <f>IF(Notes!CB1702="","",Notes!CB1702)</f>
        <v/>
      </c>
      <c r="E1706" s="7" t="str">
        <f>IF(Notes!CC1702="","",Notes!CC1702)</f>
        <v/>
      </c>
      <c r="F1706" s="7" t="str">
        <f>IF(Notes!CD1702="","",Notes!CD1702)</f>
        <v/>
      </c>
      <c r="G1706" s="7" t="str">
        <f>IF(Notes!CE1702="","",Notes!CE1702)</f>
        <v/>
      </c>
      <c r="H1706" s="7" t="str">
        <f>IF(Notes!CF1702="","",Notes!CF1702)</f>
        <v/>
      </c>
      <c r="I1706" s="7"/>
      <c r="J1706" s="7"/>
      <c r="K1706" s="7"/>
    </row>
    <row r="1707" spans="1:11" x14ac:dyDescent="0.35">
      <c r="A1707" s="7" t="str">
        <f>IF(Notes!BY1703="","",Notes!BY1703)</f>
        <v/>
      </c>
      <c r="B1707" s="7" t="str">
        <f>IF(Notes!BZ1703="","",Notes!BZ1703)</f>
        <v/>
      </c>
      <c r="C1707" s="7" t="str">
        <f>IF(Notes!CA1703="","",Notes!CA1703)</f>
        <v/>
      </c>
      <c r="D1707" s="7" t="str">
        <f>IF(Notes!CB1703="","",Notes!CB1703)</f>
        <v/>
      </c>
      <c r="E1707" s="7" t="str">
        <f>IF(Notes!CC1703="","",Notes!CC1703)</f>
        <v/>
      </c>
      <c r="F1707" s="7" t="str">
        <f>IF(Notes!CD1703="","",Notes!CD1703)</f>
        <v/>
      </c>
      <c r="G1707" s="7" t="str">
        <f>IF(Notes!CE1703="","",Notes!CE1703)</f>
        <v/>
      </c>
      <c r="H1707" s="7" t="str">
        <f>IF(Notes!CF1703="","",Notes!CF1703)</f>
        <v/>
      </c>
      <c r="I1707" s="7"/>
      <c r="J1707" s="7"/>
      <c r="K1707" s="7"/>
    </row>
    <row r="1708" spans="1:11" x14ac:dyDescent="0.35">
      <c r="A1708" s="7" t="str">
        <f>IF(Notes!BY1704="","",Notes!BY1704)</f>
        <v/>
      </c>
      <c r="B1708" s="7" t="str">
        <f>IF(Notes!BZ1704="","",Notes!BZ1704)</f>
        <v/>
      </c>
      <c r="C1708" s="7" t="str">
        <f>IF(Notes!CA1704="","",Notes!CA1704)</f>
        <v/>
      </c>
      <c r="D1708" s="7" t="str">
        <f>IF(Notes!CB1704="","",Notes!CB1704)</f>
        <v/>
      </c>
      <c r="E1708" s="7" t="str">
        <f>IF(Notes!CC1704="","",Notes!CC1704)</f>
        <v/>
      </c>
      <c r="F1708" s="7" t="str">
        <f>IF(Notes!CD1704="","",Notes!CD1704)</f>
        <v/>
      </c>
      <c r="G1708" s="7" t="str">
        <f>IF(Notes!CE1704="","",Notes!CE1704)</f>
        <v/>
      </c>
      <c r="H1708" s="7" t="str">
        <f>IF(Notes!CF1704="","",Notes!CF1704)</f>
        <v/>
      </c>
      <c r="I1708" s="7"/>
      <c r="J1708" s="7"/>
      <c r="K1708" s="7"/>
    </row>
    <row r="1709" spans="1:11" x14ac:dyDescent="0.35">
      <c r="A1709" s="7" t="str">
        <f>IF(Notes!BY1705="","",Notes!BY1705)</f>
        <v/>
      </c>
      <c r="B1709" s="7" t="str">
        <f>IF(Notes!BZ1705="","",Notes!BZ1705)</f>
        <v/>
      </c>
      <c r="C1709" s="7" t="str">
        <f>IF(Notes!CA1705="","",Notes!CA1705)</f>
        <v/>
      </c>
      <c r="D1709" s="7" t="str">
        <f>IF(Notes!CB1705="","",Notes!CB1705)</f>
        <v/>
      </c>
      <c r="E1709" s="7" t="str">
        <f>IF(Notes!CC1705="","",Notes!CC1705)</f>
        <v/>
      </c>
      <c r="F1709" s="7" t="str">
        <f>IF(Notes!CD1705="","",Notes!CD1705)</f>
        <v/>
      </c>
      <c r="G1709" s="7" t="str">
        <f>IF(Notes!CE1705="","",Notes!CE1705)</f>
        <v/>
      </c>
      <c r="H1709" s="7" t="str">
        <f>IF(Notes!CF1705="","",Notes!CF1705)</f>
        <v/>
      </c>
      <c r="I1709" s="7"/>
      <c r="J1709" s="7"/>
      <c r="K1709" s="7"/>
    </row>
    <row r="1710" spans="1:11" x14ac:dyDescent="0.35">
      <c r="A1710" s="7" t="str">
        <f>IF(Notes!BY1706="","",Notes!BY1706)</f>
        <v/>
      </c>
      <c r="B1710" s="7" t="str">
        <f>IF(Notes!BZ1706="","",Notes!BZ1706)</f>
        <v/>
      </c>
      <c r="C1710" s="7" t="str">
        <f>IF(Notes!CA1706="","",Notes!CA1706)</f>
        <v/>
      </c>
      <c r="D1710" s="7" t="str">
        <f>IF(Notes!CB1706="","",Notes!CB1706)</f>
        <v/>
      </c>
      <c r="E1710" s="7" t="str">
        <f>IF(Notes!CC1706="","",Notes!CC1706)</f>
        <v/>
      </c>
      <c r="F1710" s="7" t="str">
        <f>IF(Notes!CD1706="","",Notes!CD1706)</f>
        <v/>
      </c>
      <c r="G1710" s="7" t="str">
        <f>IF(Notes!CE1706="","",Notes!CE1706)</f>
        <v/>
      </c>
      <c r="H1710" s="7" t="str">
        <f>IF(Notes!CF1706="","",Notes!CF1706)</f>
        <v/>
      </c>
      <c r="I1710" s="7"/>
      <c r="J1710" s="7"/>
      <c r="K1710" s="7"/>
    </row>
    <row r="1711" spans="1:11" x14ac:dyDescent="0.35">
      <c r="A1711" s="7" t="str">
        <f>IF(Notes!BY1707="","",Notes!BY1707)</f>
        <v/>
      </c>
      <c r="B1711" s="7" t="str">
        <f>IF(Notes!BZ1707="","",Notes!BZ1707)</f>
        <v/>
      </c>
      <c r="C1711" s="7" t="str">
        <f>IF(Notes!CA1707="","",Notes!CA1707)</f>
        <v/>
      </c>
      <c r="D1711" s="7" t="str">
        <f>IF(Notes!CB1707="","",Notes!CB1707)</f>
        <v/>
      </c>
      <c r="E1711" s="7" t="str">
        <f>IF(Notes!CC1707="","",Notes!CC1707)</f>
        <v/>
      </c>
      <c r="F1711" s="7" t="str">
        <f>IF(Notes!CD1707="","",Notes!CD1707)</f>
        <v/>
      </c>
      <c r="G1711" s="7" t="str">
        <f>IF(Notes!CE1707="","",Notes!CE1707)</f>
        <v/>
      </c>
      <c r="H1711" s="7" t="str">
        <f>IF(Notes!CF1707="","",Notes!CF1707)</f>
        <v/>
      </c>
      <c r="I1711" s="7"/>
      <c r="J1711" s="7"/>
      <c r="K1711" s="7"/>
    </row>
    <row r="1712" spans="1:11" x14ac:dyDescent="0.35">
      <c r="A1712" s="7" t="str">
        <f>IF(Notes!BY1708="","",Notes!BY1708)</f>
        <v/>
      </c>
      <c r="B1712" s="7" t="str">
        <f>IF(Notes!BZ1708="","",Notes!BZ1708)</f>
        <v/>
      </c>
      <c r="C1712" s="7" t="str">
        <f>IF(Notes!CA1708="","",Notes!CA1708)</f>
        <v/>
      </c>
      <c r="D1712" s="7" t="str">
        <f>IF(Notes!CB1708="","",Notes!CB1708)</f>
        <v/>
      </c>
      <c r="E1712" s="7" t="str">
        <f>IF(Notes!CC1708="","",Notes!CC1708)</f>
        <v/>
      </c>
      <c r="F1712" s="7" t="str">
        <f>IF(Notes!CD1708="","",Notes!CD1708)</f>
        <v/>
      </c>
      <c r="G1712" s="7" t="str">
        <f>IF(Notes!CE1708="","",Notes!CE1708)</f>
        <v/>
      </c>
      <c r="H1712" s="7" t="str">
        <f>IF(Notes!CF1708="","",Notes!CF1708)</f>
        <v/>
      </c>
      <c r="I1712" s="7"/>
      <c r="J1712" s="7"/>
      <c r="K1712" s="7"/>
    </row>
    <row r="1713" spans="1:11" x14ac:dyDescent="0.35">
      <c r="A1713" s="7" t="str">
        <f>IF(Notes!BY1709="","",Notes!BY1709)</f>
        <v/>
      </c>
      <c r="B1713" s="7" t="str">
        <f>IF(Notes!BZ1709="","",Notes!BZ1709)</f>
        <v/>
      </c>
      <c r="C1713" s="7" t="str">
        <f>IF(Notes!CA1709="","",Notes!CA1709)</f>
        <v/>
      </c>
      <c r="D1713" s="7" t="str">
        <f>IF(Notes!CB1709="","",Notes!CB1709)</f>
        <v/>
      </c>
      <c r="E1713" s="7" t="str">
        <f>IF(Notes!CC1709="","",Notes!CC1709)</f>
        <v/>
      </c>
      <c r="F1713" s="7" t="str">
        <f>IF(Notes!CD1709="","",Notes!CD1709)</f>
        <v/>
      </c>
      <c r="G1713" s="7" t="str">
        <f>IF(Notes!CE1709="","",Notes!CE1709)</f>
        <v/>
      </c>
      <c r="H1713" s="7" t="str">
        <f>IF(Notes!CF1709="","",Notes!CF1709)</f>
        <v/>
      </c>
      <c r="I1713" s="7"/>
      <c r="J1713" s="7"/>
      <c r="K1713" s="7"/>
    </row>
    <row r="1714" spans="1:11" x14ac:dyDescent="0.35">
      <c r="A1714" s="7" t="str">
        <f>IF(Notes!BY1710="","",Notes!BY1710)</f>
        <v/>
      </c>
      <c r="B1714" s="7" t="str">
        <f>IF(Notes!BZ1710="","",Notes!BZ1710)</f>
        <v/>
      </c>
      <c r="C1714" s="7" t="str">
        <f>IF(Notes!CA1710="","",Notes!CA1710)</f>
        <v/>
      </c>
      <c r="D1714" s="7" t="str">
        <f>IF(Notes!CB1710="","",Notes!CB1710)</f>
        <v/>
      </c>
      <c r="E1714" s="7" t="str">
        <f>IF(Notes!CC1710="","",Notes!CC1710)</f>
        <v/>
      </c>
      <c r="F1714" s="7" t="str">
        <f>IF(Notes!CD1710="","",Notes!CD1710)</f>
        <v/>
      </c>
      <c r="G1714" s="7" t="str">
        <f>IF(Notes!CE1710="","",Notes!CE1710)</f>
        <v/>
      </c>
      <c r="H1714" s="7" t="str">
        <f>IF(Notes!CF1710="","",Notes!CF1710)</f>
        <v/>
      </c>
      <c r="I1714" s="7"/>
      <c r="J1714" s="7"/>
      <c r="K1714" s="7"/>
    </row>
    <row r="1715" spans="1:11" x14ac:dyDescent="0.35">
      <c r="A1715" s="7" t="str">
        <f>IF(Notes!BY1711="","",Notes!BY1711)</f>
        <v/>
      </c>
      <c r="B1715" s="7" t="str">
        <f>IF(Notes!BZ1711="","",Notes!BZ1711)</f>
        <v/>
      </c>
      <c r="C1715" s="7" t="str">
        <f>IF(Notes!CA1711="","",Notes!CA1711)</f>
        <v/>
      </c>
      <c r="D1715" s="7" t="str">
        <f>IF(Notes!CB1711="","",Notes!CB1711)</f>
        <v/>
      </c>
      <c r="E1715" s="7" t="str">
        <f>IF(Notes!CC1711="","",Notes!CC1711)</f>
        <v/>
      </c>
      <c r="F1715" s="7" t="str">
        <f>IF(Notes!CD1711="","",Notes!CD1711)</f>
        <v/>
      </c>
      <c r="G1715" s="7" t="str">
        <f>IF(Notes!CE1711="","",Notes!CE1711)</f>
        <v/>
      </c>
      <c r="H1715" s="7" t="str">
        <f>IF(Notes!CF1711="","",Notes!CF1711)</f>
        <v/>
      </c>
      <c r="I1715" s="7"/>
      <c r="J1715" s="7"/>
      <c r="K1715" s="7"/>
    </row>
    <row r="1716" spans="1:11" x14ac:dyDescent="0.35">
      <c r="A1716" s="7" t="str">
        <f>IF(Notes!BY1712="","",Notes!BY1712)</f>
        <v/>
      </c>
      <c r="B1716" s="7" t="str">
        <f>IF(Notes!BZ1712="","",Notes!BZ1712)</f>
        <v/>
      </c>
      <c r="C1716" s="7" t="str">
        <f>IF(Notes!CA1712="","",Notes!CA1712)</f>
        <v/>
      </c>
      <c r="D1716" s="7" t="str">
        <f>IF(Notes!CB1712="","",Notes!CB1712)</f>
        <v/>
      </c>
      <c r="E1716" s="7" t="str">
        <f>IF(Notes!CC1712="","",Notes!CC1712)</f>
        <v/>
      </c>
      <c r="F1716" s="7" t="str">
        <f>IF(Notes!CD1712="","",Notes!CD1712)</f>
        <v/>
      </c>
      <c r="G1716" s="7" t="str">
        <f>IF(Notes!CE1712="","",Notes!CE1712)</f>
        <v/>
      </c>
      <c r="H1716" s="7" t="str">
        <f>IF(Notes!CF1712="","",Notes!CF1712)</f>
        <v/>
      </c>
      <c r="I1716" s="7"/>
      <c r="J1716" s="7"/>
      <c r="K1716" s="7"/>
    </row>
    <row r="1717" spans="1:11" x14ac:dyDescent="0.35">
      <c r="A1717" s="7" t="str">
        <f>IF(Notes!BY1713="","",Notes!BY1713)</f>
        <v/>
      </c>
      <c r="B1717" s="7" t="str">
        <f>IF(Notes!BZ1713="","",Notes!BZ1713)</f>
        <v/>
      </c>
      <c r="C1717" s="7" t="str">
        <f>IF(Notes!CA1713="","",Notes!CA1713)</f>
        <v/>
      </c>
      <c r="D1717" s="7" t="str">
        <f>IF(Notes!CB1713="","",Notes!CB1713)</f>
        <v/>
      </c>
      <c r="E1717" s="7" t="str">
        <f>IF(Notes!CC1713="","",Notes!CC1713)</f>
        <v/>
      </c>
      <c r="F1717" s="7" t="str">
        <f>IF(Notes!CD1713="","",Notes!CD1713)</f>
        <v/>
      </c>
      <c r="G1717" s="7" t="str">
        <f>IF(Notes!CE1713="","",Notes!CE1713)</f>
        <v/>
      </c>
      <c r="H1717" s="7" t="str">
        <f>IF(Notes!CF1713="","",Notes!CF1713)</f>
        <v/>
      </c>
      <c r="I1717" s="7"/>
      <c r="J1717" s="7"/>
      <c r="K1717" s="7"/>
    </row>
    <row r="1718" spans="1:11" x14ac:dyDescent="0.35">
      <c r="A1718" s="7" t="str">
        <f>IF(Notes!BY1714="","",Notes!BY1714)</f>
        <v/>
      </c>
      <c r="B1718" s="7" t="str">
        <f>IF(Notes!BZ1714="","",Notes!BZ1714)</f>
        <v/>
      </c>
      <c r="C1718" s="7" t="str">
        <f>IF(Notes!CA1714="","",Notes!CA1714)</f>
        <v/>
      </c>
      <c r="D1718" s="7" t="str">
        <f>IF(Notes!CB1714="","",Notes!CB1714)</f>
        <v/>
      </c>
      <c r="E1718" s="7" t="str">
        <f>IF(Notes!CC1714="","",Notes!CC1714)</f>
        <v/>
      </c>
      <c r="F1718" s="7" t="str">
        <f>IF(Notes!CD1714="","",Notes!CD1714)</f>
        <v/>
      </c>
      <c r="G1718" s="7" t="str">
        <f>IF(Notes!CE1714="","",Notes!CE1714)</f>
        <v/>
      </c>
      <c r="H1718" s="7" t="str">
        <f>IF(Notes!CF1714="","",Notes!CF1714)</f>
        <v/>
      </c>
      <c r="I1718" s="7"/>
      <c r="J1718" s="7"/>
      <c r="K1718" s="7"/>
    </row>
    <row r="1719" spans="1:11" x14ac:dyDescent="0.35">
      <c r="A1719" s="7" t="str">
        <f>IF(Notes!BY1715="","",Notes!BY1715)</f>
        <v/>
      </c>
      <c r="B1719" s="7" t="str">
        <f>IF(Notes!BZ1715="","",Notes!BZ1715)</f>
        <v/>
      </c>
      <c r="C1719" s="7" t="str">
        <f>IF(Notes!CA1715="","",Notes!CA1715)</f>
        <v/>
      </c>
      <c r="D1719" s="7" t="str">
        <f>IF(Notes!CB1715="","",Notes!CB1715)</f>
        <v/>
      </c>
      <c r="E1719" s="7" t="str">
        <f>IF(Notes!CC1715="","",Notes!CC1715)</f>
        <v/>
      </c>
      <c r="F1719" s="7" t="str">
        <f>IF(Notes!CD1715="","",Notes!CD1715)</f>
        <v/>
      </c>
      <c r="G1719" s="7" t="str">
        <f>IF(Notes!CE1715="","",Notes!CE1715)</f>
        <v/>
      </c>
      <c r="H1719" s="7" t="str">
        <f>IF(Notes!CF1715="","",Notes!CF1715)</f>
        <v/>
      </c>
      <c r="I1719" s="7"/>
      <c r="J1719" s="7"/>
      <c r="K1719" s="7"/>
    </row>
    <row r="1720" spans="1:11" x14ac:dyDescent="0.35">
      <c r="A1720" s="7" t="str">
        <f>IF(Notes!BY1716="","",Notes!BY1716)</f>
        <v/>
      </c>
      <c r="B1720" s="7" t="str">
        <f>IF(Notes!BZ1716="","",Notes!BZ1716)</f>
        <v/>
      </c>
      <c r="C1720" s="7" t="str">
        <f>IF(Notes!CA1716="","",Notes!CA1716)</f>
        <v/>
      </c>
      <c r="D1720" s="7" t="str">
        <f>IF(Notes!CB1716="","",Notes!CB1716)</f>
        <v/>
      </c>
      <c r="E1720" s="7" t="str">
        <f>IF(Notes!CC1716="","",Notes!CC1716)</f>
        <v/>
      </c>
      <c r="F1720" s="7" t="str">
        <f>IF(Notes!CD1716="","",Notes!CD1716)</f>
        <v/>
      </c>
      <c r="G1720" s="7" t="str">
        <f>IF(Notes!CE1716="","",Notes!CE1716)</f>
        <v/>
      </c>
      <c r="H1720" s="7" t="str">
        <f>IF(Notes!CF1716="","",Notes!CF1716)</f>
        <v/>
      </c>
      <c r="I1720" s="7"/>
      <c r="J1720" s="7"/>
      <c r="K1720" s="7"/>
    </row>
    <row r="1721" spans="1:11" x14ac:dyDescent="0.35">
      <c r="A1721" s="7" t="str">
        <f>IF(Notes!BY1717="","",Notes!BY1717)</f>
        <v/>
      </c>
      <c r="B1721" s="7" t="str">
        <f>IF(Notes!BZ1717="","",Notes!BZ1717)</f>
        <v/>
      </c>
      <c r="C1721" s="7" t="str">
        <f>IF(Notes!CA1717="","",Notes!CA1717)</f>
        <v/>
      </c>
      <c r="D1721" s="7" t="str">
        <f>IF(Notes!CB1717="","",Notes!CB1717)</f>
        <v/>
      </c>
      <c r="E1721" s="7" t="str">
        <f>IF(Notes!CC1717="","",Notes!CC1717)</f>
        <v/>
      </c>
      <c r="F1721" s="7" t="str">
        <f>IF(Notes!CD1717="","",Notes!CD1717)</f>
        <v/>
      </c>
      <c r="G1721" s="7" t="str">
        <f>IF(Notes!CE1717="","",Notes!CE1717)</f>
        <v/>
      </c>
      <c r="H1721" s="7" t="str">
        <f>IF(Notes!CF1717="","",Notes!CF1717)</f>
        <v/>
      </c>
      <c r="I1721" s="7"/>
      <c r="J1721" s="7"/>
      <c r="K1721" s="7"/>
    </row>
    <row r="1722" spans="1:11" x14ac:dyDescent="0.35">
      <c r="A1722" s="7" t="str">
        <f>IF(Notes!BY1718="","",Notes!BY1718)</f>
        <v/>
      </c>
      <c r="B1722" s="7" t="str">
        <f>IF(Notes!BZ1718="","",Notes!BZ1718)</f>
        <v/>
      </c>
      <c r="C1722" s="7" t="str">
        <f>IF(Notes!CA1718="","",Notes!CA1718)</f>
        <v/>
      </c>
      <c r="D1722" s="7" t="str">
        <f>IF(Notes!CB1718="","",Notes!CB1718)</f>
        <v/>
      </c>
      <c r="E1722" s="7" t="str">
        <f>IF(Notes!CC1718="","",Notes!CC1718)</f>
        <v/>
      </c>
      <c r="F1722" s="7" t="str">
        <f>IF(Notes!CD1718="","",Notes!CD1718)</f>
        <v/>
      </c>
      <c r="G1722" s="7" t="str">
        <f>IF(Notes!CE1718="","",Notes!CE1718)</f>
        <v/>
      </c>
      <c r="H1722" s="7" t="str">
        <f>IF(Notes!CF1718="","",Notes!CF1718)</f>
        <v/>
      </c>
      <c r="I1722" s="7"/>
      <c r="J1722" s="7"/>
      <c r="K1722" s="7"/>
    </row>
    <row r="1723" spans="1:11" x14ac:dyDescent="0.35">
      <c r="A1723" s="7" t="str">
        <f>IF(Notes!BY1719="","",Notes!BY1719)</f>
        <v/>
      </c>
      <c r="B1723" s="7" t="str">
        <f>IF(Notes!BZ1719="","",Notes!BZ1719)</f>
        <v/>
      </c>
      <c r="C1723" s="7" t="str">
        <f>IF(Notes!CA1719="","",Notes!CA1719)</f>
        <v/>
      </c>
      <c r="D1723" s="7" t="str">
        <f>IF(Notes!CB1719="","",Notes!CB1719)</f>
        <v/>
      </c>
      <c r="E1723" s="7" t="str">
        <f>IF(Notes!CC1719="","",Notes!CC1719)</f>
        <v/>
      </c>
      <c r="F1723" s="7" t="str">
        <f>IF(Notes!CD1719="","",Notes!CD1719)</f>
        <v/>
      </c>
      <c r="G1723" s="7" t="str">
        <f>IF(Notes!CE1719="","",Notes!CE1719)</f>
        <v/>
      </c>
      <c r="H1723" s="7" t="str">
        <f>IF(Notes!CF1719="","",Notes!CF1719)</f>
        <v/>
      </c>
      <c r="I1723" s="7"/>
      <c r="J1723" s="7"/>
      <c r="K1723" s="7"/>
    </row>
    <row r="1724" spans="1:11" x14ac:dyDescent="0.35">
      <c r="A1724" s="7" t="str">
        <f>IF(Notes!BY1720="","",Notes!BY1720)</f>
        <v/>
      </c>
      <c r="B1724" s="7" t="str">
        <f>IF(Notes!BZ1720="","",Notes!BZ1720)</f>
        <v/>
      </c>
      <c r="C1724" s="7" t="str">
        <f>IF(Notes!CA1720="","",Notes!CA1720)</f>
        <v/>
      </c>
      <c r="D1724" s="7" t="str">
        <f>IF(Notes!CB1720="","",Notes!CB1720)</f>
        <v/>
      </c>
      <c r="E1724" s="7" t="str">
        <f>IF(Notes!CC1720="","",Notes!CC1720)</f>
        <v/>
      </c>
      <c r="F1724" s="7" t="str">
        <f>IF(Notes!CD1720="","",Notes!CD1720)</f>
        <v/>
      </c>
      <c r="G1724" s="7" t="str">
        <f>IF(Notes!CE1720="","",Notes!CE1720)</f>
        <v/>
      </c>
      <c r="H1724" s="7" t="str">
        <f>IF(Notes!CF1720="","",Notes!CF1720)</f>
        <v/>
      </c>
      <c r="I1724" s="7"/>
      <c r="J1724" s="7"/>
      <c r="K1724" s="7"/>
    </row>
    <row r="1725" spans="1:11" x14ac:dyDescent="0.35">
      <c r="A1725" s="7" t="str">
        <f>IF(Notes!BY1721="","",Notes!BY1721)</f>
        <v/>
      </c>
      <c r="B1725" s="7" t="str">
        <f>IF(Notes!BZ1721="","",Notes!BZ1721)</f>
        <v/>
      </c>
      <c r="C1725" s="7" t="str">
        <f>IF(Notes!CA1721="","",Notes!CA1721)</f>
        <v/>
      </c>
      <c r="D1725" s="7" t="str">
        <f>IF(Notes!CB1721="","",Notes!CB1721)</f>
        <v/>
      </c>
      <c r="E1725" s="7" t="str">
        <f>IF(Notes!CC1721="","",Notes!CC1721)</f>
        <v/>
      </c>
      <c r="F1725" s="7" t="str">
        <f>IF(Notes!CD1721="","",Notes!CD1721)</f>
        <v/>
      </c>
      <c r="G1725" s="7" t="str">
        <f>IF(Notes!CE1721="","",Notes!CE1721)</f>
        <v/>
      </c>
      <c r="H1725" s="7" t="str">
        <f>IF(Notes!CF1721="","",Notes!CF1721)</f>
        <v/>
      </c>
      <c r="I1725" s="7"/>
      <c r="J1725" s="7"/>
      <c r="K1725" s="7"/>
    </row>
    <row r="1726" spans="1:11" x14ac:dyDescent="0.35">
      <c r="A1726" s="7" t="str">
        <f>IF(Notes!BY1722="","",Notes!BY1722)</f>
        <v/>
      </c>
      <c r="B1726" s="7" t="str">
        <f>IF(Notes!BZ1722="","",Notes!BZ1722)</f>
        <v/>
      </c>
      <c r="C1726" s="7" t="str">
        <f>IF(Notes!CA1722="","",Notes!CA1722)</f>
        <v/>
      </c>
      <c r="D1726" s="7" t="str">
        <f>IF(Notes!CB1722="","",Notes!CB1722)</f>
        <v/>
      </c>
      <c r="E1726" s="7" t="str">
        <f>IF(Notes!CC1722="","",Notes!CC1722)</f>
        <v/>
      </c>
      <c r="F1726" s="7" t="str">
        <f>IF(Notes!CD1722="","",Notes!CD1722)</f>
        <v/>
      </c>
      <c r="G1726" s="7" t="str">
        <f>IF(Notes!CE1722="","",Notes!CE1722)</f>
        <v/>
      </c>
      <c r="H1726" s="7" t="str">
        <f>IF(Notes!CF1722="","",Notes!CF1722)</f>
        <v/>
      </c>
      <c r="I1726" s="7"/>
      <c r="J1726" s="7"/>
      <c r="K1726" s="7"/>
    </row>
    <row r="1727" spans="1:11" x14ac:dyDescent="0.35">
      <c r="A1727" s="7" t="str">
        <f>IF(Notes!BY1723="","",Notes!BY1723)</f>
        <v/>
      </c>
      <c r="B1727" s="7" t="str">
        <f>IF(Notes!BZ1723="","",Notes!BZ1723)</f>
        <v/>
      </c>
      <c r="C1727" s="7" t="str">
        <f>IF(Notes!CA1723="","",Notes!CA1723)</f>
        <v/>
      </c>
      <c r="D1727" s="7" t="str">
        <f>IF(Notes!CB1723="","",Notes!CB1723)</f>
        <v/>
      </c>
      <c r="E1727" s="7" t="str">
        <f>IF(Notes!CC1723="","",Notes!CC1723)</f>
        <v/>
      </c>
      <c r="F1727" s="7" t="str">
        <f>IF(Notes!CD1723="","",Notes!CD1723)</f>
        <v/>
      </c>
      <c r="G1727" s="7" t="str">
        <f>IF(Notes!CE1723="","",Notes!CE1723)</f>
        <v/>
      </c>
      <c r="H1727" s="7" t="str">
        <f>IF(Notes!CF1723="","",Notes!CF1723)</f>
        <v/>
      </c>
      <c r="I1727" s="7"/>
      <c r="J1727" s="7"/>
      <c r="K1727" s="7"/>
    </row>
    <row r="1728" spans="1:11" x14ac:dyDescent="0.35">
      <c r="A1728" s="7" t="str">
        <f>IF(Notes!BY1724="","",Notes!BY1724)</f>
        <v/>
      </c>
      <c r="B1728" s="7" t="str">
        <f>IF(Notes!BZ1724="","",Notes!BZ1724)</f>
        <v/>
      </c>
      <c r="C1728" s="7" t="str">
        <f>IF(Notes!CA1724="","",Notes!CA1724)</f>
        <v/>
      </c>
      <c r="D1728" s="7" t="str">
        <f>IF(Notes!CB1724="","",Notes!CB1724)</f>
        <v/>
      </c>
      <c r="E1728" s="7" t="str">
        <f>IF(Notes!CC1724="","",Notes!CC1724)</f>
        <v/>
      </c>
      <c r="F1728" s="7" t="str">
        <f>IF(Notes!CD1724="","",Notes!CD1724)</f>
        <v/>
      </c>
      <c r="G1728" s="7" t="str">
        <f>IF(Notes!CE1724="","",Notes!CE1724)</f>
        <v/>
      </c>
      <c r="H1728" s="7" t="str">
        <f>IF(Notes!CF1724="","",Notes!CF1724)</f>
        <v/>
      </c>
      <c r="I1728" s="7"/>
      <c r="J1728" s="7"/>
      <c r="K1728" s="7"/>
    </row>
    <row r="1729" spans="1:11" x14ac:dyDescent="0.35">
      <c r="A1729" s="7" t="str">
        <f>IF(Notes!BY1725="","",Notes!BY1725)</f>
        <v/>
      </c>
      <c r="B1729" s="7" t="str">
        <f>IF(Notes!BZ1725="","",Notes!BZ1725)</f>
        <v/>
      </c>
      <c r="C1729" s="7" t="str">
        <f>IF(Notes!CA1725="","",Notes!CA1725)</f>
        <v/>
      </c>
      <c r="D1729" s="7" t="str">
        <f>IF(Notes!CB1725="","",Notes!CB1725)</f>
        <v/>
      </c>
      <c r="E1729" s="7" t="str">
        <f>IF(Notes!CC1725="","",Notes!CC1725)</f>
        <v/>
      </c>
      <c r="F1729" s="7" t="str">
        <f>IF(Notes!CD1725="","",Notes!CD1725)</f>
        <v/>
      </c>
      <c r="G1729" s="7" t="str">
        <f>IF(Notes!CE1725="","",Notes!CE1725)</f>
        <v/>
      </c>
      <c r="H1729" s="7" t="str">
        <f>IF(Notes!CF1725="","",Notes!CF1725)</f>
        <v/>
      </c>
      <c r="I1729" s="7"/>
      <c r="J1729" s="7"/>
      <c r="K1729" s="7"/>
    </row>
    <row r="1730" spans="1:11" x14ac:dyDescent="0.35">
      <c r="A1730" s="7" t="str">
        <f>IF(Notes!BY1726="","",Notes!BY1726)</f>
        <v/>
      </c>
      <c r="B1730" s="7" t="str">
        <f>IF(Notes!BZ1726="","",Notes!BZ1726)</f>
        <v/>
      </c>
      <c r="C1730" s="7" t="str">
        <f>IF(Notes!CA1726="","",Notes!CA1726)</f>
        <v/>
      </c>
      <c r="D1730" s="7" t="str">
        <f>IF(Notes!CB1726="","",Notes!CB1726)</f>
        <v/>
      </c>
      <c r="E1730" s="7" t="str">
        <f>IF(Notes!CC1726="","",Notes!CC1726)</f>
        <v/>
      </c>
      <c r="F1730" s="7" t="str">
        <f>IF(Notes!CD1726="","",Notes!CD1726)</f>
        <v/>
      </c>
      <c r="G1730" s="7" t="str">
        <f>IF(Notes!CE1726="","",Notes!CE1726)</f>
        <v/>
      </c>
      <c r="H1730" s="7" t="str">
        <f>IF(Notes!CF1726="","",Notes!CF1726)</f>
        <v/>
      </c>
      <c r="I1730" s="7"/>
      <c r="J1730" s="7"/>
      <c r="K1730" s="7"/>
    </row>
    <row r="1731" spans="1:11" x14ac:dyDescent="0.35">
      <c r="A1731" s="7" t="str">
        <f>IF(Notes!BY1727="","",Notes!BY1727)</f>
        <v/>
      </c>
      <c r="B1731" s="7" t="str">
        <f>IF(Notes!BZ1727="","",Notes!BZ1727)</f>
        <v/>
      </c>
      <c r="C1731" s="7" t="str">
        <f>IF(Notes!CA1727="","",Notes!CA1727)</f>
        <v/>
      </c>
      <c r="D1731" s="7" t="str">
        <f>IF(Notes!CB1727="","",Notes!CB1727)</f>
        <v/>
      </c>
      <c r="E1731" s="7" t="str">
        <f>IF(Notes!CC1727="","",Notes!CC1727)</f>
        <v/>
      </c>
      <c r="F1731" s="7" t="str">
        <f>IF(Notes!CD1727="","",Notes!CD1727)</f>
        <v/>
      </c>
      <c r="G1731" s="7" t="str">
        <f>IF(Notes!CE1727="","",Notes!CE1727)</f>
        <v/>
      </c>
      <c r="H1731" s="7" t="str">
        <f>IF(Notes!CF1727="","",Notes!CF1727)</f>
        <v/>
      </c>
      <c r="I1731" s="7"/>
      <c r="J1731" s="7"/>
      <c r="K1731" s="7"/>
    </row>
    <row r="1732" spans="1:11" x14ac:dyDescent="0.35">
      <c r="A1732" s="7" t="str">
        <f>IF(Notes!BY1728="","",Notes!BY1728)</f>
        <v/>
      </c>
      <c r="B1732" s="7" t="str">
        <f>IF(Notes!BZ1728="","",Notes!BZ1728)</f>
        <v/>
      </c>
      <c r="C1732" s="7" t="str">
        <f>IF(Notes!CA1728="","",Notes!CA1728)</f>
        <v/>
      </c>
      <c r="D1732" s="7" t="str">
        <f>IF(Notes!CB1728="","",Notes!CB1728)</f>
        <v/>
      </c>
      <c r="E1732" s="7" t="str">
        <f>IF(Notes!CC1728="","",Notes!CC1728)</f>
        <v/>
      </c>
      <c r="F1732" s="7" t="str">
        <f>IF(Notes!CD1728="","",Notes!CD1728)</f>
        <v/>
      </c>
      <c r="G1732" s="7" t="str">
        <f>IF(Notes!CE1728="","",Notes!CE1728)</f>
        <v/>
      </c>
      <c r="H1732" s="7" t="str">
        <f>IF(Notes!CF1728="","",Notes!CF1728)</f>
        <v/>
      </c>
      <c r="I1732" s="7"/>
      <c r="J1732" s="7"/>
      <c r="K1732" s="7"/>
    </row>
    <row r="1733" spans="1:11" x14ac:dyDescent="0.35">
      <c r="A1733" s="7" t="str">
        <f>IF(Notes!BY1729="","",Notes!BY1729)</f>
        <v/>
      </c>
      <c r="B1733" s="7" t="str">
        <f>IF(Notes!BZ1729="","",Notes!BZ1729)</f>
        <v/>
      </c>
      <c r="C1733" s="7" t="str">
        <f>IF(Notes!CA1729="","",Notes!CA1729)</f>
        <v/>
      </c>
      <c r="D1733" s="7" t="str">
        <f>IF(Notes!CB1729="","",Notes!CB1729)</f>
        <v/>
      </c>
      <c r="E1733" s="7" t="str">
        <f>IF(Notes!CC1729="","",Notes!CC1729)</f>
        <v/>
      </c>
      <c r="F1733" s="7" t="str">
        <f>IF(Notes!CD1729="","",Notes!CD1729)</f>
        <v/>
      </c>
      <c r="G1733" s="7" t="str">
        <f>IF(Notes!CE1729="","",Notes!CE1729)</f>
        <v/>
      </c>
      <c r="H1733" s="7" t="str">
        <f>IF(Notes!CF1729="","",Notes!CF1729)</f>
        <v/>
      </c>
      <c r="I1733" s="7"/>
      <c r="J1733" s="7"/>
      <c r="K1733" s="7"/>
    </row>
    <row r="1734" spans="1:11" x14ac:dyDescent="0.35">
      <c r="A1734" s="7" t="str">
        <f>IF(Notes!BY1730="","",Notes!BY1730)</f>
        <v/>
      </c>
      <c r="B1734" s="7" t="str">
        <f>IF(Notes!BZ1730="","",Notes!BZ1730)</f>
        <v/>
      </c>
      <c r="C1734" s="7" t="str">
        <f>IF(Notes!CA1730="","",Notes!CA1730)</f>
        <v/>
      </c>
      <c r="D1734" s="7" t="str">
        <f>IF(Notes!CB1730="","",Notes!CB1730)</f>
        <v/>
      </c>
      <c r="E1734" s="7" t="str">
        <f>IF(Notes!CC1730="","",Notes!CC1730)</f>
        <v/>
      </c>
      <c r="F1734" s="7" t="str">
        <f>IF(Notes!CD1730="","",Notes!CD1730)</f>
        <v/>
      </c>
      <c r="G1734" s="7" t="str">
        <f>IF(Notes!CE1730="","",Notes!CE1730)</f>
        <v/>
      </c>
      <c r="H1734" s="7" t="str">
        <f>IF(Notes!CF1730="","",Notes!CF1730)</f>
        <v/>
      </c>
      <c r="I1734" s="7"/>
      <c r="J1734" s="7"/>
      <c r="K1734" s="7"/>
    </row>
    <row r="1735" spans="1:11" x14ac:dyDescent="0.35">
      <c r="A1735" s="7" t="str">
        <f>IF(Notes!BY1731="","",Notes!BY1731)</f>
        <v/>
      </c>
      <c r="B1735" s="7" t="str">
        <f>IF(Notes!BZ1731="","",Notes!BZ1731)</f>
        <v/>
      </c>
      <c r="C1735" s="7" t="str">
        <f>IF(Notes!CA1731="","",Notes!CA1731)</f>
        <v/>
      </c>
      <c r="D1735" s="7" t="str">
        <f>IF(Notes!CB1731="","",Notes!CB1731)</f>
        <v/>
      </c>
      <c r="E1735" s="7" t="str">
        <f>IF(Notes!CC1731="","",Notes!CC1731)</f>
        <v/>
      </c>
      <c r="F1735" s="7" t="str">
        <f>IF(Notes!CD1731="","",Notes!CD1731)</f>
        <v/>
      </c>
      <c r="G1735" s="7" t="str">
        <f>IF(Notes!CE1731="","",Notes!CE1731)</f>
        <v/>
      </c>
      <c r="H1735" s="7" t="str">
        <f>IF(Notes!CF1731="","",Notes!CF1731)</f>
        <v/>
      </c>
      <c r="I1735" s="7"/>
      <c r="J1735" s="7"/>
      <c r="K1735" s="7"/>
    </row>
    <row r="1736" spans="1:11" x14ac:dyDescent="0.35">
      <c r="A1736" s="7" t="str">
        <f>IF(Notes!BY1732="","",Notes!BY1732)</f>
        <v/>
      </c>
      <c r="B1736" s="7" t="str">
        <f>IF(Notes!BZ1732="","",Notes!BZ1732)</f>
        <v/>
      </c>
      <c r="C1736" s="7" t="str">
        <f>IF(Notes!CA1732="","",Notes!CA1732)</f>
        <v/>
      </c>
      <c r="D1736" s="7" t="str">
        <f>IF(Notes!CB1732="","",Notes!CB1732)</f>
        <v/>
      </c>
      <c r="E1736" s="7" t="str">
        <f>IF(Notes!CC1732="","",Notes!CC1732)</f>
        <v/>
      </c>
      <c r="F1736" s="7" t="str">
        <f>IF(Notes!CD1732="","",Notes!CD1732)</f>
        <v/>
      </c>
      <c r="G1736" s="7" t="str">
        <f>IF(Notes!CE1732="","",Notes!CE1732)</f>
        <v/>
      </c>
      <c r="H1736" s="7" t="str">
        <f>IF(Notes!CF1732="","",Notes!CF1732)</f>
        <v/>
      </c>
      <c r="I1736" s="7"/>
      <c r="J1736" s="7"/>
      <c r="K1736" s="7"/>
    </row>
    <row r="1737" spans="1:11" x14ac:dyDescent="0.35">
      <c r="A1737" s="7" t="str">
        <f>IF(Notes!BY1733="","",Notes!BY1733)</f>
        <v/>
      </c>
      <c r="B1737" s="7" t="str">
        <f>IF(Notes!BZ1733="","",Notes!BZ1733)</f>
        <v/>
      </c>
      <c r="C1737" s="7" t="str">
        <f>IF(Notes!CA1733="","",Notes!CA1733)</f>
        <v/>
      </c>
      <c r="D1737" s="7" t="str">
        <f>IF(Notes!CB1733="","",Notes!CB1733)</f>
        <v/>
      </c>
      <c r="E1737" s="7" t="str">
        <f>IF(Notes!CC1733="","",Notes!CC1733)</f>
        <v/>
      </c>
      <c r="F1737" s="7" t="str">
        <f>IF(Notes!CD1733="","",Notes!CD1733)</f>
        <v/>
      </c>
      <c r="G1737" s="7" t="str">
        <f>IF(Notes!CE1733="","",Notes!CE1733)</f>
        <v/>
      </c>
      <c r="H1737" s="7" t="str">
        <f>IF(Notes!CF1733="","",Notes!CF1733)</f>
        <v/>
      </c>
      <c r="I1737" s="7"/>
      <c r="J1737" s="7"/>
      <c r="K1737" s="7"/>
    </row>
    <row r="1738" spans="1:11" x14ac:dyDescent="0.35">
      <c r="A1738" s="7" t="str">
        <f>IF(Notes!BY1734="","",Notes!BY1734)</f>
        <v/>
      </c>
      <c r="B1738" s="7" t="str">
        <f>IF(Notes!BZ1734="","",Notes!BZ1734)</f>
        <v/>
      </c>
      <c r="C1738" s="7" t="str">
        <f>IF(Notes!CA1734="","",Notes!CA1734)</f>
        <v/>
      </c>
      <c r="D1738" s="7" t="str">
        <f>IF(Notes!CB1734="","",Notes!CB1734)</f>
        <v/>
      </c>
      <c r="E1738" s="7" t="str">
        <f>IF(Notes!CC1734="","",Notes!CC1734)</f>
        <v/>
      </c>
      <c r="F1738" s="7" t="str">
        <f>IF(Notes!CD1734="","",Notes!CD1734)</f>
        <v/>
      </c>
      <c r="G1738" s="7" t="str">
        <f>IF(Notes!CE1734="","",Notes!CE1734)</f>
        <v/>
      </c>
      <c r="H1738" s="7" t="str">
        <f>IF(Notes!CF1734="","",Notes!CF1734)</f>
        <v/>
      </c>
      <c r="I1738" s="7"/>
      <c r="J1738" s="7"/>
      <c r="K1738" s="7"/>
    </row>
    <row r="1739" spans="1:11" x14ac:dyDescent="0.35">
      <c r="A1739" s="7" t="str">
        <f>IF(Notes!BY1735="","",Notes!BY1735)</f>
        <v/>
      </c>
      <c r="B1739" s="7" t="str">
        <f>IF(Notes!BZ1735="","",Notes!BZ1735)</f>
        <v/>
      </c>
      <c r="C1739" s="7" t="str">
        <f>IF(Notes!CA1735="","",Notes!CA1735)</f>
        <v/>
      </c>
      <c r="D1739" s="7" t="str">
        <f>IF(Notes!CB1735="","",Notes!CB1735)</f>
        <v/>
      </c>
      <c r="E1739" s="7" t="str">
        <f>IF(Notes!CC1735="","",Notes!CC1735)</f>
        <v/>
      </c>
      <c r="F1739" s="7" t="str">
        <f>IF(Notes!CD1735="","",Notes!CD1735)</f>
        <v/>
      </c>
      <c r="G1739" s="7" t="str">
        <f>IF(Notes!CE1735="","",Notes!CE1735)</f>
        <v/>
      </c>
      <c r="H1739" s="7" t="str">
        <f>IF(Notes!CF1735="","",Notes!CF1735)</f>
        <v/>
      </c>
      <c r="I1739" s="7"/>
      <c r="J1739" s="7"/>
      <c r="K1739" s="7"/>
    </row>
    <row r="1740" spans="1:11" x14ac:dyDescent="0.35">
      <c r="A1740" s="7" t="str">
        <f>IF(Notes!BY1736="","",Notes!BY1736)</f>
        <v/>
      </c>
      <c r="B1740" s="7" t="str">
        <f>IF(Notes!BZ1736="","",Notes!BZ1736)</f>
        <v/>
      </c>
      <c r="C1740" s="7" t="str">
        <f>IF(Notes!CA1736="","",Notes!CA1736)</f>
        <v/>
      </c>
      <c r="D1740" s="7" t="str">
        <f>IF(Notes!CB1736="","",Notes!CB1736)</f>
        <v/>
      </c>
      <c r="E1740" s="7" t="str">
        <f>IF(Notes!CC1736="","",Notes!CC1736)</f>
        <v/>
      </c>
      <c r="F1740" s="7" t="str">
        <f>IF(Notes!CD1736="","",Notes!CD1736)</f>
        <v/>
      </c>
      <c r="G1740" s="7" t="str">
        <f>IF(Notes!CE1736="","",Notes!CE1736)</f>
        <v/>
      </c>
      <c r="H1740" s="7" t="str">
        <f>IF(Notes!CF1736="","",Notes!CF1736)</f>
        <v/>
      </c>
      <c r="I1740" s="7"/>
      <c r="J1740" s="7"/>
      <c r="K1740" s="7"/>
    </row>
    <row r="1741" spans="1:11" x14ac:dyDescent="0.35">
      <c r="A1741" s="7" t="str">
        <f>IF(Notes!BY1737="","",Notes!BY1737)</f>
        <v/>
      </c>
      <c r="B1741" s="7" t="str">
        <f>IF(Notes!BZ1737="","",Notes!BZ1737)</f>
        <v/>
      </c>
      <c r="C1741" s="7" t="str">
        <f>IF(Notes!CA1737="","",Notes!CA1737)</f>
        <v/>
      </c>
      <c r="D1741" s="7" t="str">
        <f>IF(Notes!CB1737="","",Notes!CB1737)</f>
        <v/>
      </c>
      <c r="E1741" s="7" t="str">
        <f>IF(Notes!CC1737="","",Notes!CC1737)</f>
        <v/>
      </c>
      <c r="F1741" s="7" t="str">
        <f>IF(Notes!CD1737="","",Notes!CD1737)</f>
        <v/>
      </c>
      <c r="G1741" s="7" t="str">
        <f>IF(Notes!CE1737="","",Notes!CE1737)</f>
        <v/>
      </c>
      <c r="H1741" s="7" t="str">
        <f>IF(Notes!CF1737="","",Notes!CF1737)</f>
        <v/>
      </c>
      <c r="I1741" s="7"/>
      <c r="J1741" s="7"/>
      <c r="K1741" s="7"/>
    </row>
    <row r="1742" spans="1:11" x14ac:dyDescent="0.35">
      <c r="A1742" s="7" t="str">
        <f>IF(Notes!BY1738="","",Notes!BY1738)</f>
        <v/>
      </c>
      <c r="B1742" s="7" t="str">
        <f>IF(Notes!BZ1738="","",Notes!BZ1738)</f>
        <v/>
      </c>
      <c r="C1742" s="7" t="str">
        <f>IF(Notes!CA1738="","",Notes!CA1738)</f>
        <v/>
      </c>
      <c r="D1742" s="7" t="str">
        <f>IF(Notes!CB1738="","",Notes!CB1738)</f>
        <v/>
      </c>
      <c r="E1742" s="7" t="str">
        <f>IF(Notes!CC1738="","",Notes!CC1738)</f>
        <v/>
      </c>
      <c r="F1742" s="7" t="str">
        <f>IF(Notes!CD1738="","",Notes!CD1738)</f>
        <v/>
      </c>
      <c r="G1742" s="7" t="str">
        <f>IF(Notes!CE1738="","",Notes!CE1738)</f>
        <v/>
      </c>
      <c r="H1742" s="7" t="str">
        <f>IF(Notes!CF1738="","",Notes!CF1738)</f>
        <v/>
      </c>
      <c r="I1742" s="7"/>
      <c r="J1742" s="7"/>
      <c r="K1742" s="7"/>
    </row>
    <row r="1743" spans="1:11" x14ac:dyDescent="0.35">
      <c r="A1743" s="7" t="str">
        <f>IF(Notes!BY1739="","",Notes!BY1739)</f>
        <v/>
      </c>
      <c r="B1743" s="7" t="str">
        <f>IF(Notes!BZ1739="","",Notes!BZ1739)</f>
        <v/>
      </c>
      <c r="C1743" s="7" t="str">
        <f>IF(Notes!CA1739="","",Notes!CA1739)</f>
        <v/>
      </c>
      <c r="D1743" s="7" t="str">
        <f>IF(Notes!CB1739="","",Notes!CB1739)</f>
        <v/>
      </c>
      <c r="E1743" s="7" t="str">
        <f>IF(Notes!CC1739="","",Notes!CC1739)</f>
        <v/>
      </c>
      <c r="F1743" s="7" t="str">
        <f>IF(Notes!CD1739="","",Notes!CD1739)</f>
        <v/>
      </c>
      <c r="G1743" s="7" t="str">
        <f>IF(Notes!CE1739="","",Notes!CE1739)</f>
        <v/>
      </c>
      <c r="H1743" s="7" t="str">
        <f>IF(Notes!CF1739="","",Notes!CF1739)</f>
        <v/>
      </c>
      <c r="I1743" s="7"/>
      <c r="J1743" s="7"/>
      <c r="K1743" s="7"/>
    </row>
    <row r="1744" spans="1:11" x14ac:dyDescent="0.35">
      <c r="A1744" s="7" t="str">
        <f>IF(Notes!BY1740="","",Notes!BY1740)</f>
        <v/>
      </c>
      <c r="B1744" s="7" t="str">
        <f>IF(Notes!BZ1740="","",Notes!BZ1740)</f>
        <v/>
      </c>
      <c r="C1744" s="7" t="str">
        <f>IF(Notes!CA1740="","",Notes!CA1740)</f>
        <v/>
      </c>
      <c r="D1744" s="7" t="str">
        <f>IF(Notes!CB1740="","",Notes!CB1740)</f>
        <v/>
      </c>
      <c r="E1744" s="7" t="str">
        <f>IF(Notes!CC1740="","",Notes!CC1740)</f>
        <v/>
      </c>
      <c r="F1744" s="7" t="str">
        <f>IF(Notes!CD1740="","",Notes!CD1740)</f>
        <v/>
      </c>
      <c r="G1744" s="7" t="str">
        <f>IF(Notes!CE1740="","",Notes!CE1740)</f>
        <v/>
      </c>
      <c r="H1744" s="7" t="str">
        <f>IF(Notes!CF1740="","",Notes!CF1740)</f>
        <v/>
      </c>
      <c r="I1744" s="7"/>
      <c r="J1744" s="7"/>
      <c r="K1744" s="7"/>
    </row>
    <row r="1745" spans="1:11" x14ac:dyDescent="0.35">
      <c r="A1745" s="7" t="str">
        <f>IF(Notes!BY1741="","",Notes!BY1741)</f>
        <v/>
      </c>
      <c r="B1745" s="7" t="str">
        <f>IF(Notes!BZ1741="","",Notes!BZ1741)</f>
        <v/>
      </c>
      <c r="C1745" s="7" t="str">
        <f>IF(Notes!CA1741="","",Notes!CA1741)</f>
        <v/>
      </c>
      <c r="D1745" s="7" t="str">
        <f>IF(Notes!CB1741="","",Notes!CB1741)</f>
        <v/>
      </c>
      <c r="E1745" s="7" t="str">
        <f>IF(Notes!CC1741="","",Notes!CC1741)</f>
        <v/>
      </c>
      <c r="F1745" s="7" t="str">
        <f>IF(Notes!CD1741="","",Notes!CD1741)</f>
        <v/>
      </c>
      <c r="G1745" s="7" t="str">
        <f>IF(Notes!CE1741="","",Notes!CE1741)</f>
        <v/>
      </c>
      <c r="H1745" s="7" t="str">
        <f>IF(Notes!CF1741="","",Notes!CF1741)</f>
        <v/>
      </c>
      <c r="I1745" s="7"/>
      <c r="J1745" s="7"/>
      <c r="K1745" s="7"/>
    </row>
    <row r="1746" spans="1:11" x14ac:dyDescent="0.35">
      <c r="A1746" s="7" t="str">
        <f>IF(Notes!BY1742="","",Notes!BY1742)</f>
        <v/>
      </c>
      <c r="B1746" s="7" t="str">
        <f>IF(Notes!BZ1742="","",Notes!BZ1742)</f>
        <v/>
      </c>
      <c r="C1746" s="7" t="str">
        <f>IF(Notes!CA1742="","",Notes!CA1742)</f>
        <v/>
      </c>
      <c r="D1746" s="7" t="str">
        <f>IF(Notes!CB1742="","",Notes!CB1742)</f>
        <v/>
      </c>
      <c r="E1746" s="7" t="str">
        <f>IF(Notes!CC1742="","",Notes!CC1742)</f>
        <v/>
      </c>
      <c r="F1746" s="7" t="str">
        <f>IF(Notes!CD1742="","",Notes!CD1742)</f>
        <v/>
      </c>
      <c r="G1746" s="7" t="str">
        <f>IF(Notes!CE1742="","",Notes!CE1742)</f>
        <v/>
      </c>
      <c r="H1746" s="7" t="str">
        <f>IF(Notes!CF1742="","",Notes!CF1742)</f>
        <v/>
      </c>
      <c r="I1746" s="7"/>
      <c r="J1746" s="7"/>
      <c r="K1746" s="7"/>
    </row>
    <row r="1747" spans="1:11" x14ac:dyDescent="0.35">
      <c r="A1747" s="7" t="str">
        <f>IF(Notes!BY1743="","",Notes!BY1743)</f>
        <v/>
      </c>
      <c r="B1747" s="7" t="str">
        <f>IF(Notes!BZ1743="","",Notes!BZ1743)</f>
        <v/>
      </c>
      <c r="C1747" s="7" t="str">
        <f>IF(Notes!CA1743="","",Notes!CA1743)</f>
        <v/>
      </c>
      <c r="D1747" s="7" t="str">
        <f>IF(Notes!CB1743="","",Notes!CB1743)</f>
        <v/>
      </c>
      <c r="E1747" s="7" t="str">
        <f>IF(Notes!CC1743="","",Notes!CC1743)</f>
        <v/>
      </c>
      <c r="F1747" s="7" t="str">
        <f>IF(Notes!CD1743="","",Notes!CD1743)</f>
        <v/>
      </c>
      <c r="G1747" s="7" t="str">
        <f>IF(Notes!CE1743="","",Notes!CE1743)</f>
        <v/>
      </c>
      <c r="H1747" s="7" t="str">
        <f>IF(Notes!CF1743="","",Notes!CF1743)</f>
        <v/>
      </c>
      <c r="I1747" s="7"/>
      <c r="J1747" s="7"/>
      <c r="K1747" s="7"/>
    </row>
    <row r="1748" spans="1:11" x14ac:dyDescent="0.35">
      <c r="A1748" s="7" t="str">
        <f>IF(Notes!BY1744="","",Notes!BY1744)</f>
        <v/>
      </c>
      <c r="B1748" s="7" t="str">
        <f>IF(Notes!BZ1744="","",Notes!BZ1744)</f>
        <v/>
      </c>
      <c r="C1748" s="7" t="str">
        <f>IF(Notes!CA1744="","",Notes!CA1744)</f>
        <v/>
      </c>
      <c r="D1748" s="7" t="str">
        <f>IF(Notes!CB1744="","",Notes!CB1744)</f>
        <v/>
      </c>
      <c r="E1748" s="7" t="str">
        <f>IF(Notes!CC1744="","",Notes!CC1744)</f>
        <v/>
      </c>
      <c r="F1748" s="7" t="str">
        <f>IF(Notes!CD1744="","",Notes!CD1744)</f>
        <v/>
      </c>
      <c r="G1748" s="7" t="str">
        <f>IF(Notes!CE1744="","",Notes!CE1744)</f>
        <v/>
      </c>
      <c r="H1748" s="7" t="str">
        <f>IF(Notes!CF1744="","",Notes!CF1744)</f>
        <v/>
      </c>
      <c r="I1748" s="7"/>
      <c r="J1748" s="7"/>
      <c r="K1748" s="7"/>
    </row>
    <row r="1749" spans="1:11" x14ac:dyDescent="0.35">
      <c r="A1749" s="7" t="str">
        <f>IF(Notes!BY1745="","",Notes!BY1745)</f>
        <v/>
      </c>
      <c r="B1749" s="7" t="str">
        <f>IF(Notes!BZ1745="","",Notes!BZ1745)</f>
        <v/>
      </c>
      <c r="C1749" s="7" t="str">
        <f>IF(Notes!CA1745="","",Notes!CA1745)</f>
        <v/>
      </c>
      <c r="D1749" s="7" t="str">
        <f>IF(Notes!CB1745="","",Notes!CB1745)</f>
        <v/>
      </c>
      <c r="E1749" s="7" t="str">
        <f>IF(Notes!CC1745="","",Notes!CC1745)</f>
        <v/>
      </c>
      <c r="F1749" s="7" t="str">
        <f>IF(Notes!CD1745="","",Notes!CD1745)</f>
        <v/>
      </c>
      <c r="G1749" s="7" t="str">
        <f>IF(Notes!CE1745="","",Notes!CE1745)</f>
        <v/>
      </c>
      <c r="H1749" s="7" t="str">
        <f>IF(Notes!CF1745="","",Notes!CF1745)</f>
        <v/>
      </c>
      <c r="I1749" s="7"/>
      <c r="J1749" s="7"/>
      <c r="K1749" s="7"/>
    </row>
    <row r="1750" spans="1:11" x14ac:dyDescent="0.35">
      <c r="A1750" s="7" t="str">
        <f>IF(Notes!BY1746="","",Notes!BY1746)</f>
        <v/>
      </c>
      <c r="B1750" s="7" t="str">
        <f>IF(Notes!BZ1746="","",Notes!BZ1746)</f>
        <v/>
      </c>
      <c r="C1750" s="7" t="str">
        <f>IF(Notes!CA1746="","",Notes!CA1746)</f>
        <v/>
      </c>
      <c r="D1750" s="7" t="str">
        <f>IF(Notes!CB1746="","",Notes!CB1746)</f>
        <v/>
      </c>
      <c r="E1750" s="7" t="str">
        <f>IF(Notes!CC1746="","",Notes!CC1746)</f>
        <v/>
      </c>
      <c r="F1750" s="7" t="str">
        <f>IF(Notes!CD1746="","",Notes!CD1746)</f>
        <v/>
      </c>
      <c r="G1750" s="7" t="str">
        <f>IF(Notes!CE1746="","",Notes!CE1746)</f>
        <v/>
      </c>
      <c r="H1750" s="7" t="str">
        <f>IF(Notes!CF1746="","",Notes!CF1746)</f>
        <v/>
      </c>
      <c r="I1750" s="7"/>
      <c r="J1750" s="7"/>
      <c r="K1750" s="7"/>
    </row>
    <row r="1751" spans="1:11" x14ac:dyDescent="0.35">
      <c r="A1751" s="7" t="str">
        <f>IF(Notes!BY1747="","",Notes!BY1747)</f>
        <v/>
      </c>
      <c r="B1751" s="7" t="str">
        <f>IF(Notes!BZ1747="","",Notes!BZ1747)</f>
        <v/>
      </c>
      <c r="C1751" s="7" t="str">
        <f>IF(Notes!CA1747="","",Notes!CA1747)</f>
        <v/>
      </c>
      <c r="D1751" s="7" t="str">
        <f>IF(Notes!CB1747="","",Notes!CB1747)</f>
        <v/>
      </c>
      <c r="E1751" s="7" t="str">
        <f>IF(Notes!CC1747="","",Notes!CC1747)</f>
        <v/>
      </c>
      <c r="F1751" s="7" t="str">
        <f>IF(Notes!CD1747="","",Notes!CD1747)</f>
        <v/>
      </c>
      <c r="G1751" s="7" t="str">
        <f>IF(Notes!CE1747="","",Notes!CE1747)</f>
        <v/>
      </c>
      <c r="H1751" s="7" t="str">
        <f>IF(Notes!CF1747="","",Notes!CF1747)</f>
        <v/>
      </c>
      <c r="I1751" s="7"/>
      <c r="J1751" s="7"/>
      <c r="K1751" s="7"/>
    </row>
    <row r="1752" spans="1:11" x14ac:dyDescent="0.35">
      <c r="A1752" s="7" t="str">
        <f>IF(Notes!BY1748="","",Notes!BY1748)</f>
        <v/>
      </c>
      <c r="B1752" s="7" t="str">
        <f>IF(Notes!BZ1748="","",Notes!BZ1748)</f>
        <v/>
      </c>
      <c r="C1752" s="7" t="str">
        <f>IF(Notes!CA1748="","",Notes!CA1748)</f>
        <v/>
      </c>
      <c r="D1752" s="7" t="str">
        <f>IF(Notes!CB1748="","",Notes!CB1748)</f>
        <v/>
      </c>
      <c r="E1752" s="7" t="str">
        <f>IF(Notes!CC1748="","",Notes!CC1748)</f>
        <v/>
      </c>
      <c r="F1752" s="7" t="str">
        <f>IF(Notes!CD1748="","",Notes!CD1748)</f>
        <v/>
      </c>
      <c r="G1752" s="7" t="str">
        <f>IF(Notes!CE1748="","",Notes!CE1748)</f>
        <v/>
      </c>
      <c r="H1752" s="7" t="str">
        <f>IF(Notes!CF1748="","",Notes!CF1748)</f>
        <v/>
      </c>
      <c r="I1752" s="7"/>
      <c r="J1752" s="7"/>
      <c r="K1752" s="7"/>
    </row>
    <row r="1753" spans="1:11" x14ac:dyDescent="0.35">
      <c r="A1753" s="7" t="str">
        <f>IF(Notes!BY1749="","",Notes!BY1749)</f>
        <v/>
      </c>
      <c r="B1753" s="7" t="str">
        <f>IF(Notes!BZ1749="","",Notes!BZ1749)</f>
        <v/>
      </c>
      <c r="C1753" s="7" t="str">
        <f>IF(Notes!CA1749="","",Notes!CA1749)</f>
        <v/>
      </c>
      <c r="D1753" s="7" t="str">
        <f>IF(Notes!CB1749="","",Notes!CB1749)</f>
        <v/>
      </c>
      <c r="E1753" s="7" t="str">
        <f>IF(Notes!CC1749="","",Notes!CC1749)</f>
        <v/>
      </c>
      <c r="F1753" s="7" t="str">
        <f>IF(Notes!CD1749="","",Notes!CD1749)</f>
        <v/>
      </c>
      <c r="G1753" s="7" t="str">
        <f>IF(Notes!CE1749="","",Notes!CE1749)</f>
        <v/>
      </c>
      <c r="H1753" s="7" t="str">
        <f>IF(Notes!CF1749="","",Notes!CF1749)</f>
        <v/>
      </c>
      <c r="I1753" s="7"/>
      <c r="J1753" s="7"/>
      <c r="K1753" s="7"/>
    </row>
    <row r="1754" spans="1:11" x14ac:dyDescent="0.35">
      <c r="A1754" s="7" t="str">
        <f>IF(Notes!BY1750="","",Notes!BY1750)</f>
        <v/>
      </c>
      <c r="B1754" s="7" t="str">
        <f>IF(Notes!BZ1750="","",Notes!BZ1750)</f>
        <v/>
      </c>
      <c r="C1754" s="7" t="str">
        <f>IF(Notes!CA1750="","",Notes!CA1750)</f>
        <v/>
      </c>
      <c r="D1754" s="7" t="str">
        <f>IF(Notes!CB1750="","",Notes!CB1750)</f>
        <v/>
      </c>
      <c r="E1754" s="7" t="str">
        <f>IF(Notes!CC1750="","",Notes!CC1750)</f>
        <v/>
      </c>
      <c r="F1754" s="7" t="str">
        <f>IF(Notes!CD1750="","",Notes!CD1750)</f>
        <v/>
      </c>
      <c r="G1754" s="7" t="str">
        <f>IF(Notes!CE1750="","",Notes!CE1750)</f>
        <v/>
      </c>
      <c r="H1754" s="7" t="str">
        <f>IF(Notes!CF1750="","",Notes!CF1750)</f>
        <v/>
      </c>
      <c r="I1754" s="7"/>
      <c r="J1754" s="7"/>
      <c r="K1754" s="7"/>
    </row>
    <row r="1755" spans="1:11" x14ac:dyDescent="0.35">
      <c r="A1755" s="7" t="str">
        <f>IF(Notes!BY1751="","",Notes!BY1751)</f>
        <v/>
      </c>
      <c r="B1755" s="7" t="str">
        <f>IF(Notes!BZ1751="","",Notes!BZ1751)</f>
        <v/>
      </c>
      <c r="C1755" s="7" t="str">
        <f>IF(Notes!CA1751="","",Notes!CA1751)</f>
        <v/>
      </c>
      <c r="D1755" s="7" t="str">
        <f>IF(Notes!CB1751="","",Notes!CB1751)</f>
        <v/>
      </c>
      <c r="E1755" s="7" t="str">
        <f>IF(Notes!CC1751="","",Notes!CC1751)</f>
        <v/>
      </c>
      <c r="F1755" s="7" t="str">
        <f>IF(Notes!CD1751="","",Notes!CD1751)</f>
        <v/>
      </c>
      <c r="G1755" s="7" t="str">
        <f>IF(Notes!CE1751="","",Notes!CE1751)</f>
        <v/>
      </c>
      <c r="H1755" s="7" t="str">
        <f>IF(Notes!CF1751="","",Notes!CF1751)</f>
        <v/>
      </c>
      <c r="I1755" s="7"/>
      <c r="J1755" s="7"/>
      <c r="K1755" s="7"/>
    </row>
    <row r="1756" spans="1:11" x14ac:dyDescent="0.35">
      <c r="A1756" s="7" t="str">
        <f>IF(Notes!BY1752="","",Notes!BY1752)</f>
        <v/>
      </c>
      <c r="B1756" s="7" t="str">
        <f>IF(Notes!BZ1752="","",Notes!BZ1752)</f>
        <v/>
      </c>
      <c r="C1756" s="7" t="str">
        <f>IF(Notes!CA1752="","",Notes!CA1752)</f>
        <v/>
      </c>
      <c r="D1756" s="7" t="str">
        <f>IF(Notes!CB1752="","",Notes!CB1752)</f>
        <v/>
      </c>
      <c r="E1756" s="7" t="str">
        <f>IF(Notes!CC1752="","",Notes!CC1752)</f>
        <v/>
      </c>
      <c r="F1756" s="7" t="str">
        <f>IF(Notes!CD1752="","",Notes!CD1752)</f>
        <v/>
      </c>
      <c r="G1756" s="7" t="str">
        <f>IF(Notes!CE1752="","",Notes!CE1752)</f>
        <v/>
      </c>
      <c r="H1756" s="7" t="str">
        <f>IF(Notes!CF1752="","",Notes!CF1752)</f>
        <v/>
      </c>
      <c r="I1756" s="7"/>
      <c r="J1756" s="7"/>
      <c r="K1756" s="7"/>
    </row>
    <row r="1757" spans="1:11" x14ac:dyDescent="0.35">
      <c r="A1757" s="7" t="str">
        <f>IF(Notes!BY1753="","",Notes!BY1753)</f>
        <v/>
      </c>
      <c r="B1757" s="7" t="str">
        <f>IF(Notes!BZ1753="","",Notes!BZ1753)</f>
        <v/>
      </c>
      <c r="C1757" s="7" t="str">
        <f>IF(Notes!CA1753="","",Notes!CA1753)</f>
        <v/>
      </c>
      <c r="D1757" s="7" t="str">
        <f>IF(Notes!CB1753="","",Notes!CB1753)</f>
        <v/>
      </c>
      <c r="E1757" s="7" t="str">
        <f>IF(Notes!CC1753="","",Notes!CC1753)</f>
        <v/>
      </c>
      <c r="F1757" s="7" t="str">
        <f>IF(Notes!CD1753="","",Notes!CD1753)</f>
        <v/>
      </c>
      <c r="G1757" s="7" t="str">
        <f>IF(Notes!CE1753="","",Notes!CE1753)</f>
        <v/>
      </c>
      <c r="H1757" s="7" t="str">
        <f>IF(Notes!CF1753="","",Notes!CF1753)</f>
        <v/>
      </c>
      <c r="I1757" s="7"/>
      <c r="J1757" s="7"/>
      <c r="K1757" s="7"/>
    </row>
    <row r="1758" spans="1:11" x14ac:dyDescent="0.35">
      <c r="A1758" s="7" t="str">
        <f>IF(Notes!BY1754="","",Notes!BY1754)</f>
        <v/>
      </c>
      <c r="B1758" s="7" t="str">
        <f>IF(Notes!BZ1754="","",Notes!BZ1754)</f>
        <v/>
      </c>
      <c r="C1758" s="7" t="str">
        <f>IF(Notes!CA1754="","",Notes!CA1754)</f>
        <v/>
      </c>
      <c r="D1758" s="7" t="str">
        <f>IF(Notes!CB1754="","",Notes!CB1754)</f>
        <v/>
      </c>
      <c r="E1758" s="7" t="str">
        <f>IF(Notes!CC1754="","",Notes!CC1754)</f>
        <v/>
      </c>
      <c r="F1758" s="7" t="str">
        <f>IF(Notes!CD1754="","",Notes!CD1754)</f>
        <v/>
      </c>
      <c r="G1758" s="7" t="str">
        <f>IF(Notes!CE1754="","",Notes!CE1754)</f>
        <v/>
      </c>
      <c r="H1758" s="7" t="str">
        <f>IF(Notes!CF1754="","",Notes!CF1754)</f>
        <v/>
      </c>
      <c r="I1758" s="7"/>
      <c r="J1758" s="7"/>
      <c r="K1758" s="7"/>
    </row>
    <row r="1759" spans="1:11" x14ac:dyDescent="0.35">
      <c r="A1759" s="7" t="str">
        <f>IF(Notes!BY1755="","",Notes!BY1755)</f>
        <v/>
      </c>
      <c r="B1759" s="7" t="str">
        <f>IF(Notes!BZ1755="","",Notes!BZ1755)</f>
        <v/>
      </c>
      <c r="C1759" s="7" t="str">
        <f>IF(Notes!CA1755="","",Notes!CA1755)</f>
        <v/>
      </c>
      <c r="D1759" s="7" t="str">
        <f>IF(Notes!CB1755="","",Notes!CB1755)</f>
        <v/>
      </c>
      <c r="E1759" s="7" t="str">
        <f>IF(Notes!CC1755="","",Notes!CC1755)</f>
        <v/>
      </c>
      <c r="F1759" s="7" t="str">
        <f>IF(Notes!CD1755="","",Notes!CD1755)</f>
        <v/>
      </c>
      <c r="G1759" s="7" t="str">
        <f>IF(Notes!CE1755="","",Notes!CE1755)</f>
        <v/>
      </c>
      <c r="H1759" s="7" t="str">
        <f>IF(Notes!CF1755="","",Notes!CF1755)</f>
        <v/>
      </c>
      <c r="I1759" s="7"/>
      <c r="J1759" s="7"/>
      <c r="K1759" s="7"/>
    </row>
    <row r="1760" spans="1:11" x14ac:dyDescent="0.35">
      <c r="A1760" s="7" t="str">
        <f>IF(Notes!BY1756="","",Notes!BY1756)</f>
        <v/>
      </c>
      <c r="B1760" s="7" t="str">
        <f>IF(Notes!BZ1756="","",Notes!BZ1756)</f>
        <v/>
      </c>
      <c r="C1760" s="7" t="str">
        <f>IF(Notes!CA1756="","",Notes!CA1756)</f>
        <v/>
      </c>
      <c r="D1760" s="7" t="str">
        <f>IF(Notes!CB1756="","",Notes!CB1756)</f>
        <v/>
      </c>
      <c r="E1760" s="7" t="str">
        <f>IF(Notes!CC1756="","",Notes!CC1756)</f>
        <v/>
      </c>
      <c r="F1760" s="7" t="str">
        <f>IF(Notes!CD1756="","",Notes!CD1756)</f>
        <v/>
      </c>
      <c r="G1760" s="7" t="str">
        <f>IF(Notes!CE1756="","",Notes!CE1756)</f>
        <v/>
      </c>
      <c r="H1760" s="7" t="str">
        <f>IF(Notes!CF1756="","",Notes!CF1756)</f>
        <v/>
      </c>
      <c r="I1760" s="7"/>
      <c r="J1760" s="7"/>
      <c r="K1760" s="7"/>
    </row>
    <row r="1761" spans="1:11" x14ac:dyDescent="0.35">
      <c r="A1761" s="7" t="str">
        <f>IF(Notes!BY1757="","",Notes!BY1757)</f>
        <v/>
      </c>
      <c r="B1761" s="7" t="str">
        <f>IF(Notes!BZ1757="","",Notes!BZ1757)</f>
        <v/>
      </c>
      <c r="C1761" s="7" t="str">
        <f>IF(Notes!CA1757="","",Notes!CA1757)</f>
        <v/>
      </c>
      <c r="D1761" s="7" t="str">
        <f>IF(Notes!CB1757="","",Notes!CB1757)</f>
        <v/>
      </c>
      <c r="E1761" s="7" t="str">
        <f>IF(Notes!CC1757="","",Notes!CC1757)</f>
        <v/>
      </c>
      <c r="F1761" s="7" t="str">
        <f>IF(Notes!CD1757="","",Notes!CD1757)</f>
        <v/>
      </c>
      <c r="G1761" s="7" t="str">
        <f>IF(Notes!CE1757="","",Notes!CE1757)</f>
        <v/>
      </c>
      <c r="H1761" s="7" t="str">
        <f>IF(Notes!CF1757="","",Notes!CF1757)</f>
        <v/>
      </c>
      <c r="I1761" s="7"/>
      <c r="J1761" s="7"/>
      <c r="K1761" s="7"/>
    </row>
    <row r="1762" spans="1:11" x14ac:dyDescent="0.35">
      <c r="A1762" s="7" t="str">
        <f>IF(Notes!BY1758="","",Notes!BY1758)</f>
        <v/>
      </c>
      <c r="B1762" s="7" t="str">
        <f>IF(Notes!BZ1758="","",Notes!BZ1758)</f>
        <v/>
      </c>
      <c r="C1762" s="7" t="str">
        <f>IF(Notes!CA1758="","",Notes!CA1758)</f>
        <v/>
      </c>
      <c r="D1762" s="7" t="str">
        <f>IF(Notes!CB1758="","",Notes!CB1758)</f>
        <v/>
      </c>
      <c r="E1762" s="7" t="str">
        <f>IF(Notes!CC1758="","",Notes!CC1758)</f>
        <v/>
      </c>
      <c r="F1762" s="7" t="str">
        <f>IF(Notes!CD1758="","",Notes!CD1758)</f>
        <v/>
      </c>
      <c r="G1762" s="7" t="str">
        <f>IF(Notes!CE1758="","",Notes!CE1758)</f>
        <v/>
      </c>
      <c r="H1762" s="7" t="str">
        <f>IF(Notes!CF1758="","",Notes!CF1758)</f>
        <v/>
      </c>
      <c r="I1762" s="7"/>
      <c r="J1762" s="7"/>
      <c r="K1762" s="7"/>
    </row>
    <row r="1763" spans="1:11" x14ac:dyDescent="0.35">
      <c r="A1763" s="7" t="str">
        <f>IF(Notes!BY1759="","",Notes!BY1759)</f>
        <v/>
      </c>
      <c r="B1763" s="7" t="str">
        <f>IF(Notes!BZ1759="","",Notes!BZ1759)</f>
        <v/>
      </c>
      <c r="C1763" s="7" t="str">
        <f>IF(Notes!CA1759="","",Notes!CA1759)</f>
        <v/>
      </c>
      <c r="D1763" s="7" t="str">
        <f>IF(Notes!CB1759="","",Notes!CB1759)</f>
        <v/>
      </c>
      <c r="E1763" s="7" t="str">
        <f>IF(Notes!CC1759="","",Notes!CC1759)</f>
        <v/>
      </c>
      <c r="F1763" s="7" t="str">
        <f>IF(Notes!CD1759="","",Notes!CD1759)</f>
        <v/>
      </c>
      <c r="G1763" s="7" t="str">
        <f>IF(Notes!CE1759="","",Notes!CE1759)</f>
        <v/>
      </c>
      <c r="H1763" s="7" t="str">
        <f>IF(Notes!CF1759="","",Notes!CF1759)</f>
        <v/>
      </c>
      <c r="I1763" s="7"/>
      <c r="J1763" s="7"/>
      <c r="K1763" s="7"/>
    </row>
    <row r="1764" spans="1:11" x14ac:dyDescent="0.35">
      <c r="A1764" s="7" t="str">
        <f>IF(Notes!BY1760="","",Notes!BY1760)</f>
        <v/>
      </c>
      <c r="B1764" s="7" t="str">
        <f>IF(Notes!BZ1760="","",Notes!BZ1760)</f>
        <v/>
      </c>
      <c r="C1764" s="7" t="str">
        <f>IF(Notes!CA1760="","",Notes!CA1760)</f>
        <v/>
      </c>
      <c r="D1764" s="7" t="str">
        <f>IF(Notes!CB1760="","",Notes!CB1760)</f>
        <v/>
      </c>
      <c r="E1764" s="7" t="str">
        <f>IF(Notes!CC1760="","",Notes!CC1760)</f>
        <v/>
      </c>
      <c r="F1764" s="7" t="str">
        <f>IF(Notes!CD1760="","",Notes!CD1760)</f>
        <v/>
      </c>
      <c r="G1764" s="7" t="str">
        <f>IF(Notes!CE1760="","",Notes!CE1760)</f>
        <v/>
      </c>
      <c r="H1764" s="7" t="str">
        <f>IF(Notes!CF1760="","",Notes!CF1760)</f>
        <v/>
      </c>
      <c r="I1764" s="7"/>
      <c r="J1764" s="7"/>
      <c r="K1764" s="7"/>
    </row>
    <row r="1765" spans="1:11" x14ac:dyDescent="0.35">
      <c r="A1765" s="7" t="str">
        <f>IF(Notes!BY1761="","",Notes!BY1761)</f>
        <v/>
      </c>
      <c r="B1765" s="7" t="str">
        <f>IF(Notes!BZ1761="","",Notes!BZ1761)</f>
        <v/>
      </c>
      <c r="C1765" s="7" t="str">
        <f>IF(Notes!CA1761="","",Notes!CA1761)</f>
        <v/>
      </c>
      <c r="D1765" s="7" t="str">
        <f>IF(Notes!CB1761="","",Notes!CB1761)</f>
        <v/>
      </c>
      <c r="E1765" s="7" t="str">
        <f>IF(Notes!CC1761="","",Notes!CC1761)</f>
        <v/>
      </c>
      <c r="F1765" s="7" t="str">
        <f>IF(Notes!CD1761="","",Notes!CD1761)</f>
        <v/>
      </c>
      <c r="G1765" s="7" t="str">
        <f>IF(Notes!CE1761="","",Notes!CE1761)</f>
        <v/>
      </c>
      <c r="H1765" s="7" t="str">
        <f>IF(Notes!CF1761="","",Notes!CF1761)</f>
        <v/>
      </c>
      <c r="I1765" s="7"/>
      <c r="J1765" s="7"/>
      <c r="K1765" s="7"/>
    </row>
    <row r="1766" spans="1:11" x14ac:dyDescent="0.35">
      <c r="A1766" s="7" t="str">
        <f>IF(Notes!BY1762="","",Notes!BY1762)</f>
        <v/>
      </c>
      <c r="B1766" s="7" t="str">
        <f>IF(Notes!BZ1762="","",Notes!BZ1762)</f>
        <v/>
      </c>
      <c r="C1766" s="7" t="str">
        <f>IF(Notes!CA1762="","",Notes!CA1762)</f>
        <v/>
      </c>
      <c r="D1766" s="7" t="str">
        <f>IF(Notes!CB1762="","",Notes!CB1762)</f>
        <v/>
      </c>
      <c r="E1766" s="7" t="str">
        <f>IF(Notes!CC1762="","",Notes!CC1762)</f>
        <v/>
      </c>
      <c r="F1766" s="7" t="str">
        <f>IF(Notes!CD1762="","",Notes!CD1762)</f>
        <v/>
      </c>
      <c r="G1766" s="7" t="str">
        <f>IF(Notes!CE1762="","",Notes!CE1762)</f>
        <v/>
      </c>
      <c r="H1766" s="7" t="str">
        <f>IF(Notes!CF1762="","",Notes!CF1762)</f>
        <v/>
      </c>
      <c r="I1766" s="7"/>
      <c r="J1766" s="7"/>
      <c r="K1766" s="7"/>
    </row>
    <row r="1767" spans="1:11" x14ac:dyDescent="0.35">
      <c r="A1767" s="7" t="str">
        <f>IF(Notes!BY1763="","",Notes!BY1763)</f>
        <v/>
      </c>
      <c r="B1767" s="7" t="str">
        <f>IF(Notes!BZ1763="","",Notes!BZ1763)</f>
        <v/>
      </c>
      <c r="C1767" s="7" t="str">
        <f>IF(Notes!CA1763="","",Notes!CA1763)</f>
        <v/>
      </c>
      <c r="D1767" s="7" t="str">
        <f>IF(Notes!CB1763="","",Notes!CB1763)</f>
        <v/>
      </c>
      <c r="E1767" s="7" t="str">
        <f>IF(Notes!CC1763="","",Notes!CC1763)</f>
        <v/>
      </c>
      <c r="F1767" s="7" t="str">
        <f>IF(Notes!CD1763="","",Notes!CD1763)</f>
        <v/>
      </c>
      <c r="G1767" s="7" t="str">
        <f>IF(Notes!CE1763="","",Notes!CE1763)</f>
        <v/>
      </c>
      <c r="H1767" s="7" t="str">
        <f>IF(Notes!CF1763="","",Notes!CF1763)</f>
        <v/>
      </c>
      <c r="I1767" s="7"/>
      <c r="J1767" s="7"/>
      <c r="K1767" s="7"/>
    </row>
    <row r="1768" spans="1:11" x14ac:dyDescent="0.35">
      <c r="A1768" s="7" t="str">
        <f>IF(Notes!BY1764="","",Notes!BY1764)</f>
        <v/>
      </c>
      <c r="B1768" s="7" t="str">
        <f>IF(Notes!BZ1764="","",Notes!BZ1764)</f>
        <v/>
      </c>
      <c r="C1768" s="7" t="str">
        <f>IF(Notes!CA1764="","",Notes!CA1764)</f>
        <v/>
      </c>
      <c r="D1768" s="7" t="str">
        <f>IF(Notes!CB1764="","",Notes!CB1764)</f>
        <v/>
      </c>
      <c r="E1768" s="7" t="str">
        <f>IF(Notes!CC1764="","",Notes!CC1764)</f>
        <v/>
      </c>
      <c r="F1768" s="7" t="str">
        <f>IF(Notes!CD1764="","",Notes!CD1764)</f>
        <v/>
      </c>
      <c r="G1768" s="7" t="str">
        <f>IF(Notes!CE1764="","",Notes!CE1764)</f>
        <v/>
      </c>
      <c r="H1768" s="7" t="str">
        <f>IF(Notes!CF1764="","",Notes!CF1764)</f>
        <v/>
      </c>
      <c r="I1768" s="7"/>
      <c r="J1768" s="7"/>
      <c r="K1768" s="7"/>
    </row>
    <row r="1769" spans="1:11" x14ac:dyDescent="0.35">
      <c r="A1769" s="7" t="str">
        <f>IF(Notes!BY1765="","",Notes!BY1765)</f>
        <v/>
      </c>
      <c r="B1769" s="7" t="str">
        <f>IF(Notes!BZ1765="","",Notes!BZ1765)</f>
        <v/>
      </c>
      <c r="C1769" s="7" t="str">
        <f>IF(Notes!CA1765="","",Notes!CA1765)</f>
        <v/>
      </c>
      <c r="D1769" s="7" t="str">
        <f>IF(Notes!CB1765="","",Notes!CB1765)</f>
        <v/>
      </c>
      <c r="E1769" s="7" t="str">
        <f>IF(Notes!CC1765="","",Notes!CC1765)</f>
        <v/>
      </c>
      <c r="F1769" s="7" t="str">
        <f>IF(Notes!CD1765="","",Notes!CD1765)</f>
        <v/>
      </c>
      <c r="G1769" s="7" t="str">
        <f>IF(Notes!CE1765="","",Notes!CE1765)</f>
        <v/>
      </c>
      <c r="H1769" s="7" t="str">
        <f>IF(Notes!CF1765="","",Notes!CF1765)</f>
        <v/>
      </c>
      <c r="I1769" s="7"/>
      <c r="J1769" s="7"/>
      <c r="K1769" s="7"/>
    </row>
    <row r="1770" spans="1:11" x14ac:dyDescent="0.35">
      <c r="A1770" s="7" t="str">
        <f>IF(Notes!BY1766="","",Notes!BY1766)</f>
        <v/>
      </c>
      <c r="B1770" s="7" t="str">
        <f>IF(Notes!BZ1766="","",Notes!BZ1766)</f>
        <v/>
      </c>
      <c r="C1770" s="7" t="str">
        <f>IF(Notes!CA1766="","",Notes!CA1766)</f>
        <v/>
      </c>
      <c r="D1770" s="7" t="str">
        <f>IF(Notes!CB1766="","",Notes!CB1766)</f>
        <v/>
      </c>
      <c r="E1770" s="7" t="str">
        <f>IF(Notes!CC1766="","",Notes!CC1766)</f>
        <v/>
      </c>
      <c r="F1770" s="7" t="str">
        <f>IF(Notes!CD1766="","",Notes!CD1766)</f>
        <v/>
      </c>
      <c r="G1770" s="7" t="str">
        <f>IF(Notes!CE1766="","",Notes!CE1766)</f>
        <v/>
      </c>
      <c r="H1770" s="7" t="str">
        <f>IF(Notes!CF1766="","",Notes!CF1766)</f>
        <v/>
      </c>
      <c r="I1770" s="7"/>
      <c r="J1770" s="7"/>
      <c r="K1770" s="7"/>
    </row>
    <row r="1771" spans="1:11" x14ac:dyDescent="0.35">
      <c r="A1771" s="7" t="str">
        <f>IF(Notes!BY1767="","",Notes!BY1767)</f>
        <v/>
      </c>
      <c r="B1771" s="7" t="str">
        <f>IF(Notes!BZ1767="","",Notes!BZ1767)</f>
        <v/>
      </c>
      <c r="C1771" s="7" t="str">
        <f>IF(Notes!CA1767="","",Notes!CA1767)</f>
        <v/>
      </c>
      <c r="D1771" s="7" t="str">
        <f>IF(Notes!CB1767="","",Notes!CB1767)</f>
        <v/>
      </c>
      <c r="E1771" s="7" t="str">
        <f>IF(Notes!CC1767="","",Notes!CC1767)</f>
        <v/>
      </c>
      <c r="F1771" s="7" t="str">
        <f>IF(Notes!CD1767="","",Notes!CD1767)</f>
        <v/>
      </c>
      <c r="G1771" s="7" t="str">
        <f>IF(Notes!CE1767="","",Notes!CE1767)</f>
        <v/>
      </c>
      <c r="H1771" s="7" t="str">
        <f>IF(Notes!CF1767="","",Notes!CF1767)</f>
        <v/>
      </c>
      <c r="I1771" s="7"/>
      <c r="J1771" s="7"/>
      <c r="K1771" s="7"/>
    </row>
    <row r="1772" spans="1:11" x14ac:dyDescent="0.35">
      <c r="A1772" s="7" t="str">
        <f>IF(Notes!BY1768="","",Notes!BY1768)</f>
        <v/>
      </c>
      <c r="B1772" s="7" t="str">
        <f>IF(Notes!BZ1768="","",Notes!BZ1768)</f>
        <v/>
      </c>
      <c r="C1772" s="7" t="str">
        <f>IF(Notes!CA1768="","",Notes!CA1768)</f>
        <v/>
      </c>
      <c r="D1772" s="7" t="str">
        <f>IF(Notes!CB1768="","",Notes!CB1768)</f>
        <v/>
      </c>
      <c r="E1772" s="7" t="str">
        <f>IF(Notes!CC1768="","",Notes!CC1768)</f>
        <v/>
      </c>
      <c r="F1772" s="7" t="str">
        <f>IF(Notes!CD1768="","",Notes!CD1768)</f>
        <v/>
      </c>
      <c r="G1772" s="7" t="str">
        <f>IF(Notes!CE1768="","",Notes!CE1768)</f>
        <v/>
      </c>
      <c r="H1772" s="7" t="str">
        <f>IF(Notes!CF1768="","",Notes!CF1768)</f>
        <v/>
      </c>
      <c r="I1772" s="7"/>
      <c r="J1772" s="7"/>
      <c r="K1772" s="7"/>
    </row>
    <row r="1773" spans="1:11" x14ac:dyDescent="0.35">
      <c r="A1773" s="7" t="str">
        <f>IF(Notes!BY1769="","",Notes!BY1769)</f>
        <v/>
      </c>
      <c r="B1773" s="7" t="str">
        <f>IF(Notes!BZ1769="","",Notes!BZ1769)</f>
        <v/>
      </c>
      <c r="C1773" s="7" t="str">
        <f>IF(Notes!CA1769="","",Notes!CA1769)</f>
        <v/>
      </c>
      <c r="D1773" s="7" t="str">
        <f>IF(Notes!CB1769="","",Notes!CB1769)</f>
        <v/>
      </c>
      <c r="E1773" s="7" t="str">
        <f>IF(Notes!CC1769="","",Notes!CC1769)</f>
        <v/>
      </c>
      <c r="F1773" s="7" t="str">
        <f>IF(Notes!CD1769="","",Notes!CD1769)</f>
        <v/>
      </c>
      <c r="G1773" s="7" t="str">
        <f>IF(Notes!CE1769="","",Notes!CE1769)</f>
        <v/>
      </c>
      <c r="H1773" s="7" t="str">
        <f>IF(Notes!CF1769="","",Notes!CF1769)</f>
        <v/>
      </c>
      <c r="I1773" s="7"/>
      <c r="J1773" s="7"/>
      <c r="K1773" s="7"/>
    </row>
    <row r="1774" spans="1:11" x14ac:dyDescent="0.35">
      <c r="A1774" s="7" t="str">
        <f>IF(Notes!BY1770="","",Notes!BY1770)</f>
        <v/>
      </c>
      <c r="B1774" s="7" t="str">
        <f>IF(Notes!BZ1770="","",Notes!BZ1770)</f>
        <v/>
      </c>
      <c r="C1774" s="7" t="str">
        <f>IF(Notes!CA1770="","",Notes!CA1770)</f>
        <v/>
      </c>
      <c r="D1774" s="7" t="str">
        <f>IF(Notes!CB1770="","",Notes!CB1770)</f>
        <v/>
      </c>
      <c r="E1774" s="7" t="str">
        <f>IF(Notes!CC1770="","",Notes!CC1770)</f>
        <v/>
      </c>
      <c r="F1774" s="7" t="str">
        <f>IF(Notes!CD1770="","",Notes!CD1770)</f>
        <v/>
      </c>
      <c r="G1774" s="7" t="str">
        <f>IF(Notes!CE1770="","",Notes!CE1770)</f>
        <v/>
      </c>
      <c r="H1774" s="7" t="str">
        <f>IF(Notes!CF1770="","",Notes!CF1770)</f>
        <v/>
      </c>
      <c r="I1774" s="7"/>
      <c r="J1774" s="7"/>
      <c r="K1774" s="7"/>
    </row>
    <row r="1775" spans="1:11" x14ac:dyDescent="0.35">
      <c r="A1775" s="7" t="str">
        <f>IF(Notes!BY1771="","",Notes!BY1771)</f>
        <v/>
      </c>
      <c r="B1775" s="7" t="str">
        <f>IF(Notes!BZ1771="","",Notes!BZ1771)</f>
        <v/>
      </c>
      <c r="C1775" s="7" t="str">
        <f>IF(Notes!CA1771="","",Notes!CA1771)</f>
        <v/>
      </c>
      <c r="D1775" s="7" t="str">
        <f>IF(Notes!CB1771="","",Notes!CB1771)</f>
        <v/>
      </c>
      <c r="E1775" s="7" t="str">
        <f>IF(Notes!CC1771="","",Notes!CC1771)</f>
        <v/>
      </c>
      <c r="F1775" s="7" t="str">
        <f>IF(Notes!CD1771="","",Notes!CD1771)</f>
        <v/>
      </c>
      <c r="G1775" s="7" t="str">
        <f>IF(Notes!CE1771="","",Notes!CE1771)</f>
        <v/>
      </c>
      <c r="H1775" s="7" t="str">
        <f>IF(Notes!CF1771="","",Notes!CF1771)</f>
        <v/>
      </c>
      <c r="I1775" s="7"/>
      <c r="J1775" s="7"/>
      <c r="K1775" s="7"/>
    </row>
    <row r="1776" spans="1:11" x14ac:dyDescent="0.35">
      <c r="A1776" s="7" t="str">
        <f>IF(Notes!BY1772="","",Notes!BY1772)</f>
        <v/>
      </c>
      <c r="B1776" s="7" t="str">
        <f>IF(Notes!BZ1772="","",Notes!BZ1772)</f>
        <v/>
      </c>
      <c r="C1776" s="7" t="str">
        <f>IF(Notes!CA1772="","",Notes!CA1772)</f>
        <v/>
      </c>
      <c r="D1776" s="7" t="str">
        <f>IF(Notes!CB1772="","",Notes!CB1772)</f>
        <v/>
      </c>
      <c r="E1776" s="7" t="str">
        <f>IF(Notes!CC1772="","",Notes!CC1772)</f>
        <v/>
      </c>
      <c r="F1776" s="7" t="str">
        <f>IF(Notes!CD1772="","",Notes!CD1772)</f>
        <v/>
      </c>
      <c r="G1776" s="7" t="str">
        <f>IF(Notes!CE1772="","",Notes!CE1772)</f>
        <v/>
      </c>
      <c r="H1776" s="7" t="str">
        <f>IF(Notes!CF1772="","",Notes!CF1772)</f>
        <v/>
      </c>
      <c r="I1776" s="7"/>
      <c r="J1776" s="7"/>
      <c r="K1776" s="7"/>
    </row>
    <row r="1777" spans="1:11" x14ac:dyDescent="0.35">
      <c r="A1777" s="7" t="str">
        <f>IF(Notes!BY1773="","",Notes!BY1773)</f>
        <v/>
      </c>
      <c r="B1777" s="7" t="str">
        <f>IF(Notes!BZ1773="","",Notes!BZ1773)</f>
        <v/>
      </c>
      <c r="C1777" s="7" t="str">
        <f>IF(Notes!CA1773="","",Notes!CA1773)</f>
        <v/>
      </c>
      <c r="D1777" s="7" t="str">
        <f>IF(Notes!CB1773="","",Notes!CB1773)</f>
        <v/>
      </c>
      <c r="E1777" s="7" t="str">
        <f>IF(Notes!CC1773="","",Notes!CC1773)</f>
        <v/>
      </c>
      <c r="F1777" s="7" t="str">
        <f>IF(Notes!CD1773="","",Notes!CD1773)</f>
        <v/>
      </c>
      <c r="G1777" s="7" t="str">
        <f>IF(Notes!CE1773="","",Notes!CE1773)</f>
        <v/>
      </c>
      <c r="H1777" s="7" t="str">
        <f>IF(Notes!CF1773="","",Notes!CF1773)</f>
        <v/>
      </c>
      <c r="I1777" s="7"/>
      <c r="J1777" s="7"/>
      <c r="K1777" s="7"/>
    </row>
    <row r="1778" spans="1:11" x14ac:dyDescent="0.35">
      <c r="A1778" s="7" t="str">
        <f>IF(Notes!BY1774="","",Notes!BY1774)</f>
        <v/>
      </c>
      <c r="B1778" s="7" t="str">
        <f>IF(Notes!BZ1774="","",Notes!BZ1774)</f>
        <v/>
      </c>
      <c r="C1778" s="7" t="str">
        <f>IF(Notes!CA1774="","",Notes!CA1774)</f>
        <v/>
      </c>
      <c r="D1778" s="7" t="str">
        <f>IF(Notes!CB1774="","",Notes!CB1774)</f>
        <v/>
      </c>
      <c r="E1778" s="7" t="str">
        <f>IF(Notes!CC1774="","",Notes!CC1774)</f>
        <v/>
      </c>
      <c r="F1778" s="7" t="str">
        <f>IF(Notes!CD1774="","",Notes!CD1774)</f>
        <v/>
      </c>
      <c r="G1778" s="7" t="str">
        <f>IF(Notes!CE1774="","",Notes!CE1774)</f>
        <v/>
      </c>
      <c r="H1778" s="7" t="str">
        <f>IF(Notes!CF1774="","",Notes!CF1774)</f>
        <v/>
      </c>
      <c r="I1778" s="7"/>
      <c r="J1778" s="7"/>
      <c r="K1778" s="7"/>
    </row>
    <row r="1779" spans="1:11" x14ac:dyDescent="0.35">
      <c r="A1779" s="7" t="str">
        <f>IF(Notes!BY1775="","",Notes!BY1775)</f>
        <v/>
      </c>
      <c r="B1779" s="7" t="str">
        <f>IF(Notes!BZ1775="","",Notes!BZ1775)</f>
        <v/>
      </c>
      <c r="C1779" s="7" t="str">
        <f>IF(Notes!CA1775="","",Notes!CA1775)</f>
        <v/>
      </c>
      <c r="D1779" s="7" t="str">
        <f>IF(Notes!CB1775="","",Notes!CB1775)</f>
        <v/>
      </c>
      <c r="E1779" s="7" t="str">
        <f>IF(Notes!CC1775="","",Notes!CC1775)</f>
        <v/>
      </c>
      <c r="F1779" s="7" t="str">
        <f>IF(Notes!CD1775="","",Notes!CD1775)</f>
        <v/>
      </c>
      <c r="G1779" s="7" t="str">
        <f>IF(Notes!CE1775="","",Notes!CE1775)</f>
        <v/>
      </c>
      <c r="H1779" s="7" t="str">
        <f>IF(Notes!CF1775="","",Notes!CF1775)</f>
        <v/>
      </c>
      <c r="I1779" s="7"/>
      <c r="J1779" s="7"/>
      <c r="K1779" s="7"/>
    </row>
    <row r="1780" spans="1:11" x14ac:dyDescent="0.35">
      <c r="A1780" s="7" t="str">
        <f>IF(Notes!BY1776="","",Notes!BY1776)</f>
        <v/>
      </c>
      <c r="B1780" s="7" t="str">
        <f>IF(Notes!BZ1776="","",Notes!BZ1776)</f>
        <v/>
      </c>
      <c r="C1780" s="7" t="str">
        <f>IF(Notes!CA1776="","",Notes!CA1776)</f>
        <v/>
      </c>
      <c r="D1780" s="7" t="str">
        <f>IF(Notes!CB1776="","",Notes!CB1776)</f>
        <v/>
      </c>
      <c r="E1780" s="7" t="str">
        <f>IF(Notes!CC1776="","",Notes!CC1776)</f>
        <v/>
      </c>
      <c r="F1780" s="7" t="str">
        <f>IF(Notes!CD1776="","",Notes!CD1776)</f>
        <v/>
      </c>
      <c r="G1780" s="7" t="str">
        <f>IF(Notes!CE1776="","",Notes!CE1776)</f>
        <v/>
      </c>
      <c r="H1780" s="7" t="str">
        <f>IF(Notes!CF1776="","",Notes!CF1776)</f>
        <v/>
      </c>
      <c r="I1780" s="7"/>
      <c r="J1780" s="7"/>
      <c r="K1780" s="7"/>
    </row>
    <row r="1781" spans="1:11" x14ac:dyDescent="0.35">
      <c r="A1781" s="7" t="str">
        <f>IF(Notes!BY1777="","",Notes!BY1777)</f>
        <v/>
      </c>
      <c r="B1781" s="7" t="str">
        <f>IF(Notes!BZ1777="","",Notes!BZ1777)</f>
        <v/>
      </c>
      <c r="C1781" s="7" t="str">
        <f>IF(Notes!CA1777="","",Notes!CA1777)</f>
        <v/>
      </c>
      <c r="D1781" s="7" t="str">
        <f>IF(Notes!CB1777="","",Notes!CB1777)</f>
        <v/>
      </c>
      <c r="E1781" s="7" t="str">
        <f>IF(Notes!CC1777="","",Notes!CC1777)</f>
        <v/>
      </c>
      <c r="F1781" s="7" t="str">
        <f>IF(Notes!CD1777="","",Notes!CD1777)</f>
        <v/>
      </c>
      <c r="G1781" s="7" t="str">
        <f>IF(Notes!CE1777="","",Notes!CE1777)</f>
        <v/>
      </c>
      <c r="H1781" s="7" t="str">
        <f>IF(Notes!CF1777="","",Notes!CF1777)</f>
        <v/>
      </c>
      <c r="I1781" s="7"/>
      <c r="J1781" s="7"/>
      <c r="K1781" s="7"/>
    </row>
    <row r="1782" spans="1:11" x14ac:dyDescent="0.35">
      <c r="A1782" s="7" t="str">
        <f>IF(Notes!BY1778="","",Notes!BY1778)</f>
        <v/>
      </c>
      <c r="B1782" s="7" t="str">
        <f>IF(Notes!BZ1778="","",Notes!BZ1778)</f>
        <v/>
      </c>
      <c r="C1782" s="7" t="str">
        <f>IF(Notes!CA1778="","",Notes!CA1778)</f>
        <v/>
      </c>
      <c r="D1782" s="7" t="str">
        <f>IF(Notes!CB1778="","",Notes!CB1778)</f>
        <v/>
      </c>
      <c r="E1782" s="7" t="str">
        <f>IF(Notes!CC1778="","",Notes!CC1778)</f>
        <v/>
      </c>
      <c r="F1782" s="7" t="str">
        <f>IF(Notes!CD1778="","",Notes!CD1778)</f>
        <v/>
      </c>
      <c r="G1782" s="7" t="str">
        <f>IF(Notes!CE1778="","",Notes!CE1778)</f>
        <v/>
      </c>
      <c r="H1782" s="7" t="str">
        <f>IF(Notes!CF1778="","",Notes!CF1778)</f>
        <v/>
      </c>
      <c r="I1782" s="7"/>
      <c r="J1782" s="7"/>
      <c r="K1782" s="7"/>
    </row>
    <row r="1783" spans="1:11" x14ac:dyDescent="0.35">
      <c r="A1783" s="7" t="str">
        <f>IF(Notes!BY1779="","",Notes!BY1779)</f>
        <v/>
      </c>
      <c r="B1783" s="7" t="str">
        <f>IF(Notes!BZ1779="","",Notes!BZ1779)</f>
        <v/>
      </c>
      <c r="C1783" s="7" t="str">
        <f>IF(Notes!CA1779="","",Notes!CA1779)</f>
        <v/>
      </c>
      <c r="D1783" s="7" t="str">
        <f>IF(Notes!CB1779="","",Notes!CB1779)</f>
        <v/>
      </c>
      <c r="E1783" s="7" t="str">
        <f>IF(Notes!CC1779="","",Notes!CC1779)</f>
        <v/>
      </c>
      <c r="F1783" s="7" t="str">
        <f>IF(Notes!CD1779="","",Notes!CD1779)</f>
        <v/>
      </c>
      <c r="G1783" s="7" t="str">
        <f>IF(Notes!CE1779="","",Notes!CE1779)</f>
        <v/>
      </c>
      <c r="H1783" s="7" t="str">
        <f>IF(Notes!CF1779="","",Notes!CF1779)</f>
        <v/>
      </c>
      <c r="I1783" s="7"/>
      <c r="J1783" s="7"/>
      <c r="K1783" s="7"/>
    </row>
    <row r="1784" spans="1:11" x14ac:dyDescent="0.35">
      <c r="A1784" s="7" t="str">
        <f>IF(Notes!BY1780="","",Notes!BY1780)</f>
        <v/>
      </c>
      <c r="B1784" s="7" t="str">
        <f>IF(Notes!BZ1780="","",Notes!BZ1780)</f>
        <v/>
      </c>
      <c r="C1784" s="7" t="str">
        <f>IF(Notes!CA1780="","",Notes!CA1780)</f>
        <v/>
      </c>
      <c r="D1784" s="7" t="str">
        <f>IF(Notes!CB1780="","",Notes!CB1780)</f>
        <v/>
      </c>
      <c r="E1784" s="7" t="str">
        <f>IF(Notes!CC1780="","",Notes!CC1780)</f>
        <v/>
      </c>
      <c r="F1784" s="7" t="str">
        <f>IF(Notes!CD1780="","",Notes!CD1780)</f>
        <v/>
      </c>
      <c r="G1784" s="7" t="str">
        <f>IF(Notes!CE1780="","",Notes!CE1780)</f>
        <v/>
      </c>
      <c r="H1784" s="7" t="str">
        <f>IF(Notes!CF1780="","",Notes!CF1780)</f>
        <v/>
      </c>
      <c r="I1784" s="7"/>
      <c r="J1784" s="7"/>
      <c r="K1784" s="7"/>
    </row>
    <row r="1785" spans="1:11" x14ac:dyDescent="0.35">
      <c r="A1785" s="7" t="str">
        <f>IF(Notes!BY1781="","",Notes!BY1781)</f>
        <v/>
      </c>
      <c r="B1785" s="7" t="str">
        <f>IF(Notes!BZ1781="","",Notes!BZ1781)</f>
        <v/>
      </c>
      <c r="C1785" s="7" t="str">
        <f>IF(Notes!CA1781="","",Notes!CA1781)</f>
        <v/>
      </c>
      <c r="D1785" s="7" t="str">
        <f>IF(Notes!CB1781="","",Notes!CB1781)</f>
        <v/>
      </c>
      <c r="E1785" s="7" t="str">
        <f>IF(Notes!CC1781="","",Notes!CC1781)</f>
        <v/>
      </c>
      <c r="F1785" s="7" t="str">
        <f>IF(Notes!CD1781="","",Notes!CD1781)</f>
        <v/>
      </c>
      <c r="G1785" s="7" t="str">
        <f>IF(Notes!CE1781="","",Notes!CE1781)</f>
        <v/>
      </c>
      <c r="H1785" s="7" t="str">
        <f>IF(Notes!CF1781="","",Notes!CF1781)</f>
        <v/>
      </c>
      <c r="I1785" s="7"/>
      <c r="J1785" s="7"/>
      <c r="K1785" s="7"/>
    </row>
    <row r="1786" spans="1:11" x14ac:dyDescent="0.35">
      <c r="A1786" s="7" t="str">
        <f>IF(Notes!BY1782="","",Notes!BY1782)</f>
        <v/>
      </c>
      <c r="B1786" s="7" t="str">
        <f>IF(Notes!BZ1782="","",Notes!BZ1782)</f>
        <v/>
      </c>
      <c r="C1786" s="7" t="str">
        <f>IF(Notes!CA1782="","",Notes!CA1782)</f>
        <v/>
      </c>
      <c r="D1786" s="7" t="str">
        <f>IF(Notes!CB1782="","",Notes!CB1782)</f>
        <v/>
      </c>
      <c r="E1786" s="7" t="str">
        <f>IF(Notes!CC1782="","",Notes!CC1782)</f>
        <v/>
      </c>
      <c r="F1786" s="7" t="str">
        <f>IF(Notes!CD1782="","",Notes!CD1782)</f>
        <v/>
      </c>
      <c r="G1786" s="7" t="str">
        <f>IF(Notes!CE1782="","",Notes!CE1782)</f>
        <v/>
      </c>
      <c r="H1786" s="7" t="str">
        <f>IF(Notes!CF1782="","",Notes!CF1782)</f>
        <v/>
      </c>
      <c r="I1786" s="7"/>
      <c r="J1786" s="7"/>
      <c r="K1786" s="7"/>
    </row>
    <row r="1787" spans="1:11" x14ac:dyDescent="0.35">
      <c r="A1787" s="7" t="str">
        <f>IF(Notes!BY1783="","",Notes!BY1783)</f>
        <v/>
      </c>
      <c r="B1787" s="7" t="str">
        <f>IF(Notes!BZ1783="","",Notes!BZ1783)</f>
        <v/>
      </c>
      <c r="C1787" s="7" t="str">
        <f>IF(Notes!CA1783="","",Notes!CA1783)</f>
        <v/>
      </c>
      <c r="D1787" s="7" t="str">
        <f>IF(Notes!CB1783="","",Notes!CB1783)</f>
        <v/>
      </c>
      <c r="E1787" s="7" t="str">
        <f>IF(Notes!CC1783="","",Notes!CC1783)</f>
        <v/>
      </c>
      <c r="F1787" s="7" t="str">
        <f>IF(Notes!CD1783="","",Notes!CD1783)</f>
        <v/>
      </c>
      <c r="G1787" s="7" t="str">
        <f>IF(Notes!CE1783="","",Notes!CE1783)</f>
        <v/>
      </c>
      <c r="H1787" s="7" t="str">
        <f>IF(Notes!CF1783="","",Notes!CF1783)</f>
        <v/>
      </c>
      <c r="I1787" s="7"/>
      <c r="J1787" s="7"/>
      <c r="K1787" s="7"/>
    </row>
    <row r="1788" spans="1:11" x14ac:dyDescent="0.35">
      <c r="A1788" s="7" t="str">
        <f>IF(Notes!BY1784="","",Notes!BY1784)</f>
        <v/>
      </c>
      <c r="B1788" s="7" t="str">
        <f>IF(Notes!BZ1784="","",Notes!BZ1784)</f>
        <v/>
      </c>
      <c r="C1788" s="7" t="str">
        <f>IF(Notes!CA1784="","",Notes!CA1784)</f>
        <v/>
      </c>
      <c r="D1788" s="7" t="str">
        <f>IF(Notes!CB1784="","",Notes!CB1784)</f>
        <v/>
      </c>
      <c r="E1788" s="7" t="str">
        <f>IF(Notes!CC1784="","",Notes!CC1784)</f>
        <v/>
      </c>
      <c r="F1788" s="7" t="str">
        <f>IF(Notes!CD1784="","",Notes!CD1784)</f>
        <v/>
      </c>
      <c r="G1788" s="7" t="str">
        <f>IF(Notes!CE1784="","",Notes!CE1784)</f>
        <v/>
      </c>
      <c r="H1788" s="7" t="str">
        <f>IF(Notes!CF1784="","",Notes!CF1784)</f>
        <v/>
      </c>
      <c r="I1788" s="7"/>
      <c r="J1788" s="7"/>
      <c r="K1788" s="7"/>
    </row>
    <row r="1789" spans="1:11" x14ac:dyDescent="0.35">
      <c r="A1789" s="7" t="str">
        <f>IF(Notes!BY1785="","",Notes!BY1785)</f>
        <v/>
      </c>
      <c r="B1789" s="7" t="str">
        <f>IF(Notes!BZ1785="","",Notes!BZ1785)</f>
        <v/>
      </c>
      <c r="C1789" s="7" t="str">
        <f>IF(Notes!CA1785="","",Notes!CA1785)</f>
        <v/>
      </c>
      <c r="D1789" s="7" t="str">
        <f>IF(Notes!CB1785="","",Notes!CB1785)</f>
        <v/>
      </c>
      <c r="E1789" s="7" t="str">
        <f>IF(Notes!CC1785="","",Notes!CC1785)</f>
        <v/>
      </c>
      <c r="F1789" s="7" t="str">
        <f>IF(Notes!CD1785="","",Notes!CD1785)</f>
        <v/>
      </c>
      <c r="G1789" s="7" t="str">
        <f>IF(Notes!CE1785="","",Notes!CE1785)</f>
        <v/>
      </c>
      <c r="H1789" s="7" t="str">
        <f>IF(Notes!CF1785="","",Notes!CF1785)</f>
        <v/>
      </c>
      <c r="I1789" s="7"/>
      <c r="J1789" s="7"/>
      <c r="K1789" s="7"/>
    </row>
    <row r="1790" spans="1:11" x14ac:dyDescent="0.35">
      <c r="A1790" s="7" t="str">
        <f>IF(Notes!BY1786="","",Notes!BY1786)</f>
        <v/>
      </c>
      <c r="B1790" s="7" t="str">
        <f>IF(Notes!BZ1786="","",Notes!BZ1786)</f>
        <v/>
      </c>
      <c r="C1790" s="7" t="str">
        <f>IF(Notes!CA1786="","",Notes!CA1786)</f>
        <v/>
      </c>
      <c r="D1790" s="7" t="str">
        <f>IF(Notes!CB1786="","",Notes!CB1786)</f>
        <v/>
      </c>
      <c r="E1790" s="7" t="str">
        <f>IF(Notes!CC1786="","",Notes!CC1786)</f>
        <v/>
      </c>
      <c r="F1790" s="7" t="str">
        <f>IF(Notes!CD1786="","",Notes!CD1786)</f>
        <v/>
      </c>
      <c r="G1790" s="7" t="str">
        <f>IF(Notes!CE1786="","",Notes!CE1786)</f>
        <v/>
      </c>
      <c r="H1790" s="7" t="str">
        <f>IF(Notes!CF1786="","",Notes!CF1786)</f>
        <v/>
      </c>
      <c r="I1790" s="7"/>
      <c r="J1790" s="7"/>
      <c r="K1790" s="7"/>
    </row>
    <row r="1791" spans="1:11" x14ac:dyDescent="0.35">
      <c r="A1791" s="7" t="str">
        <f>IF(Notes!BY1787="","",Notes!BY1787)</f>
        <v/>
      </c>
      <c r="B1791" s="7" t="str">
        <f>IF(Notes!BZ1787="","",Notes!BZ1787)</f>
        <v/>
      </c>
      <c r="C1791" s="7" t="str">
        <f>IF(Notes!CA1787="","",Notes!CA1787)</f>
        <v/>
      </c>
      <c r="D1791" s="7" t="str">
        <f>IF(Notes!CB1787="","",Notes!CB1787)</f>
        <v/>
      </c>
      <c r="E1791" s="7" t="str">
        <f>IF(Notes!CC1787="","",Notes!CC1787)</f>
        <v/>
      </c>
      <c r="F1791" s="7" t="str">
        <f>IF(Notes!CD1787="","",Notes!CD1787)</f>
        <v/>
      </c>
      <c r="G1791" s="7" t="str">
        <f>IF(Notes!CE1787="","",Notes!CE1787)</f>
        <v/>
      </c>
      <c r="H1791" s="7" t="str">
        <f>IF(Notes!CF1787="","",Notes!CF1787)</f>
        <v/>
      </c>
      <c r="I1791" s="7"/>
      <c r="J1791" s="7"/>
      <c r="K1791" s="7"/>
    </row>
    <row r="1792" spans="1:11" x14ac:dyDescent="0.35">
      <c r="A1792" s="7" t="str">
        <f>IF(Notes!BY1788="","",Notes!BY1788)</f>
        <v/>
      </c>
      <c r="B1792" s="7" t="str">
        <f>IF(Notes!BZ1788="","",Notes!BZ1788)</f>
        <v/>
      </c>
      <c r="C1792" s="7" t="str">
        <f>IF(Notes!CA1788="","",Notes!CA1788)</f>
        <v/>
      </c>
      <c r="D1792" s="7" t="str">
        <f>IF(Notes!CB1788="","",Notes!CB1788)</f>
        <v/>
      </c>
      <c r="E1792" s="7" t="str">
        <f>IF(Notes!CC1788="","",Notes!CC1788)</f>
        <v/>
      </c>
      <c r="F1792" s="7" t="str">
        <f>IF(Notes!CD1788="","",Notes!CD1788)</f>
        <v/>
      </c>
      <c r="G1792" s="7" t="str">
        <f>IF(Notes!CE1788="","",Notes!CE1788)</f>
        <v/>
      </c>
      <c r="H1792" s="7" t="str">
        <f>IF(Notes!CF1788="","",Notes!CF1788)</f>
        <v/>
      </c>
      <c r="I1792" s="7"/>
      <c r="J1792" s="7"/>
      <c r="K1792" s="7"/>
    </row>
    <row r="1793" spans="1:11" x14ac:dyDescent="0.35">
      <c r="A1793" s="7" t="str">
        <f>IF(Notes!BY1789="","",Notes!BY1789)</f>
        <v/>
      </c>
      <c r="B1793" s="7" t="str">
        <f>IF(Notes!BZ1789="","",Notes!BZ1789)</f>
        <v/>
      </c>
      <c r="C1793" s="7" t="str">
        <f>IF(Notes!CA1789="","",Notes!CA1789)</f>
        <v/>
      </c>
      <c r="D1793" s="7" t="str">
        <f>IF(Notes!CB1789="","",Notes!CB1789)</f>
        <v/>
      </c>
      <c r="E1793" s="7" t="str">
        <f>IF(Notes!CC1789="","",Notes!CC1789)</f>
        <v/>
      </c>
      <c r="F1793" s="7" t="str">
        <f>IF(Notes!CD1789="","",Notes!CD1789)</f>
        <v/>
      </c>
      <c r="G1793" s="7" t="str">
        <f>IF(Notes!CE1789="","",Notes!CE1789)</f>
        <v/>
      </c>
      <c r="H1793" s="7" t="str">
        <f>IF(Notes!CF1789="","",Notes!CF1789)</f>
        <v/>
      </c>
      <c r="I1793" s="7"/>
      <c r="J1793" s="7"/>
      <c r="K1793" s="7"/>
    </row>
    <row r="1794" spans="1:11" x14ac:dyDescent="0.35">
      <c r="A1794" s="7" t="str">
        <f>IF(Notes!BY1790="","",Notes!BY1790)</f>
        <v/>
      </c>
      <c r="B1794" s="7" t="str">
        <f>IF(Notes!BZ1790="","",Notes!BZ1790)</f>
        <v/>
      </c>
      <c r="C1794" s="7" t="str">
        <f>IF(Notes!CA1790="","",Notes!CA1790)</f>
        <v/>
      </c>
      <c r="D1794" s="7" t="str">
        <f>IF(Notes!CB1790="","",Notes!CB1790)</f>
        <v/>
      </c>
      <c r="E1794" s="7" t="str">
        <f>IF(Notes!CC1790="","",Notes!CC1790)</f>
        <v/>
      </c>
      <c r="F1794" s="7" t="str">
        <f>IF(Notes!CD1790="","",Notes!CD1790)</f>
        <v/>
      </c>
      <c r="G1794" s="7" t="str">
        <f>IF(Notes!CE1790="","",Notes!CE1790)</f>
        <v/>
      </c>
      <c r="H1794" s="7" t="str">
        <f>IF(Notes!CF1790="","",Notes!CF1790)</f>
        <v/>
      </c>
      <c r="I1794" s="7"/>
      <c r="J1794" s="7"/>
      <c r="K1794" s="7"/>
    </row>
    <row r="1795" spans="1:11" x14ac:dyDescent="0.35">
      <c r="A1795" s="7" t="str">
        <f>IF(Notes!BY1791="","",Notes!BY1791)</f>
        <v/>
      </c>
      <c r="B1795" s="7" t="str">
        <f>IF(Notes!BZ1791="","",Notes!BZ1791)</f>
        <v/>
      </c>
      <c r="C1795" s="7" t="str">
        <f>IF(Notes!CA1791="","",Notes!CA1791)</f>
        <v/>
      </c>
      <c r="D1795" s="7" t="str">
        <f>IF(Notes!CB1791="","",Notes!CB1791)</f>
        <v/>
      </c>
      <c r="E1795" s="7" t="str">
        <f>IF(Notes!CC1791="","",Notes!CC1791)</f>
        <v/>
      </c>
      <c r="F1795" s="7" t="str">
        <f>IF(Notes!CD1791="","",Notes!CD1791)</f>
        <v/>
      </c>
      <c r="G1795" s="7" t="str">
        <f>IF(Notes!CE1791="","",Notes!CE1791)</f>
        <v/>
      </c>
      <c r="H1795" s="7" t="str">
        <f>IF(Notes!CF1791="","",Notes!CF1791)</f>
        <v/>
      </c>
      <c r="I1795" s="7"/>
      <c r="J1795" s="7"/>
      <c r="K1795" s="7"/>
    </row>
    <row r="1796" spans="1:11" x14ac:dyDescent="0.35">
      <c r="A1796" s="7" t="str">
        <f>IF(Notes!BY1792="","",Notes!BY1792)</f>
        <v/>
      </c>
      <c r="B1796" s="7" t="str">
        <f>IF(Notes!BZ1792="","",Notes!BZ1792)</f>
        <v/>
      </c>
      <c r="C1796" s="7" t="str">
        <f>IF(Notes!CA1792="","",Notes!CA1792)</f>
        <v/>
      </c>
      <c r="D1796" s="7" t="str">
        <f>IF(Notes!CB1792="","",Notes!CB1792)</f>
        <v/>
      </c>
      <c r="E1796" s="7" t="str">
        <f>IF(Notes!CC1792="","",Notes!CC1792)</f>
        <v/>
      </c>
      <c r="F1796" s="7" t="str">
        <f>IF(Notes!CD1792="","",Notes!CD1792)</f>
        <v/>
      </c>
      <c r="G1796" s="7" t="str">
        <f>IF(Notes!CE1792="","",Notes!CE1792)</f>
        <v/>
      </c>
      <c r="H1796" s="7" t="str">
        <f>IF(Notes!CF1792="","",Notes!CF1792)</f>
        <v/>
      </c>
      <c r="I1796" s="7"/>
      <c r="J1796" s="7"/>
      <c r="K1796" s="7"/>
    </row>
    <row r="1797" spans="1:11" x14ac:dyDescent="0.35">
      <c r="A1797" s="7" t="str">
        <f>IF(Notes!BY1793="","",Notes!BY1793)</f>
        <v/>
      </c>
      <c r="B1797" s="7" t="str">
        <f>IF(Notes!BZ1793="","",Notes!BZ1793)</f>
        <v/>
      </c>
      <c r="C1797" s="7" t="str">
        <f>IF(Notes!CA1793="","",Notes!CA1793)</f>
        <v/>
      </c>
      <c r="D1797" s="7" t="str">
        <f>IF(Notes!CB1793="","",Notes!CB1793)</f>
        <v/>
      </c>
      <c r="E1797" s="7" t="str">
        <f>IF(Notes!CC1793="","",Notes!CC1793)</f>
        <v/>
      </c>
      <c r="F1797" s="7" t="str">
        <f>IF(Notes!CD1793="","",Notes!CD1793)</f>
        <v/>
      </c>
      <c r="G1797" s="7" t="str">
        <f>IF(Notes!CE1793="","",Notes!CE1793)</f>
        <v/>
      </c>
      <c r="H1797" s="7" t="str">
        <f>IF(Notes!CF1793="","",Notes!CF1793)</f>
        <v/>
      </c>
      <c r="I1797" s="7"/>
      <c r="J1797" s="7"/>
      <c r="K1797" s="7"/>
    </row>
    <row r="1798" spans="1:11" x14ac:dyDescent="0.35">
      <c r="A1798" s="7" t="str">
        <f>IF(Notes!BY1794="","",Notes!BY1794)</f>
        <v/>
      </c>
      <c r="B1798" s="7" t="str">
        <f>IF(Notes!BZ1794="","",Notes!BZ1794)</f>
        <v/>
      </c>
      <c r="C1798" s="7" t="str">
        <f>IF(Notes!CA1794="","",Notes!CA1794)</f>
        <v/>
      </c>
      <c r="D1798" s="7" t="str">
        <f>IF(Notes!CB1794="","",Notes!CB1794)</f>
        <v/>
      </c>
      <c r="E1798" s="7" t="str">
        <f>IF(Notes!CC1794="","",Notes!CC1794)</f>
        <v/>
      </c>
      <c r="F1798" s="7" t="str">
        <f>IF(Notes!CD1794="","",Notes!CD1794)</f>
        <v/>
      </c>
      <c r="G1798" s="7" t="str">
        <f>IF(Notes!CE1794="","",Notes!CE1794)</f>
        <v/>
      </c>
      <c r="H1798" s="7" t="str">
        <f>IF(Notes!CF1794="","",Notes!CF1794)</f>
        <v/>
      </c>
      <c r="I1798" s="7"/>
      <c r="J1798" s="7"/>
      <c r="K1798" s="7"/>
    </row>
    <row r="1799" spans="1:11" x14ac:dyDescent="0.35">
      <c r="A1799" s="7" t="str">
        <f>IF(Notes!BY1795="","",Notes!BY1795)</f>
        <v/>
      </c>
      <c r="B1799" s="7" t="str">
        <f>IF(Notes!BZ1795="","",Notes!BZ1795)</f>
        <v/>
      </c>
      <c r="C1799" s="7" t="str">
        <f>IF(Notes!CA1795="","",Notes!CA1795)</f>
        <v/>
      </c>
      <c r="D1799" s="7" t="str">
        <f>IF(Notes!CB1795="","",Notes!CB1795)</f>
        <v/>
      </c>
      <c r="E1799" s="7" t="str">
        <f>IF(Notes!CC1795="","",Notes!CC1795)</f>
        <v/>
      </c>
      <c r="F1799" s="7" t="str">
        <f>IF(Notes!CD1795="","",Notes!CD1795)</f>
        <v/>
      </c>
      <c r="G1799" s="7" t="str">
        <f>IF(Notes!CE1795="","",Notes!CE1795)</f>
        <v/>
      </c>
      <c r="H1799" s="7" t="str">
        <f>IF(Notes!CF1795="","",Notes!CF1795)</f>
        <v/>
      </c>
      <c r="I1799" s="7"/>
      <c r="J1799" s="7"/>
      <c r="K1799" s="7"/>
    </row>
    <row r="1800" spans="1:11" x14ac:dyDescent="0.35">
      <c r="A1800" s="7" t="str">
        <f>IF(Notes!BY1796="","",Notes!BY1796)</f>
        <v/>
      </c>
      <c r="B1800" s="7" t="str">
        <f>IF(Notes!BZ1796="","",Notes!BZ1796)</f>
        <v/>
      </c>
      <c r="C1800" s="7" t="str">
        <f>IF(Notes!CA1796="","",Notes!CA1796)</f>
        <v/>
      </c>
      <c r="D1800" s="7" t="str">
        <f>IF(Notes!CB1796="","",Notes!CB1796)</f>
        <v/>
      </c>
      <c r="E1800" s="7" t="str">
        <f>IF(Notes!CC1796="","",Notes!CC1796)</f>
        <v/>
      </c>
      <c r="F1800" s="7" t="str">
        <f>IF(Notes!CD1796="","",Notes!CD1796)</f>
        <v/>
      </c>
      <c r="G1800" s="7" t="str">
        <f>IF(Notes!CE1796="","",Notes!CE1796)</f>
        <v/>
      </c>
      <c r="H1800" s="7" t="str">
        <f>IF(Notes!CF1796="","",Notes!CF1796)</f>
        <v/>
      </c>
      <c r="I1800" s="7"/>
      <c r="J1800" s="7"/>
      <c r="K1800" s="7"/>
    </row>
    <row r="1801" spans="1:11" x14ac:dyDescent="0.35">
      <c r="A1801" s="7" t="str">
        <f>IF(Notes!BY1797="","",Notes!BY1797)</f>
        <v/>
      </c>
      <c r="B1801" s="7" t="str">
        <f>IF(Notes!BZ1797="","",Notes!BZ1797)</f>
        <v/>
      </c>
      <c r="C1801" s="7" t="str">
        <f>IF(Notes!CA1797="","",Notes!CA1797)</f>
        <v/>
      </c>
      <c r="D1801" s="7" t="str">
        <f>IF(Notes!CB1797="","",Notes!CB1797)</f>
        <v/>
      </c>
      <c r="E1801" s="7" t="str">
        <f>IF(Notes!CC1797="","",Notes!CC1797)</f>
        <v/>
      </c>
      <c r="F1801" s="7" t="str">
        <f>IF(Notes!CD1797="","",Notes!CD1797)</f>
        <v/>
      </c>
      <c r="G1801" s="7" t="str">
        <f>IF(Notes!CE1797="","",Notes!CE1797)</f>
        <v/>
      </c>
      <c r="H1801" s="7" t="str">
        <f>IF(Notes!CF1797="","",Notes!CF1797)</f>
        <v/>
      </c>
      <c r="I1801" s="7"/>
      <c r="J1801" s="7"/>
      <c r="K1801" s="7"/>
    </row>
    <row r="1802" spans="1:11" x14ac:dyDescent="0.35">
      <c r="A1802" s="7" t="str">
        <f>IF(Notes!BY1798="","",Notes!BY1798)</f>
        <v/>
      </c>
      <c r="B1802" s="7" t="str">
        <f>IF(Notes!BZ1798="","",Notes!BZ1798)</f>
        <v/>
      </c>
      <c r="C1802" s="7" t="str">
        <f>IF(Notes!CA1798="","",Notes!CA1798)</f>
        <v/>
      </c>
      <c r="D1802" s="7" t="str">
        <f>IF(Notes!CB1798="","",Notes!CB1798)</f>
        <v/>
      </c>
      <c r="E1802" s="7" t="str">
        <f>IF(Notes!CC1798="","",Notes!CC1798)</f>
        <v/>
      </c>
      <c r="F1802" s="7" t="str">
        <f>IF(Notes!CD1798="","",Notes!CD1798)</f>
        <v/>
      </c>
      <c r="G1802" s="7" t="str">
        <f>IF(Notes!CE1798="","",Notes!CE1798)</f>
        <v/>
      </c>
      <c r="H1802" s="7" t="str">
        <f>IF(Notes!CF1798="","",Notes!CF1798)</f>
        <v/>
      </c>
      <c r="I1802" s="7"/>
      <c r="J1802" s="7"/>
      <c r="K1802" s="7"/>
    </row>
    <row r="1803" spans="1:11" x14ac:dyDescent="0.35">
      <c r="A1803" s="7" t="str">
        <f>IF(Notes!BY1799="","",Notes!BY1799)</f>
        <v/>
      </c>
      <c r="B1803" s="7" t="str">
        <f>IF(Notes!BZ1799="","",Notes!BZ1799)</f>
        <v/>
      </c>
      <c r="C1803" s="7" t="str">
        <f>IF(Notes!CA1799="","",Notes!CA1799)</f>
        <v/>
      </c>
      <c r="D1803" s="7" t="str">
        <f>IF(Notes!CB1799="","",Notes!CB1799)</f>
        <v/>
      </c>
      <c r="E1803" s="7" t="str">
        <f>IF(Notes!CC1799="","",Notes!CC1799)</f>
        <v/>
      </c>
      <c r="F1803" s="7" t="str">
        <f>IF(Notes!CD1799="","",Notes!CD1799)</f>
        <v/>
      </c>
      <c r="G1803" s="7" t="str">
        <f>IF(Notes!CE1799="","",Notes!CE1799)</f>
        <v/>
      </c>
      <c r="H1803" s="7" t="str">
        <f>IF(Notes!CF1799="","",Notes!CF1799)</f>
        <v/>
      </c>
      <c r="I1803" s="7"/>
      <c r="J1803" s="7"/>
      <c r="K1803" s="7"/>
    </row>
    <row r="1804" spans="1:11" x14ac:dyDescent="0.35">
      <c r="A1804" s="7" t="str">
        <f>IF(Notes!BY1800="","",Notes!BY1800)</f>
        <v/>
      </c>
      <c r="B1804" s="7" t="str">
        <f>IF(Notes!BZ1800="","",Notes!BZ1800)</f>
        <v/>
      </c>
      <c r="C1804" s="7" t="str">
        <f>IF(Notes!CA1800="","",Notes!CA1800)</f>
        <v/>
      </c>
      <c r="D1804" s="7" t="str">
        <f>IF(Notes!CB1800="","",Notes!CB1800)</f>
        <v/>
      </c>
      <c r="E1804" s="7" t="str">
        <f>IF(Notes!CC1800="","",Notes!CC1800)</f>
        <v/>
      </c>
      <c r="F1804" s="7" t="str">
        <f>IF(Notes!CD1800="","",Notes!CD1800)</f>
        <v/>
      </c>
      <c r="G1804" s="7" t="str">
        <f>IF(Notes!CE1800="","",Notes!CE1800)</f>
        <v/>
      </c>
      <c r="H1804" s="7" t="str">
        <f>IF(Notes!CF1800="","",Notes!CF1800)</f>
        <v/>
      </c>
      <c r="I1804" s="7"/>
      <c r="J1804" s="7"/>
      <c r="K1804" s="7"/>
    </row>
    <row r="1805" spans="1:11" x14ac:dyDescent="0.35">
      <c r="A1805" s="7" t="str">
        <f>IF(Notes!BY1801="","",Notes!BY1801)</f>
        <v/>
      </c>
      <c r="B1805" s="7" t="str">
        <f>IF(Notes!BZ1801="","",Notes!BZ1801)</f>
        <v/>
      </c>
      <c r="C1805" s="7" t="str">
        <f>IF(Notes!CA1801="","",Notes!CA1801)</f>
        <v/>
      </c>
      <c r="D1805" s="7" t="str">
        <f>IF(Notes!CB1801="","",Notes!CB1801)</f>
        <v/>
      </c>
      <c r="E1805" s="7" t="str">
        <f>IF(Notes!CC1801="","",Notes!CC1801)</f>
        <v/>
      </c>
      <c r="F1805" s="7" t="str">
        <f>IF(Notes!CD1801="","",Notes!CD1801)</f>
        <v/>
      </c>
      <c r="G1805" s="7" t="str">
        <f>IF(Notes!CE1801="","",Notes!CE1801)</f>
        <v/>
      </c>
      <c r="H1805" s="7" t="str">
        <f>IF(Notes!CF1801="","",Notes!CF1801)</f>
        <v/>
      </c>
      <c r="I1805" s="7"/>
      <c r="J1805" s="7"/>
      <c r="K1805" s="7"/>
    </row>
    <row r="1806" spans="1:11" x14ac:dyDescent="0.35">
      <c r="A1806" s="7" t="str">
        <f>IF(Notes!BY1802="","",Notes!BY1802)</f>
        <v/>
      </c>
      <c r="B1806" s="7" t="str">
        <f>IF(Notes!BZ1802="","",Notes!BZ1802)</f>
        <v/>
      </c>
      <c r="C1806" s="7" t="str">
        <f>IF(Notes!CA1802="","",Notes!CA1802)</f>
        <v/>
      </c>
      <c r="D1806" s="7" t="str">
        <f>IF(Notes!CB1802="","",Notes!CB1802)</f>
        <v/>
      </c>
      <c r="E1806" s="7" t="str">
        <f>IF(Notes!CC1802="","",Notes!CC1802)</f>
        <v/>
      </c>
      <c r="F1806" s="7" t="str">
        <f>IF(Notes!CD1802="","",Notes!CD1802)</f>
        <v/>
      </c>
      <c r="G1806" s="7" t="str">
        <f>IF(Notes!CE1802="","",Notes!CE1802)</f>
        <v/>
      </c>
      <c r="H1806" s="7" t="str">
        <f>IF(Notes!CF1802="","",Notes!CF1802)</f>
        <v/>
      </c>
      <c r="I1806" s="7"/>
      <c r="J1806" s="7"/>
      <c r="K1806" s="7"/>
    </row>
    <row r="1807" spans="1:11" x14ac:dyDescent="0.35">
      <c r="A1807" s="7" t="str">
        <f>IF(Notes!BY1803="","",Notes!BY1803)</f>
        <v/>
      </c>
      <c r="B1807" s="7" t="str">
        <f>IF(Notes!BZ1803="","",Notes!BZ1803)</f>
        <v/>
      </c>
      <c r="C1807" s="7" t="str">
        <f>IF(Notes!CA1803="","",Notes!CA1803)</f>
        <v/>
      </c>
      <c r="D1807" s="7" t="str">
        <f>IF(Notes!CB1803="","",Notes!CB1803)</f>
        <v/>
      </c>
      <c r="E1807" s="7" t="str">
        <f>IF(Notes!CC1803="","",Notes!CC1803)</f>
        <v/>
      </c>
      <c r="F1807" s="7" t="str">
        <f>IF(Notes!CD1803="","",Notes!CD1803)</f>
        <v/>
      </c>
      <c r="G1807" s="7" t="str">
        <f>IF(Notes!CE1803="","",Notes!CE1803)</f>
        <v/>
      </c>
      <c r="H1807" s="7" t="str">
        <f>IF(Notes!CF1803="","",Notes!CF1803)</f>
        <v/>
      </c>
      <c r="I1807" s="7"/>
      <c r="J1807" s="7"/>
      <c r="K1807" s="7"/>
    </row>
    <row r="1808" spans="1:11" x14ac:dyDescent="0.35">
      <c r="A1808" s="7" t="str">
        <f>IF(Notes!BY1804="","",Notes!BY1804)</f>
        <v/>
      </c>
      <c r="B1808" s="7" t="str">
        <f>IF(Notes!BZ1804="","",Notes!BZ1804)</f>
        <v/>
      </c>
      <c r="C1808" s="7" t="str">
        <f>IF(Notes!CA1804="","",Notes!CA1804)</f>
        <v/>
      </c>
      <c r="D1808" s="7" t="str">
        <f>IF(Notes!CB1804="","",Notes!CB1804)</f>
        <v/>
      </c>
      <c r="E1808" s="7" t="str">
        <f>IF(Notes!CC1804="","",Notes!CC1804)</f>
        <v/>
      </c>
      <c r="F1808" s="7" t="str">
        <f>IF(Notes!CD1804="","",Notes!CD1804)</f>
        <v/>
      </c>
      <c r="G1808" s="7" t="str">
        <f>IF(Notes!CE1804="","",Notes!CE1804)</f>
        <v/>
      </c>
      <c r="H1808" s="7" t="str">
        <f>IF(Notes!CF1804="","",Notes!CF1804)</f>
        <v/>
      </c>
      <c r="I1808" s="7"/>
      <c r="J1808" s="7"/>
      <c r="K1808" s="7"/>
    </row>
    <row r="1809" spans="1:11" x14ac:dyDescent="0.35">
      <c r="A1809" s="7" t="str">
        <f>IF(Notes!BY1805="","",Notes!BY1805)</f>
        <v/>
      </c>
      <c r="B1809" s="7" t="str">
        <f>IF(Notes!BZ1805="","",Notes!BZ1805)</f>
        <v/>
      </c>
      <c r="C1809" s="7" t="str">
        <f>IF(Notes!CA1805="","",Notes!CA1805)</f>
        <v/>
      </c>
      <c r="D1809" s="7" t="str">
        <f>IF(Notes!CB1805="","",Notes!CB1805)</f>
        <v/>
      </c>
      <c r="E1809" s="7" t="str">
        <f>IF(Notes!CC1805="","",Notes!CC1805)</f>
        <v/>
      </c>
      <c r="F1809" s="7" t="str">
        <f>IF(Notes!CD1805="","",Notes!CD1805)</f>
        <v/>
      </c>
      <c r="G1809" s="7" t="str">
        <f>IF(Notes!CE1805="","",Notes!CE1805)</f>
        <v/>
      </c>
      <c r="H1809" s="7" t="str">
        <f>IF(Notes!CF1805="","",Notes!CF1805)</f>
        <v/>
      </c>
      <c r="I1809" s="7"/>
      <c r="J1809" s="7"/>
      <c r="K1809" s="7"/>
    </row>
    <row r="1810" spans="1:11" x14ac:dyDescent="0.35">
      <c r="A1810" s="7" t="str">
        <f>IF(Notes!BY1806="","",Notes!BY1806)</f>
        <v/>
      </c>
      <c r="B1810" s="7" t="str">
        <f>IF(Notes!BZ1806="","",Notes!BZ1806)</f>
        <v/>
      </c>
      <c r="C1810" s="7" t="str">
        <f>IF(Notes!CA1806="","",Notes!CA1806)</f>
        <v/>
      </c>
      <c r="D1810" s="7" t="str">
        <f>IF(Notes!CB1806="","",Notes!CB1806)</f>
        <v/>
      </c>
      <c r="E1810" s="7" t="str">
        <f>IF(Notes!CC1806="","",Notes!CC1806)</f>
        <v/>
      </c>
      <c r="F1810" s="7" t="str">
        <f>IF(Notes!CD1806="","",Notes!CD1806)</f>
        <v/>
      </c>
      <c r="G1810" s="7" t="str">
        <f>IF(Notes!CE1806="","",Notes!CE1806)</f>
        <v/>
      </c>
      <c r="H1810" s="7" t="str">
        <f>IF(Notes!CF1806="","",Notes!CF1806)</f>
        <v/>
      </c>
      <c r="I1810" s="7"/>
      <c r="J1810" s="7"/>
      <c r="K1810" s="7"/>
    </row>
    <row r="1811" spans="1:11" x14ac:dyDescent="0.35">
      <c r="A1811" s="7" t="str">
        <f>IF(Notes!BY1807="","",Notes!BY1807)</f>
        <v/>
      </c>
      <c r="B1811" s="7" t="str">
        <f>IF(Notes!BZ1807="","",Notes!BZ1807)</f>
        <v/>
      </c>
      <c r="C1811" s="7" t="str">
        <f>IF(Notes!CA1807="","",Notes!CA1807)</f>
        <v/>
      </c>
      <c r="D1811" s="7" t="str">
        <f>IF(Notes!CB1807="","",Notes!CB1807)</f>
        <v/>
      </c>
      <c r="E1811" s="7" t="str">
        <f>IF(Notes!CC1807="","",Notes!CC1807)</f>
        <v/>
      </c>
      <c r="F1811" s="7" t="str">
        <f>IF(Notes!CD1807="","",Notes!CD1807)</f>
        <v/>
      </c>
      <c r="G1811" s="7" t="str">
        <f>IF(Notes!CE1807="","",Notes!CE1807)</f>
        <v/>
      </c>
      <c r="H1811" s="7" t="str">
        <f>IF(Notes!CF1807="","",Notes!CF1807)</f>
        <v/>
      </c>
      <c r="I1811" s="7"/>
      <c r="J1811" s="7"/>
      <c r="K1811" s="7"/>
    </row>
    <row r="1812" spans="1:11" x14ac:dyDescent="0.35">
      <c r="A1812" s="7" t="str">
        <f>IF(Notes!BY1808="","",Notes!BY1808)</f>
        <v/>
      </c>
      <c r="B1812" s="7" t="str">
        <f>IF(Notes!BZ1808="","",Notes!BZ1808)</f>
        <v/>
      </c>
      <c r="C1812" s="7" t="str">
        <f>IF(Notes!CA1808="","",Notes!CA1808)</f>
        <v/>
      </c>
      <c r="D1812" s="7" t="str">
        <f>IF(Notes!CB1808="","",Notes!CB1808)</f>
        <v/>
      </c>
      <c r="E1812" s="7" t="str">
        <f>IF(Notes!CC1808="","",Notes!CC1808)</f>
        <v/>
      </c>
      <c r="F1812" s="7" t="str">
        <f>IF(Notes!CD1808="","",Notes!CD1808)</f>
        <v/>
      </c>
      <c r="G1812" s="7" t="str">
        <f>IF(Notes!CE1808="","",Notes!CE1808)</f>
        <v/>
      </c>
      <c r="H1812" s="7" t="str">
        <f>IF(Notes!CF1808="","",Notes!CF1808)</f>
        <v/>
      </c>
      <c r="I1812" s="7"/>
      <c r="J1812" s="7"/>
      <c r="K1812" s="7"/>
    </row>
    <row r="1813" spans="1:11" x14ac:dyDescent="0.35">
      <c r="A1813" s="7" t="str">
        <f>IF(Notes!BY1809="","",Notes!BY1809)</f>
        <v/>
      </c>
      <c r="B1813" s="7" t="str">
        <f>IF(Notes!BZ1809="","",Notes!BZ1809)</f>
        <v/>
      </c>
      <c r="C1813" s="7" t="str">
        <f>IF(Notes!CA1809="","",Notes!CA1809)</f>
        <v/>
      </c>
      <c r="D1813" s="7" t="str">
        <f>IF(Notes!CB1809="","",Notes!CB1809)</f>
        <v/>
      </c>
      <c r="E1813" s="7" t="str">
        <f>IF(Notes!CC1809="","",Notes!CC1809)</f>
        <v/>
      </c>
      <c r="F1813" s="7" t="str">
        <f>IF(Notes!CD1809="","",Notes!CD1809)</f>
        <v/>
      </c>
      <c r="G1813" s="7" t="str">
        <f>IF(Notes!CE1809="","",Notes!CE1809)</f>
        <v/>
      </c>
      <c r="H1813" s="7" t="str">
        <f>IF(Notes!CF1809="","",Notes!CF1809)</f>
        <v/>
      </c>
      <c r="I1813" s="7"/>
      <c r="J1813" s="7"/>
      <c r="K1813" s="7"/>
    </row>
    <row r="1814" spans="1:11" x14ac:dyDescent="0.35">
      <c r="A1814" s="7" t="str">
        <f>IF(Notes!BY1810="","",Notes!BY1810)</f>
        <v/>
      </c>
      <c r="B1814" s="7" t="str">
        <f>IF(Notes!BZ1810="","",Notes!BZ1810)</f>
        <v/>
      </c>
      <c r="C1814" s="7" t="str">
        <f>IF(Notes!CA1810="","",Notes!CA1810)</f>
        <v/>
      </c>
      <c r="D1814" s="7" t="str">
        <f>IF(Notes!CB1810="","",Notes!CB1810)</f>
        <v/>
      </c>
      <c r="E1814" s="7" t="str">
        <f>IF(Notes!CC1810="","",Notes!CC1810)</f>
        <v/>
      </c>
      <c r="F1814" s="7" t="str">
        <f>IF(Notes!CD1810="","",Notes!CD1810)</f>
        <v/>
      </c>
      <c r="G1814" s="7" t="str">
        <f>IF(Notes!CE1810="","",Notes!CE1810)</f>
        <v/>
      </c>
      <c r="H1814" s="7" t="str">
        <f>IF(Notes!CF1810="","",Notes!CF1810)</f>
        <v/>
      </c>
      <c r="I1814" s="7"/>
      <c r="J1814" s="7"/>
      <c r="K1814" s="7"/>
    </row>
    <row r="1815" spans="1:11" x14ac:dyDescent="0.35">
      <c r="A1815" s="7" t="str">
        <f>IF(Notes!BY1811="","",Notes!BY1811)</f>
        <v/>
      </c>
      <c r="B1815" s="7" t="str">
        <f>IF(Notes!BZ1811="","",Notes!BZ1811)</f>
        <v/>
      </c>
      <c r="C1815" s="7" t="str">
        <f>IF(Notes!CA1811="","",Notes!CA1811)</f>
        <v/>
      </c>
      <c r="D1815" s="7" t="str">
        <f>IF(Notes!CB1811="","",Notes!CB1811)</f>
        <v/>
      </c>
      <c r="E1815" s="7" t="str">
        <f>IF(Notes!CC1811="","",Notes!CC1811)</f>
        <v/>
      </c>
      <c r="F1815" s="7" t="str">
        <f>IF(Notes!CD1811="","",Notes!CD1811)</f>
        <v/>
      </c>
      <c r="G1815" s="7" t="str">
        <f>IF(Notes!CE1811="","",Notes!CE1811)</f>
        <v/>
      </c>
      <c r="H1815" s="7" t="str">
        <f>IF(Notes!CF1811="","",Notes!CF1811)</f>
        <v/>
      </c>
      <c r="I1815" s="7"/>
      <c r="J1815" s="7"/>
      <c r="K1815" s="7"/>
    </row>
    <row r="1816" spans="1:11" x14ac:dyDescent="0.35">
      <c r="A1816" s="7" t="str">
        <f>IF(Notes!BY1812="","",Notes!BY1812)</f>
        <v/>
      </c>
      <c r="B1816" s="7" t="str">
        <f>IF(Notes!BZ1812="","",Notes!BZ1812)</f>
        <v/>
      </c>
      <c r="C1816" s="7" t="str">
        <f>IF(Notes!CA1812="","",Notes!CA1812)</f>
        <v/>
      </c>
      <c r="D1816" s="7" t="str">
        <f>IF(Notes!CB1812="","",Notes!CB1812)</f>
        <v/>
      </c>
      <c r="E1816" s="7" t="str">
        <f>IF(Notes!CC1812="","",Notes!CC1812)</f>
        <v/>
      </c>
      <c r="F1816" s="7" t="str">
        <f>IF(Notes!CD1812="","",Notes!CD1812)</f>
        <v/>
      </c>
      <c r="G1816" s="7" t="str">
        <f>IF(Notes!CE1812="","",Notes!CE1812)</f>
        <v/>
      </c>
      <c r="H1816" s="7" t="str">
        <f>IF(Notes!CF1812="","",Notes!CF1812)</f>
        <v/>
      </c>
      <c r="I1816" s="7"/>
      <c r="J1816" s="7"/>
      <c r="K1816" s="7"/>
    </row>
    <row r="1817" spans="1:11" x14ac:dyDescent="0.35">
      <c r="A1817" s="7" t="str">
        <f>IF(Notes!BY1813="","",Notes!BY1813)</f>
        <v/>
      </c>
      <c r="B1817" s="7" t="str">
        <f>IF(Notes!BZ1813="","",Notes!BZ1813)</f>
        <v/>
      </c>
      <c r="C1817" s="7" t="str">
        <f>IF(Notes!CA1813="","",Notes!CA1813)</f>
        <v/>
      </c>
      <c r="D1817" s="7" t="str">
        <f>IF(Notes!CB1813="","",Notes!CB1813)</f>
        <v/>
      </c>
      <c r="E1817" s="7" t="str">
        <f>IF(Notes!CC1813="","",Notes!CC1813)</f>
        <v/>
      </c>
      <c r="F1817" s="7" t="str">
        <f>IF(Notes!CD1813="","",Notes!CD1813)</f>
        <v/>
      </c>
      <c r="G1817" s="7" t="str">
        <f>IF(Notes!CE1813="","",Notes!CE1813)</f>
        <v/>
      </c>
      <c r="H1817" s="7" t="str">
        <f>IF(Notes!CF1813="","",Notes!CF1813)</f>
        <v/>
      </c>
      <c r="I1817" s="7"/>
      <c r="J1817" s="7"/>
      <c r="K1817" s="7"/>
    </row>
    <row r="1818" spans="1:11" x14ac:dyDescent="0.35">
      <c r="A1818" s="7" t="str">
        <f>IF(Notes!BY1814="","",Notes!BY1814)</f>
        <v/>
      </c>
      <c r="B1818" s="7" t="str">
        <f>IF(Notes!BZ1814="","",Notes!BZ1814)</f>
        <v/>
      </c>
      <c r="C1818" s="7" t="str">
        <f>IF(Notes!CA1814="","",Notes!CA1814)</f>
        <v/>
      </c>
      <c r="D1818" s="7" t="str">
        <f>IF(Notes!CB1814="","",Notes!CB1814)</f>
        <v/>
      </c>
      <c r="E1818" s="7" t="str">
        <f>IF(Notes!CC1814="","",Notes!CC1814)</f>
        <v/>
      </c>
      <c r="F1818" s="7" t="str">
        <f>IF(Notes!CD1814="","",Notes!CD1814)</f>
        <v/>
      </c>
      <c r="G1818" s="7" t="str">
        <f>IF(Notes!CE1814="","",Notes!CE1814)</f>
        <v/>
      </c>
      <c r="H1818" s="7" t="str">
        <f>IF(Notes!CF1814="","",Notes!CF1814)</f>
        <v/>
      </c>
      <c r="I1818" s="7"/>
      <c r="J1818" s="7"/>
      <c r="K1818" s="7"/>
    </row>
    <row r="1819" spans="1:11" x14ac:dyDescent="0.35">
      <c r="A1819" s="7" t="str">
        <f>IF(Notes!BY1815="","",Notes!BY1815)</f>
        <v/>
      </c>
      <c r="B1819" s="7" t="str">
        <f>IF(Notes!BZ1815="","",Notes!BZ1815)</f>
        <v/>
      </c>
      <c r="C1819" s="7" t="str">
        <f>IF(Notes!CA1815="","",Notes!CA1815)</f>
        <v/>
      </c>
      <c r="D1819" s="7" t="str">
        <f>IF(Notes!CB1815="","",Notes!CB1815)</f>
        <v/>
      </c>
      <c r="E1819" s="7" t="str">
        <f>IF(Notes!CC1815="","",Notes!CC1815)</f>
        <v/>
      </c>
      <c r="F1819" s="7" t="str">
        <f>IF(Notes!CD1815="","",Notes!CD1815)</f>
        <v/>
      </c>
      <c r="G1819" s="7" t="str">
        <f>IF(Notes!CE1815="","",Notes!CE1815)</f>
        <v/>
      </c>
      <c r="H1819" s="7" t="str">
        <f>IF(Notes!CF1815="","",Notes!CF1815)</f>
        <v/>
      </c>
      <c r="I1819" s="7"/>
      <c r="J1819" s="7"/>
      <c r="K1819" s="7"/>
    </row>
    <row r="1820" spans="1:11" x14ac:dyDescent="0.35">
      <c r="A1820" s="7" t="str">
        <f>IF(Notes!BY1816="","",Notes!BY1816)</f>
        <v/>
      </c>
      <c r="B1820" s="7" t="str">
        <f>IF(Notes!BZ1816="","",Notes!BZ1816)</f>
        <v/>
      </c>
      <c r="C1820" s="7" t="str">
        <f>IF(Notes!CA1816="","",Notes!CA1816)</f>
        <v/>
      </c>
      <c r="D1820" s="7" t="str">
        <f>IF(Notes!CB1816="","",Notes!CB1816)</f>
        <v/>
      </c>
      <c r="E1820" s="7" t="str">
        <f>IF(Notes!CC1816="","",Notes!CC1816)</f>
        <v/>
      </c>
      <c r="F1820" s="7" t="str">
        <f>IF(Notes!CD1816="","",Notes!CD1816)</f>
        <v/>
      </c>
      <c r="G1820" s="7" t="str">
        <f>IF(Notes!CE1816="","",Notes!CE1816)</f>
        <v/>
      </c>
      <c r="H1820" s="7" t="str">
        <f>IF(Notes!CF1816="","",Notes!CF1816)</f>
        <v/>
      </c>
      <c r="I1820" s="7"/>
      <c r="J1820" s="7"/>
      <c r="K1820" s="7"/>
    </row>
    <row r="1821" spans="1:11" x14ac:dyDescent="0.35">
      <c r="A1821" s="7" t="str">
        <f>IF(Notes!BY1817="","",Notes!BY1817)</f>
        <v/>
      </c>
      <c r="B1821" s="7" t="str">
        <f>IF(Notes!BZ1817="","",Notes!BZ1817)</f>
        <v/>
      </c>
      <c r="C1821" s="7" t="str">
        <f>IF(Notes!CA1817="","",Notes!CA1817)</f>
        <v/>
      </c>
      <c r="D1821" s="7" t="str">
        <f>IF(Notes!CB1817="","",Notes!CB1817)</f>
        <v/>
      </c>
      <c r="E1821" s="7" t="str">
        <f>IF(Notes!CC1817="","",Notes!CC1817)</f>
        <v/>
      </c>
      <c r="F1821" s="7" t="str">
        <f>IF(Notes!CD1817="","",Notes!CD1817)</f>
        <v/>
      </c>
      <c r="G1821" s="7" t="str">
        <f>IF(Notes!CE1817="","",Notes!CE1817)</f>
        <v/>
      </c>
      <c r="H1821" s="7" t="str">
        <f>IF(Notes!CF1817="","",Notes!CF1817)</f>
        <v/>
      </c>
      <c r="I1821" s="7"/>
      <c r="J1821" s="7"/>
      <c r="K1821" s="7"/>
    </row>
    <row r="1822" spans="1:11" x14ac:dyDescent="0.35">
      <c r="A1822" s="7" t="str">
        <f>IF(Notes!BY1818="","",Notes!BY1818)</f>
        <v/>
      </c>
      <c r="B1822" s="7" t="str">
        <f>IF(Notes!BZ1818="","",Notes!BZ1818)</f>
        <v/>
      </c>
      <c r="C1822" s="7" t="str">
        <f>IF(Notes!CA1818="","",Notes!CA1818)</f>
        <v/>
      </c>
      <c r="D1822" s="7" t="str">
        <f>IF(Notes!CB1818="","",Notes!CB1818)</f>
        <v/>
      </c>
      <c r="E1822" s="7" t="str">
        <f>IF(Notes!CC1818="","",Notes!CC1818)</f>
        <v/>
      </c>
      <c r="F1822" s="7" t="str">
        <f>IF(Notes!CD1818="","",Notes!CD1818)</f>
        <v/>
      </c>
      <c r="G1822" s="7" t="str">
        <f>IF(Notes!CE1818="","",Notes!CE1818)</f>
        <v/>
      </c>
      <c r="H1822" s="7" t="str">
        <f>IF(Notes!CF1818="","",Notes!CF1818)</f>
        <v/>
      </c>
      <c r="I1822" s="7"/>
      <c r="J1822" s="7"/>
      <c r="K1822" s="7"/>
    </row>
    <row r="1823" spans="1:11" x14ac:dyDescent="0.35">
      <c r="A1823" s="7" t="str">
        <f>IF(Notes!BY1819="","",Notes!BY1819)</f>
        <v/>
      </c>
      <c r="B1823" s="7" t="str">
        <f>IF(Notes!BZ1819="","",Notes!BZ1819)</f>
        <v/>
      </c>
      <c r="C1823" s="7" t="str">
        <f>IF(Notes!CA1819="","",Notes!CA1819)</f>
        <v/>
      </c>
      <c r="D1823" s="7" t="str">
        <f>IF(Notes!CB1819="","",Notes!CB1819)</f>
        <v/>
      </c>
      <c r="E1823" s="7" t="str">
        <f>IF(Notes!CC1819="","",Notes!CC1819)</f>
        <v/>
      </c>
      <c r="F1823" s="7" t="str">
        <f>IF(Notes!CD1819="","",Notes!CD1819)</f>
        <v/>
      </c>
      <c r="G1823" s="7" t="str">
        <f>IF(Notes!CE1819="","",Notes!CE1819)</f>
        <v/>
      </c>
      <c r="H1823" s="7" t="str">
        <f>IF(Notes!CF1819="","",Notes!CF1819)</f>
        <v/>
      </c>
      <c r="I1823" s="7"/>
      <c r="J1823" s="7"/>
      <c r="K1823" s="7"/>
    </row>
    <row r="1824" spans="1:11" x14ac:dyDescent="0.35">
      <c r="A1824" s="7" t="str">
        <f>IF(Notes!BY1820="","",Notes!BY1820)</f>
        <v/>
      </c>
      <c r="B1824" s="7" t="str">
        <f>IF(Notes!BZ1820="","",Notes!BZ1820)</f>
        <v/>
      </c>
      <c r="C1824" s="7" t="str">
        <f>IF(Notes!CA1820="","",Notes!CA1820)</f>
        <v/>
      </c>
      <c r="D1824" s="7" t="str">
        <f>IF(Notes!CB1820="","",Notes!CB1820)</f>
        <v/>
      </c>
      <c r="E1824" s="7" t="str">
        <f>IF(Notes!CC1820="","",Notes!CC1820)</f>
        <v/>
      </c>
      <c r="F1824" s="7" t="str">
        <f>IF(Notes!CD1820="","",Notes!CD1820)</f>
        <v/>
      </c>
      <c r="G1824" s="7" t="str">
        <f>IF(Notes!CE1820="","",Notes!CE1820)</f>
        <v/>
      </c>
      <c r="H1824" s="7" t="str">
        <f>IF(Notes!CF1820="","",Notes!CF1820)</f>
        <v/>
      </c>
      <c r="I1824" s="7"/>
      <c r="J1824" s="7"/>
      <c r="K1824" s="7"/>
    </row>
    <row r="1825" spans="1:11" x14ac:dyDescent="0.35">
      <c r="A1825" s="7" t="str">
        <f>IF(Notes!BY1821="","",Notes!BY1821)</f>
        <v/>
      </c>
      <c r="B1825" s="7" t="str">
        <f>IF(Notes!BZ1821="","",Notes!BZ1821)</f>
        <v/>
      </c>
      <c r="C1825" s="7" t="str">
        <f>IF(Notes!CA1821="","",Notes!CA1821)</f>
        <v/>
      </c>
      <c r="D1825" s="7" t="str">
        <f>IF(Notes!CB1821="","",Notes!CB1821)</f>
        <v/>
      </c>
      <c r="E1825" s="7" t="str">
        <f>IF(Notes!CC1821="","",Notes!CC1821)</f>
        <v/>
      </c>
      <c r="F1825" s="7" t="str">
        <f>IF(Notes!CD1821="","",Notes!CD1821)</f>
        <v/>
      </c>
      <c r="G1825" s="7" t="str">
        <f>IF(Notes!CE1821="","",Notes!CE1821)</f>
        <v/>
      </c>
      <c r="H1825" s="7" t="str">
        <f>IF(Notes!CF1821="","",Notes!CF1821)</f>
        <v/>
      </c>
      <c r="I1825" s="7"/>
      <c r="J1825" s="7"/>
      <c r="K1825" s="7"/>
    </row>
    <row r="1826" spans="1:11" x14ac:dyDescent="0.35">
      <c r="A1826" s="7" t="str">
        <f>IF(Notes!BY1822="","",Notes!BY1822)</f>
        <v/>
      </c>
      <c r="B1826" s="7" t="str">
        <f>IF(Notes!BZ1822="","",Notes!BZ1822)</f>
        <v/>
      </c>
      <c r="C1826" s="7" t="str">
        <f>IF(Notes!CA1822="","",Notes!CA1822)</f>
        <v/>
      </c>
      <c r="D1826" s="7" t="str">
        <f>IF(Notes!CB1822="","",Notes!CB1822)</f>
        <v/>
      </c>
      <c r="E1826" s="7" t="str">
        <f>IF(Notes!CC1822="","",Notes!CC1822)</f>
        <v/>
      </c>
      <c r="F1826" s="7" t="str">
        <f>IF(Notes!CD1822="","",Notes!CD1822)</f>
        <v/>
      </c>
      <c r="G1826" s="7" t="str">
        <f>IF(Notes!CE1822="","",Notes!CE1822)</f>
        <v/>
      </c>
      <c r="H1826" s="7" t="str">
        <f>IF(Notes!CF1822="","",Notes!CF1822)</f>
        <v/>
      </c>
      <c r="I1826" s="7"/>
      <c r="J1826" s="7"/>
      <c r="K1826" s="7"/>
    </row>
    <row r="1827" spans="1:11" x14ac:dyDescent="0.35">
      <c r="A1827" s="7" t="str">
        <f>IF(Notes!BY1823="","",Notes!BY1823)</f>
        <v/>
      </c>
      <c r="B1827" s="7" t="str">
        <f>IF(Notes!BZ1823="","",Notes!BZ1823)</f>
        <v/>
      </c>
      <c r="C1827" s="7" t="str">
        <f>IF(Notes!CA1823="","",Notes!CA1823)</f>
        <v/>
      </c>
      <c r="D1827" s="7" t="str">
        <f>IF(Notes!CB1823="","",Notes!CB1823)</f>
        <v/>
      </c>
      <c r="E1827" s="7" t="str">
        <f>IF(Notes!CC1823="","",Notes!CC1823)</f>
        <v/>
      </c>
      <c r="F1827" s="7" t="str">
        <f>IF(Notes!CD1823="","",Notes!CD1823)</f>
        <v/>
      </c>
      <c r="G1827" s="7" t="str">
        <f>IF(Notes!CE1823="","",Notes!CE1823)</f>
        <v/>
      </c>
      <c r="H1827" s="7" t="str">
        <f>IF(Notes!CF1823="","",Notes!CF1823)</f>
        <v/>
      </c>
      <c r="I1827" s="7"/>
      <c r="J1827" s="7"/>
      <c r="K1827" s="7"/>
    </row>
    <row r="1828" spans="1:11" x14ac:dyDescent="0.35">
      <c r="A1828" s="7" t="str">
        <f>IF(Notes!BY1824="","",Notes!BY1824)</f>
        <v/>
      </c>
      <c r="B1828" s="7" t="str">
        <f>IF(Notes!BZ1824="","",Notes!BZ1824)</f>
        <v/>
      </c>
      <c r="C1828" s="7" t="str">
        <f>IF(Notes!CA1824="","",Notes!CA1824)</f>
        <v/>
      </c>
      <c r="D1828" s="7" t="str">
        <f>IF(Notes!CB1824="","",Notes!CB1824)</f>
        <v/>
      </c>
      <c r="E1828" s="7" t="str">
        <f>IF(Notes!CC1824="","",Notes!CC1824)</f>
        <v/>
      </c>
      <c r="F1828" s="7" t="str">
        <f>IF(Notes!CD1824="","",Notes!CD1824)</f>
        <v/>
      </c>
      <c r="G1828" s="7" t="str">
        <f>IF(Notes!CE1824="","",Notes!CE1824)</f>
        <v/>
      </c>
      <c r="H1828" s="7" t="str">
        <f>IF(Notes!CF1824="","",Notes!CF1824)</f>
        <v/>
      </c>
      <c r="I1828" s="7"/>
      <c r="J1828" s="7"/>
      <c r="K1828" s="7"/>
    </row>
    <row r="1829" spans="1:11" x14ac:dyDescent="0.35">
      <c r="A1829" s="7" t="str">
        <f>IF(Notes!BY1825="","",Notes!BY1825)</f>
        <v/>
      </c>
      <c r="B1829" s="7" t="str">
        <f>IF(Notes!BZ1825="","",Notes!BZ1825)</f>
        <v/>
      </c>
      <c r="C1829" s="7" t="str">
        <f>IF(Notes!CA1825="","",Notes!CA1825)</f>
        <v/>
      </c>
      <c r="D1829" s="7" t="str">
        <f>IF(Notes!CB1825="","",Notes!CB1825)</f>
        <v/>
      </c>
      <c r="E1829" s="7" t="str">
        <f>IF(Notes!CC1825="","",Notes!CC1825)</f>
        <v/>
      </c>
      <c r="F1829" s="7" t="str">
        <f>IF(Notes!CD1825="","",Notes!CD1825)</f>
        <v/>
      </c>
      <c r="G1829" s="7" t="str">
        <f>IF(Notes!CE1825="","",Notes!CE1825)</f>
        <v/>
      </c>
      <c r="H1829" s="7" t="str">
        <f>IF(Notes!CF1825="","",Notes!CF1825)</f>
        <v/>
      </c>
      <c r="I1829" s="7"/>
      <c r="J1829" s="7"/>
      <c r="K1829" s="7"/>
    </row>
    <row r="1830" spans="1:11" x14ac:dyDescent="0.35">
      <c r="A1830" s="7" t="str">
        <f>IF(Notes!BY1826="","",Notes!BY1826)</f>
        <v/>
      </c>
      <c r="B1830" s="7" t="str">
        <f>IF(Notes!BZ1826="","",Notes!BZ1826)</f>
        <v/>
      </c>
      <c r="C1830" s="7" t="str">
        <f>IF(Notes!CA1826="","",Notes!CA1826)</f>
        <v/>
      </c>
      <c r="D1830" s="7" t="str">
        <f>IF(Notes!CB1826="","",Notes!CB1826)</f>
        <v/>
      </c>
      <c r="E1830" s="7" t="str">
        <f>IF(Notes!CC1826="","",Notes!CC1826)</f>
        <v/>
      </c>
      <c r="F1830" s="7" t="str">
        <f>IF(Notes!CD1826="","",Notes!CD1826)</f>
        <v/>
      </c>
      <c r="G1830" s="7" t="str">
        <f>IF(Notes!CE1826="","",Notes!CE1826)</f>
        <v/>
      </c>
      <c r="H1830" s="7" t="str">
        <f>IF(Notes!CF1826="","",Notes!CF1826)</f>
        <v/>
      </c>
      <c r="I1830" s="7"/>
      <c r="J1830" s="7"/>
      <c r="K1830" s="7"/>
    </row>
    <row r="1831" spans="1:11" x14ac:dyDescent="0.35">
      <c r="A1831" s="7" t="str">
        <f>IF(Notes!BY1827="","",Notes!BY1827)</f>
        <v/>
      </c>
      <c r="B1831" s="7" t="str">
        <f>IF(Notes!BZ1827="","",Notes!BZ1827)</f>
        <v/>
      </c>
      <c r="C1831" s="7" t="str">
        <f>IF(Notes!CA1827="","",Notes!CA1827)</f>
        <v/>
      </c>
      <c r="D1831" s="7" t="str">
        <f>IF(Notes!CB1827="","",Notes!CB1827)</f>
        <v/>
      </c>
      <c r="E1831" s="7" t="str">
        <f>IF(Notes!CC1827="","",Notes!CC1827)</f>
        <v/>
      </c>
      <c r="F1831" s="7" t="str">
        <f>IF(Notes!CD1827="","",Notes!CD1827)</f>
        <v/>
      </c>
      <c r="G1831" s="7" t="str">
        <f>IF(Notes!CE1827="","",Notes!CE1827)</f>
        <v/>
      </c>
      <c r="H1831" s="7" t="str">
        <f>IF(Notes!CF1827="","",Notes!CF1827)</f>
        <v/>
      </c>
      <c r="I1831" s="7"/>
      <c r="J1831" s="7"/>
      <c r="K1831" s="7"/>
    </row>
    <row r="1832" spans="1:11" x14ac:dyDescent="0.35">
      <c r="A1832" s="7" t="str">
        <f>IF(Notes!BY1828="","",Notes!BY1828)</f>
        <v/>
      </c>
      <c r="B1832" s="7" t="str">
        <f>IF(Notes!BZ1828="","",Notes!BZ1828)</f>
        <v/>
      </c>
      <c r="C1832" s="7" t="str">
        <f>IF(Notes!CA1828="","",Notes!CA1828)</f>
        <v/>
      </c>
      <c r="D1832" s="7" t="str">
        <f>IF(Notes!CB1828="","",Notes!CB1828)</f>
        <v/>
      </c>
      <c r="E1832" s="7" t="str">
        <f>IF(Notes!CC1828="","",Notes!CC1828)</f>
        <v/>
      </c>
      <c r="F1832" s="7" t="str">
        <f>IF(Notes!CD1828="","",Notes!CD1828)</f>
        <v/>
      </c>
      <c r="G1832" s="7" t="str">
        <f>IF(Notes!CE1828="","",Notes!CE1828)</f>
        <v/>
      </c>
      <c r="H1832" s="7" t="str">
        <f>IF(Notes!CF1828="","",Notes!CF1828)</f>
        <v/>
      </c>
      <c r="I1832" s="7"/>
      <c r="J1832" s="7"/>
      <c r="K1832" s="7"/>
    </row>
    <row r="1833" spans="1:11" x14ac:dyDescent="0.35">
      <c r="A1833" s="7" t="str">
        <f>IF(Notes!BY1829="","",Notes!BY1829)</f>
        <v/>
      </c>
      <c r="B1833" s="7" t="str">
        <f>IF(Notes!BZ1829="","",Notes!BZ1829)</f>
        <v/>
      </c>
      <c r="C1833" s="7" t="str">
        <f>IF(Notes!CA1829="","",Notes!CA1829)</f>
        <v/>
      </c>
      <c r="D1833" s="7" t="str">
        <f>IF(Notes!CB1829="","",Notes!CB1829)</f>
        <v/>
      </c>
      <c r="E1833" s="7" t="str">
        <f>IF(Notes!CC1829="","",Notes!CC1829)</f>
        <v/>
      </c>
      <c r="F1833" s="7" t="str">
        <f>IF(Notes!CD1829="","",Notes!CD1829)</f>
        <v/>
      </c>
      <c r="G1833" s="7" t="str">
        <f>IF(Notes!CE1829="","",Notes!CE1829)</f>
        <v/>
      </c>
      <c r="H1833" s="7" t="str">
        <f>IF(Notes!CF1829="","",Notes!CF1829)</f>
        <v/>
      </c>
      <c r="I1833" s="7"/>
      <c r="J1833" s="7"/>
      <c r="K1833" s="7"/>
    </row>
    <row r="1834" spans="1:11" x14ac:dyDescent="0.35">
      <c r="A1834" s="7" t="str">
        <f>IF(Notes!BY1830="","",Notes!BY1830)</f>
        <v/>
      </c>
      <c r="B1834" s="7" t="str">
        <f>IF(Notes!BZ1830="","",Notes!BZ1830)</f>
        <v/>
      </c>
      <c r="C1834" s="7" t="str">
        <f>IF(Notes!CA1830="","",Notes!CA1830)</f>
        <v/>
      </c>
      <c r="D1834" s="7" t="str">
        <f>IF(Notes!CB1830="","",Notes!CB1830)</f>
        <v/>
      </c>
      <c r="E1834" s="7" t="str">
        <f>IF(Notes!CC1830="","",Notes!CC1830)</f>
        <v/>
      </c>
      <c r="F1834" s="7" t="str">
        <f>IF(Notes!CD1830="","",Notes!CD1830)</f>
        <v/>
      </c>
      <c r="G1834" s="7" t="str">
        <f>IF(Notes!CE1830="","",Notes!CE1830)</f>
        <v/>
      </c>
      <c r="H1834" s="7" t="str">
        <f>IF(Notes!CF1830="","",Notes!CF1830)</f>
        <v/>
      </c>
      <c r="I1834" s="7"/>
      <c r="J1834" s="7"/>
      <c r="K1834" s="7"/>
    </row>
    <row r="1835" spans="1:11" x14ac:dyDescent="0.35">
      <c r="A1835" s="7" t="str">
        <f>IF(Notes!BY1831="","",Notes!BY1831)</f>
        <v/>
      </c>
      <c r="B1835" s="7" t="str">
        <f>IF(Notes!BZ1831="","",Notes!BZ1831)</f>
        <v/>
      </c>
      <c r="C1835" s="7" t="str">
        <f>IF(Notes!CA1831="","",Notes!CA1831)</f>
        <v/>
      </c>
      <c r="D1835" s="7" t="str">
        <f>IF(Notes!CB1831="","",Notes!CB1831)</f>
        <v/>
      </c>
      <c r="E1835" s="7" t="str">
        <f>IF(Notes!CC1831="","",Notes!CC1831)</f>
        <v/>
      </c>
      <c r="F1835" s="7" t="str">
        <f>IF(Notes!CD1831="","",Notes!CD1831)</f>
        <v/>
      </c>
      <c r="G1835" s="7" t="str">
        <f>IF(Notes!CE1831="","",Notes!CE1831)</f>
        <v/>
      </c>
      <c r="H1835" s="7" t="str">
        <f>IF(Notes!CF1831="","",Notes!CF1831)</f>
        <v/>
      </c>
      <c r="I1835" s="7"/>
      <c r="J1835" s="7"/>
      <c r="K1835" s="7"/>
    </row>
    <row r="1836" spans="1:11" x14ac:dyDescent="0.35">
      <c r="A1836" s="7" t="str">
        <f>IF(Notes!BY1832="","",Notes!BY1832)</f>
        <v/>
      </c>
      <c r="B1836" s="7" t="str">
        <f>IF(Notes!BZ1832="","",Notes!BZ1832)</f>
        <v/>
      </c>
      <c r="C1836" s="7" t="str">
        <f>IF(Notes!CA1832="","",Notes!CA1832)</f>
        <v/>
      </c>
      <c r="D1836" s="7" t="str">
        <f>IF(Notes!CB1832="","",Notes!CB1832)</f>
        <v/>
      </c>
      <c r="E1836" s="7" t="str">
        <f>IF(Notes!CC1832="","",Notes!CC1832)</f>
        <v/>
      </c>
      <c r="F1836" s="7" t="str">
        <f>IF(Notes!CD1832="","",Notes!CD1832)</f>
        <v/>
      </c>
      <c r="G1836" s="7" t="str">
        <f>IF(Notes!CE1832="","",Notes!CE1832)</f>
        <v/>
      </c>
      <c r="H1836" s="7" t="str">
        <f>IF(Notes!CF1832="","",Notes!CF1832)</f>
        <v/>
      </c>
      <c r="I1836" s="7"/>
      <c r="J1836" s="7"/>
      <c r="K1836" s="7"/>
    </row>
    <row r="1837" spans="1:11" x14ac:dyDescent="0.35">
      <c r="A1837" s="7" t="str">
        <f>IF(Notes!BY1833="","",Notes!BY1833)</f>
        <v/>
      </c>
      <c r="B1837" s="7" t="str">
        <f>IF(Notes!BZ1833="","",Notes!BZ1833)</f>
        <v/>
      </c>
      <c r="C1837" s="7" t="str">
        <f>IF(Notes!CA1833="","",Notes!CA1833)</f>
        <v/>
      </c>
      <c r="D1837" s="7" t="str">
        <f>IF(Notes!CB1833="","",Notes!CB1833)</f>
        <v/>
      </c>
      <c r="E1837" s="7" t="str">
        <f>IF(Notes!CC1833="","",Notes!CC1833)</f>
        <v/>
      </c>
      <c r="F1837" s="7" t="str">
        <f>IF(Notes!CD1833="","",Notes!CD1833)</f>
        <v/>
      </c>
      <c r="G1837" s="7" t="str">
        <f>IF(Notes!CE1833="","",Notes!CE1833)</f>
        <v/>
      </c>
      <c r="H1837" s="7" t="str">
        <f>IF(Notes!CF1833="","",Notes!CF1833)</f>
        <v/>
      </c>
      <c r="I1837" s="7"/>
      <c r="J1837" s="7"/>
      <c r="K1837" s="7"/>
    </row>
    <row r="1838" spans="1:11" x14ac:dyDescent="0.35">
      <c r="A1838" s="7" t="str">
        <f>IF(Notes!BY1834="","",Notes!BY1834)</f>
        <v/>
      </c>
      <c r="B1838" s="7" t="str">
        <f>IF(Notes!BZ1834="","",Notes!BZ1834)</f>
        <v/>
      </c>
      <c r="C1838" s="7" t="str">
        <f>IF(Notes!CA1834="","",Notes!CA1834)</f>
        <v/>
      </c>
      <c r="D1838" s="7" t="str">
        <f>IF(Notes!CB1834="","",Notes!CB1834)</f>
        <v/>
      </c>
      <c r="E1838" s="7" t="str">
        <f>IF(Notes!CC1834="","",Notes!CC1834)</f>
        <v/>
      </c>
      <c r="F1838" s="7" t="str">
        <f>IF(Notes!CD1834="","",Notes!CD1834)</f>
        <v/>
      </c>
      <c r="G1838" s="7" t="str">
        <f>IF(Notes!CE1834="","",Notes!CE1834)</f>
        <v/>
      </c>
      <c r="H1838" s="7" t="str">
        <f>IF(Notes!CF1834="","",Notes!CF1834)</f>
        <v/>
      </c>
      <c r="I1838" s="7"/>
      <c r="J1838" s="7"/>
      <c r="K1838" s="7"/>
    </row>
    <row r="1839" spans="1:11" x14ac:dyDescent="0.35">
      <c r="A1839" s="7" t="str">
        <f>IF(Notes!BY1835="","",Notes!BY1835)</f>
        <v/>
      </c>
      <c r="B1839" s="7" t="str">
        <f>IF(Notes!BZ1835="","",Notes!BZ1835)</f>
        <v/>
      </c>
      <c r="C1839" s="7" t="str">
        <f>IF(Notes!CA1835="","",Notes!CA1835)</f>
        <v/>
      </c>
      <c r="D1839" s="7" t="str">
        <f>IF(Notes!CB1835="","",Notes!CB1835)</f>
        <v/>
      </c>
      <c r="E1839" s="7" t="str">
        <f>IF(Notes!CC1835="","",Notes!CC1835)</f>
        <v/>
      </c>
      <c r="F1839" s="7" t="str">
        <f>IF(Notes!CD1835="","",Notes!CD1835)</f>
        <v/>
      </c>
      <c r="G1839" s="7" t="str">
        <f>IF(Notes!CE1835="","",Notes!CE1835)</f>
        <v/>
      </c>
      <c r="H1839" s="7" t="str">
        <f>IF(Notes!CF1835="","",Notes!CF1835)</f>
        <v/>
      </c>
      <c r="I1839" s="7"/>
      <c r="J1839" s="7"/>
      <c r="K1839" s="7"/>
    </row>
    <row r="1840" spans="1:11" x14ac:dyDescent="0.35">
      <c r="A1840" s="7" t="str">
        <f>IF(Notes!BY1836="","",Notes!BY1836)</f>
        <v/>
      </c>
      <c r="B1840" s="7" t="str">
        <f>IF(Notes!BZ1836="","",Notes!BZ1836)</f>
        <v/>
      </c>
      <c r="C1840" s="7" t="str">
        <f>IF(Notes!CA1836="","",Notes!CA1836)</f>
        <v/>
      </c>
      <c r="D1840" s="7" t="str">
        <f>IF(Notes!CB1836="","",Notes!CB1836)</f>
        <v/>
      </c>
      <c r="E1840" s="7" t="str">
        <f>IF(Notes!CC1836="","",Notes!CC1836)</f>
        <v/>
      </c>
      <c r="F1840" s="7" t="str">
        <f>IF(Notes!CD1836="","",Notes!CD1836)</f>
        <v/>
      </c>
      <c r="G1840" s="7" t="str">
        <f>IF(Notes!CE1836="","",Notes!CE1836)</f>
        <v/>
      </c>
      <c r="H1840" s="7" t="str">
        <f>IF(Notes!CF1836="","",Notes!CF1836)</f>
        <v/>
      </c>
      <c r="I1840" s="7"/>
      <c r="J1840" s="7"/>
      <c r="K1840" s="7"/>
    </row>
    <row r="1841" spans="1:11" x14ac:dyDescent="0.35">
      <c r="A1841" s="7" t="str">
        <f>IF(Notes!BY1837="","",Notes!BY1837)</f>
        <v/>
      </c>
      <c r="B1841" s="7" t="str">
        <f>IF(Notes!BZ1837="","",Notes!BZ1837)</f>
        <v/>
      </c>
      <c r="C1841" s="7" t="str">
        <f>IF(Notes!CA1837="","",Notes!CA1837)</f>
        <v/>
      </c>
      <c r="D1841" s="7" t="str">
        <f>IF(Notes!CB1837="","",Notes!CB1837)</f>
        <v/>
      </c>
      <c r="E1841" s="7" t="str">
        <f>IF(Notes!CC1837="","",Notes!CC1837)</f>
        <v/>
      </c>
      <c r="F1841" s="7" t="str">
        <f>IF(Notes!CD1837="","",Notes!CD1837)</f>
        <v/>
      </c>
      <c r="G1841" s="7" t="str">
        <f>IF(Notes!CE1837="","",Notes!CE1837)</f>
        <v/>
      </c>
      <c r="H1841" s="7" t="str">
        <f>IF(Notes!CF1837="","",Notes!CF1837)</f>
        <v/>
      </c>
      <c r="I1841" s="7"/>
      <c r="J1841" s="7"/>
      <c r="K1841" s="7"/>
    </row>
    <row r="1842" spans="1:11" x14ac:dyDescent="0.35">
      <c r="A1842" s="7" t="str">
        <f>IF(Notes!BY1838="","",Notes!BY1838)</f>
        <v/>
      </c>
      <c r="B1842" s="7" t="str">
        <f>IF(Notes!BZ1838="","",Notes!BZ1838)</f>
        <v/>
      </c>
      <c r="C1842" s="7" t="str">
        <f>IF(Notes!CA1838="","",Notes!CA1838)</f>
        <v/>
      </c>
      <c r="D1842" s="7" t="str">
        <f>IF(Notes!CB1838="","",Notes!CB1838)</f>
        <v/>
      </c>
      <c r="E1842" s="7" t="str">
        <f>IF(Notes!CC1838="","",Notes!CC1838)</f>
        <v/>
      </c>
      <c r="F1842" s="7" t="str">
        <f>IF(Notes!CD1838="","",Notes!CD1838)</f>
        <v/>
      </c>
      <c r="G1842" s="7" t="str">
        <f>IF(Notes!CE1838="","",Notes!CE1838)</f>
        <v/>
      </c>
      <c r="H1842" s="7" t="str">
        <f>IF(Notes!CF1838="","",Notes!CF1838)</f>
        <v/>
      </c>
      <c r="I1842" s="7"/>
      <c r="J1842" s="7"/>
      <c r="K1842" s="7"/>
    </row>
    <row r="1843" spans="1:11" x14ac:dyDescent="0.35">
      <c r="A1843" s="7" t="str">
        <f>IF(Notes!BY1839="","",Notes!BY1839)</f>
        <v/>
      </c>
      <c r="B1843" s="7" t="str">
        <f>IF(Notes!BZ1839="","",Notes!BZ1839)</f>
        <v/>
      </c>
      <c r="C1843" s="7" t="str">
        <f>IF(Notes!CA1839="","",Notes!CA1839)</f>
        <v/>
      </c>
      <c r="D1843" s="7" t="str">
        <f>IF(Notes!CB1839="","",Notes!CB1839)</f>
        <v/>
      </c>
      <c r="E1843" s="7" t="str">
        <f>IF(Notes!CC1839="","",Notes!CC1839)</f>
        <v/>
      </c>
      <c r="F1843" s="7" t="str">
        <f>IF(Notes!CD1839="","",Notes!CD1839)</f>
        <v/>
      </c>
      <c r="G1843" s="7" t="str">
        <f>IF(Notes!CE1839="","",Notes!CE1839)</f>
        <v/>
      </c>
      <c r="H1843" s="7" t="str">
        <f>IF(Notes!CF1839="","",Notes!CF1839)</f>
        <v/>
      </c>
      <c r="I1843" s="7"/>
      <c r="J1843" s="7"/>
      <c r="K1843" s="7"/>
    </row>
    <row r="1844" spans="1:11" x14ac:dyDescent="0.35">
      <c r="A1844" s="7" t="str">
        <f>IF(Notes!BY1840="","",Notes!BY1840)</f>
        <v/>
      </c>
      <c r="B1844" s="7" t="str">
        <f>IF(Notes!BZ1840="","",Notes!BZ1840)</f>
        <v/>
      </c>
      <c r="C1844" s="7" t="str">
        <f>IF(Notes!CA1840="","",Notes!CA1840)</f>
        <v/>
      </c>
      <c r="D1844" s="7" t="str">
        <f>IF(Notes!CB1840="","",Notes!CB1840)</f>
        <v/>
      </c>
      <c r="E1844" s="7" t="str">
        <f>IF(Notes!CC1840="","",Notes!CC1840)</f>
        <v/>
      </c>
      <c r="F1844" s="7" t="str">
        <f>IF(Notes!CD1840="","",Notes!CD1840)</f>
        <v/>
      </c>
      <c r="G1844" s="7" t="str">
        <f>IF(Notes!CE1840="","",Notes!CE1840)</f>
        <v/>
      </c>
      <c r="H1844" s="7" t="str">
        <f>IF(Notes!CF1840="","",Notes!CF1840)</f>
        <v/>
      </c>
      <c r="I1844" s="7"/>
      <c r="J1844" s="7"/>
      <c r="K1844" s="7"/>
    </row>
    <row r="1845" spans="1:11" x14ac:dyDescent="0.35">
      <c r="A1845" s="7" t="str">
        <f>IF(Notes!BY1841="","",Notes!BY1841)</f>
        <v/>
      </c>
      <c r="B1845" s="7" t="str">
        <f>IF(Notes!BZ1841="","",Notes!BZ1841)</f>
        <v/>
      </c>
      <c r="C1845" s="7" t="str">
        <f>IF(Notes!CA1841="","",Notes!CA1841)</f>
        <v/>
      </c>
      <c r="D1845" s="7" t="str">
        <f>IF(Notes!CB1841="","",Notes!CB1841)</f>
        <v/>
      </c>
      <c r="E1845" s="7" t="str">
        <f>IF(Notes!CC1841="","",Notes!CC1841)</f>
        <v/>
      </c>
      <c r="F1845" s="7" t="str">
        <f>IF(Notes!CD1841="","",Notes!CD1841)</f>
        <v/>
      </c>
      <c r="G1845" s="7" t="str">
        <f>IF(Notes!CE1841="","",Notes!CE1841)</f>
        <v/>
      </c>
      <c r="H1845" s="7" t="str">
        <f>IF(Notes!CF1841="","",Notes!CF1841)</f>
        <v/>
      </c>
      <c r="I1845" s="7"/>
      <c r="J1845" s="7"/>
      <c r="K1845" s="7"/>
    </row>
    <row r="1846" spans="1:11" x14ac:dyDescent="0.35">
      <c r="A1846" s="7" t="str">
        <f>IF(Notes!BY1842="","",Notes!BY1842)</f>
        <v/>
      </c>
      <c r="B1846" s="7" t="str">
        <f>IF(Notes!BZ1842="","",Notes!BZ1842)</f>
        <v/>
      </c>
      <c r="C1846" s="7" t="str">
        <f>IF(Notes!CA1842="","",Notes!CA1842)</f>
        <v/>
      </c>
      <c r="D1846" s="7" t="str">
        <f>IF(Notes!CB1842="","",Notes!CB1842)</f>
        <v/>
      </c>
      <c r="E1846" s="7" t="str">
        <f>IF(Notes!CC1842="","",Notes!CC1842)</f>
        <v/>
      </c>
      <c r="F1846" s="7" t="str">
        <f>IF(Notes!CD1842="","",Notes!CD1842)</f>
        <v/>
      </c>
      <c r="G1846" s="7" t="str">
        <f>IF(Notes!CE1842="","",Notes!CE1842)</f>
        <v/>
      </c>
      <c r="H1846" s="7" t="str">
        <f>IF(Notes!CF1842="","",Notes!CF1842)</f>
        <v/>
      </c>
      <c r="I1846" s="7"/>
      <c r="J1846" s="7"/>
      <c r="K1846" s="7"/>
    </row>
    <row r="1847" spans="1:11" x14ac:dyDescent="0.35">
      <c r="A1847" s="7" t="str">
        <f>IF(Notes!BY1843="","",Notes!BY1843)</f>
        <v/>
      </c>
      <c r="B1847" s="7" t="str">
        <f>IF(Notes!BZ1843="","",Notes!BZ1843)</f>
        <v/>
      </c>
      <c r="C1847" s="7" t="str">
        <f>IF(Notes!CA1843="","",Notes!CA1843)</f>
        <v/>
      </c>
      <c r="D1847" s="7" t="str">
        <f>IF(Notes!CB1843="","",Notes!CB1843)</f>
        <v/>
      </c>
      <c r="E1847" s="7" t="str">
        <f>IF(Notes!CC1843="","",Notes!CC1843)</f>
        <v/>
      </c>
      <c r="F1847" s="7" t="str">
        <f>IF(Notes!CD1843="","",Notes!CD1843)</f>
        <v/>
      </c>
      <c r="G1847" s="7" t="str">
        <f>IF(Notes!CE1843="","",Notes!CE1843)</f>
        <v/>
      </c>
      <c r="H1847" s="7" t="str">
        <f>IF(Notes!CF1843="","",Notes!CF1843)</f>
        <v/>
      </c>
      <c r="I1847" s="7"/>
      <c r="J1847" s="7"/>
      <c r="K1847" s="7"/>
    </row>
    <row r="1848" spans="1:11" x14ac:dyDescent="0.35">
      <c r="A1848" s="7" t="str">
        <f>IF(Notes!BY1844="","",Notes!BY1844)</f>
        <v/>
      </c>
      <c r="B1848" s="7" t="str">
        <f>IF(Notes!BZ1844="","",Notes!BZ1844)</f>
        <v/>
      </c>
      <c r="C1848" s="7" t="str">
        <f>IF(Notes!CA1844="","",Notes!CA1844)</f>
        <v/>
      </c>
      <c r="D1848" s="7" t="str">
        <f>IF(Notes!CB1844="","",Notes!CB1844)</f>
        <v/>
      </c>
      <c r="E1848" s="7" t="str">
        <f>IF(Notes!CC1844="","",Notes!CC1844)</f>
        <v/>
      </c>
      <c r="F1848" s="7" t="str">
        <f>IF(Notes!CD1844="","",Notes!CD1844)</f>
        <v/>
      </c>
      <c r="G1848" s="7" t="str">
        <f>IF(Notes!CE1844="","",Notes!CE1844)</f>
        <v/>
      </c>
      <c r="H1848" s="7" t="str">
        <f>IF(Notes!CF1844="","",Notes!CF1844)</f>
        <v/>
      </c>
      <c r="I1848" s="7"/>
      <c r="J1848" s="7"/>
      <c r="K1848" s="7"/>
    </row>
    <row r="1849" spans="1:11" x14ac:dyDescent="0.35">
      <c r="A1849" s="7" t="str">
        <f>IF(Notes!BY1845="","",Notes!BY1845)</f>
        <v/>
      </c>
      <c r="B1849" s="7" t="str">
        <f>IF(Notes!BZ1845="","",Notes!BZ1845)</f>
        <v/>
      </c>
      <c r="C1849" s="7" t="str">
        <f>IF(Notes!CA1845="","",Notes!CA1845)</f>
        <v/>
      </c>
      <c r="D1849" s="7" t="str">
        <f>IF(Notes!CB1845="","",Notes!CB1845)</f>
        <v/>
      </c>
      <c r="E1849" s="7" t="str">
        <f>IF(Notes!CC1845="","",Notes!CC1845)</f>
        <v/>
      </c>
      <c r="F1849" s="7" t="str">
        <f>IF(Notes!CD1845="","",Notes!CD1845)</f>
        <v/>
      </c>
      <c r="G1849" s="7" t="str">
        <f>IF(Notes!CE1845="","",Notes!CE1845)</f>
        <v/>
      </c>
      <c r="H1849" s="7" t="str">
        <f>IF(Notes!CF1845="","",Notes!CF1845)</f>
        <v/>
      </c>
      <c r="I1849" s="7"/>
      <c r="J1849" s="7"/>
      <c r="K1849" s="7"/>
    </row>
    <row r="1850" spans="1:11" x14ac:dyDescent="0.35">
      <c r="A1850" s="7" t="str">
        <f>IF(Notes!BY1846="","",Notes!BY1846)</f>
        <v/>
      </c>
      <c r="B1850" s="7" t="str">
        <f>IF(Notes!BZ1846="","",Notes!BZ1846)</f>
        <v/>
      </c>
      <c r="C1850" s="7" t="str">
        <f>IF(Notes!CA1846="","",Notes!CA1846)</f>
        <v/>
      </c>
      <c r="D1850" s="7" t="str">
        <f>IF(Notes!CB1846="","",Notes!CB1846)</f>
        <v/>
      </c>
      <c r="E1850" s="7" t="str">
        <f>IF(Notes!CC1846="","",Notes!CC1846)</f>
        <v/>
      </c>
      <c r="F1850" s="7" t="str">
        <f>IF(Notes!CD1846="","",Notes!CD1846)</f>
        <v/>
      </c>
      <c r="G1850" s="7" t="str">
        <f>IF(Notes!CE1846="","",Notes!CE1846)</f>
        <v/>
      </c>
      <c r="H1850" s="7" t="str">
        <f>IF(Notes!CF1846="","",Notes!CF1846)</f>
        <v/>
      </c>
      <c r="I1850" s="7"/>
      <c r="J1850" s="7"/>
      <c r="K1850" s="7"/>
    </row>
    <row r="1851" spans="1:11" x14ac:dyDescent="0.35">
      <c r="A1851" s="7" t="str">
        <f>IF(Notes!BY1847="","",Notes!BY1847)</f>
        <v/>
      </c>
      <c r="B1851" s="7" t="str">
        <f>IF(Notes!BZ1847="","",Notes!BZ1847)</f>
        <v/>
      </c>
      <c r="C1851" s="7" t="str">
        <f>IF(Notes!CA1847="","",Notes!CA1847)</f>
        <v/>
      </c>
      <c r="D1851" s="7" t="str">
        <f>IF(Notes!CB1847="","",Notes!CB1847)</f>
        <v/>
      </c>
      <c r="E1851" s="7" t="str">
        <f>IF(Notes!CC1847="","",Notes!CC1847)</f>
        <v/>
      </c>
      <c r="F1851" s="7" t="str">
        <f>IF(Notes!CD1847="","",Notes!CD1847)</f>
        <v/>
      </c>
      <c r="G1851" s="7" t="str">
        <f>IF(Notes!CE1847="","",Notes!CE1847)</f>
        <v/>
      </c>
      <c r="H1851" s="7" t="str">
        <f>IF(Notes!CF1847="","",Notes!CF1847)</f>
        <v/>
      </c>
      <c r="I1851" s="7"/>
      <c r="J1851" s="7"/>
      <c r="K1851" s="7"/>
    </row>
    <row r="1852" spans="1:11" x14ac:dyDescent="0.35">
      <c r="A1852" s="7" t="str">
        <f>IF(Notes!BY1848="","",Notes!BY1848)</f>
        <v/>
      </c>
      <c r="B1852" s="7" t="str">
        <f>IF(Notes!BZ1848="","",Notes!BZ1848)</f>
        <v/>
      </c>
      <c r="C1852" s="7" t="str">
        <f>IF(Notes!CA1848="","",Notes!CA1848)</f>
        <v/>
      </c>
      <c r="D1852" s="7" t="str">
        <f>IF(Notes!CB1848="","",Notes!CB1848)</f>
        <v/>
      </c>
      <c r="E1852" s="7" t="str">
        <f>IF(Notes!CC1848="","",Notes!CC1848)</f>
        <v/>
      </c>
      <c r="F1852" s="7" t="str">
        <f>IF(Notes!CD1848="","",Notes!CD1848)</f>
        <v/>
      </c>
      <c r="G1852" s="7" t="str">
        <f>IF(Notes!CE1848="","",Notes!CE1848)</f>
        <v/>
      </c>
      <c r="H1852" s="7" t="str">
        <f>IF(Notes!CF1848="","",Notes!CF1848)</f>
        <v/>
      </c>
      <c r="I1852" s="7"/>
      <c r="J1852" s="7"/>
      <c r="K1852" s="7"/>
    </row>
    <row r="1853" spans="1:11" x14ac:dyDescent="0.35">
      <c r="A1853" s="7" t="str">
        <f>IF(Notes!BY1849="","",Notes!BY1849)</f>
        <v/>
      </c>
      <c r="B1853" s="7" t="str">
        <f>IF(Notes!BZ1849="","",Notes!BZ1849)</f>
        <v/>
      </c>
      <c r="C1853" s="7" t="str">
        <f>IF(Notes!CA1849="","",Notes!CA1849)</f>
        <v/>
      </c>
      <c r="D1853" s="7" t="str">
        <f>IF(Notes!CB1849="","",Notes!CB1849)</f>
        <v/>
      </c>
      <c r="E1853" s="7" t="str">
        <f>IF(Notes!CC1849="","",Notes!CC1849)</f>
        <v/>
      </c>
      <c r="F1853" s="7" t="str">
        <f>IF(Notes!CD1849="","",Notes!CD1849)</f>
        <v/>
      </c>
      <c r="G1853" s="7" t="str">
        <f>IF(Notes!CE1849="","",Notes!CE1849)</f>
        <v/>
      </c>
      <c r="H1853" s="7" t="str">
        <f>IF(Notes!CF1849="","",Notes!CF1849)</f>
        <v/>
      </c>
      <c r="I1853" s="7"/>
      <c r="J1853" s="7"/>
      <c r="K1853" s="7"/>
    </row>
    <row r="1854" spans="1:11" x14ac:dyDescent="0.35">
      <c r="A1854" s="7" t="str">
        <f>IF(Notes!BY1850="","",Notes!BY1850)</f>
        <v/>
      </c>
      <c r="B1854" s="7" t="str">
        <f>IF(Notes!BZ1850="","",Notes!BZ1850)</f>
        <v/>
      </c>
      <c r="C1854" s="7" t="str">
        <f>IF(Notes!CA1850="","",Notes!CA1850)</f>
        <v/>
      </c>
      <c r="D1854" s="7" t="str">
        <f>IF(Notes!CB1850="","",Notes!CB1850)</f>
        <v/>
      </c>
      <c r="E1854" s="7" t="str">
        <f>IF(Notes!CC1850="","",Notes!CC1850)</f>
        <v/>
      </c>
      <c r="F1854" s="7" t="str">
        <f>IF(Notes!CD1850="","",Notes!CD1850)</f>
        <v/>
      </c>
      <c r="G1854" s="7" t="str">
        <f>IF(Notes!CE1850="","",Notes!CE1850)</f>
        <v/>
      </c>
      <c r="H1854" s="7" t="str">
        <f>IF(Notes!CF1850="","",Notes!CF1850)</f>
        <v/>
      </c>
      <c r="I1854" s="7"/>
      <c r="J1854" s="7"/>
      <c r="K1854" s="7"/>
    </row>
    <row r="1855" spans="1:11" x14ac:dyDescent="0.35">
      <c r="A1855" s="7" t="str">
        <f>IF(Notes!BY1851="","",Notes!BY1851)</f>
        <v/>
      </c>
      <c r="B1855" s="7" t="str">
        <f>IF(Notes!BZ1851="","",Notes!BZ1851)</f>
        <v/>
      </c>
      <c r="C1855" s="7" t="str">
        <f>IF(Notes!CA1851="","",Notes!CA1851)</f>
        <v/>
      </c>
      <c r="D1855" s="7" t="str">
        <f>IF(Notes!CB1851="","",Notes!CB1851)</f>
        <v/>
      </c>
      <c r="E1855" s="7" t="str">
        <f>IF(Notes!CC1851="","",Notes!CC1851)</f>
        <v/>
      </c>
      <c r="F1855" s="7" t="str">
        <f>IF(Notes!CD1851="","",Notes!CD1851)</f>
        <v/>
      </c>
      <c r="G1855" s="7" t="str">
        <f>IF(Notes!CE1851="","",Notes!CE1851)</f>
        <v/>
      </c>
      <c r="H1855" s="7" t="str">
        <f>IF(Notes!CF1851="","",Notes!CF1851)</f>
        <v/>
      </c>
      <c r="I1855" s="7"/>
      <c r="J1855" s="7"/>
      <c r="K1855" s="7"/>
    </row>
    <row r="1856" spans="1:11" x14ac:dyDescent="0.35">
      <c r="A1856" s="7" t="str">
        <f>IF(Notes!BY1852="","",Notes!BY1852)</f>
        <v/>
      </c>
      <c r="B1856" s="7" t="str">
        <f>IF(Notes!BZ1852="","",Notes!BZ1852)</f>
        <v/>
      </c>
      <c r="C1856" s="7" t="str">
        <f>IF(Notes!CA1852="","",Notes!CA1852)</f>
        <v/>
      </c>
      <c r="D1856" s="7" t="str">
        <f>IF(Notes!CB1852="","",Notes!CB1852)</f>
        <v/>
      </c>
      <c r="E1856" s="7" t="str">
        <f>IF(Notes!CC1852="","",Notes!CC1852)</f>
        <v/>
      </c>
      <c r="F1856" s="7" t="str">
        <f>IF(Notes!CD1852="","",Notes!CD1852)</f>
        <v/>
      </c>
      <c r="G1856" s="7" t="str">
        <f>IF(Notes!CE1852="","",Notes!CE1852)</f>
        <v/>
      </c>
      <c r="H1856" s="7" t="str">
        <f>IF(Notes!CF1852="","",Notes!CF1852)</f>
        <v/>
      </c>
      <c r="I1856" s="7"/>
      <c r="J1856" s="7"/>
      <c r="K1856" s="7"/>
    </row>
    <row r="1857" spans="1:11" x14ac:dyDescent="0.35">
      <c r="A1857" s="7" t="str">
        <f>IF(Notes!BY1853="","",Notes!BY1853)</f>
        <v/>
      </c>
      <c r="B1857" s="7" t="str">
        <f>IF(Notes!BZ1853="","",Notes!BZ1853)</f>
        <v/>
      </c>
      <c r="C1857" s="7" t="str">
        <f>IF(Notes!CA1853="","",Notes!CA1853)</f>
        <v/>
      </c>
      <c r="D1857" s="7" t="str">
        <f>IF(Notes!CB1853="","",Notes!CB1853)</f>
        <v/>
      </c>
      <c r="E1857" s="7" t="str">
        <f>IF(Notes!CC1853="","",Notes!CC1853)</f>
        <v/>
      </c>
      <c r="F1857" s="7" t="str">
        <f>IF(Notes!CD1853="","",Notes!CD1853)</f>
        <v/>
      </c>
      <c r="G1857" s="7" t="str">
        <f>IF(Notes!CE1853="","",Notes!CE1853)</f>
        <v/>
      </c>
      <c r="H1857" s="7" t="str">
        <f>IF(Notes!CF1853="","",Notes!CF1853)</f>
        <v/>
      </c>
      <c r="I1857" s="7"/>
      <c r="J1857" s="7"/>
      <c r="K1857" s="7"/>
    </row>
    <row r="1858" spans="1:11" x14ac:dyDescent="0.35">
      <c r="A1858" s="7" t="str">
        <f>IF(Notes!BY1854="","",Notes!BY1854)</f>
        <v/>
      </c>
      <c r="B1858" s="7" t="str">
        <f>IF(Notes!BZ1854="","",Notes!BZ1854)</f>
        <v/>
      </c>
      <c r="C1858" s="7" t="str">
        <f>IF(Notes!CA1854="","",Notes!CA1854)</f>
        <v/>
      </c>
      <c r="D1858" s="7" t="str">
        <f>IF(Notes!CB1854="","",Notes!CB1854)</f>
        <v/>
      </c>
      <c r="E1858" s="7" t="str">
        <f>IF(Notes!CC1854="","",Notes!CC1854)</f>
        <v/>
      </c>
      <c r="F1858" s="7" t="str">
        <f>IF(Notes!CD1854="","",Notes!CD1854)</f>
        <v/>
      </c>
      <c r="G1858" s="7" t="str">
        <f>IF(Notes!CE1854="","",Notes!CE1854)</f>
        <v/>
      </c>
      <c r="H1858" s="7" t="str">
        <f>IF(Notes!CF1854="","",Notes!CF1854)</f>
        <v/>
      </c>
      <c r="I1858" s="7"/>
      <c r="J1858" s="7"/>
      <c r="K1858" s="7"/>
    </row>
    <row r="1859" spans="1:11" x14ac:dyDescent="0.35">
      <c r="A1859" s="7" t="str">
        <f>IF(Notes!BY1855="","",Notes!BY1855)</f>
        <v/>
      </c>
      <c r="B1859" s="7" t="str">
        <f>IF(Notes!BZ1855="","",Notes!BZ1855)</f>
        <v/>
      </c>
      <c r="C1859" s="7" t="str">
        <f>IF(Notes!CA1855="","",Notes!CA1855)</f>
        <v/>
      </c>
      <c r="D1859" s="7" t="str">
        <f>IF(Notes!CB1855="","",Notes!CB1855)</f>
        <v/>
      </c>
      <c r="E1859" s="7" t="str">
        <f>IF(Notes!CC1855="","",Notes!CC1855)</f>
        <v/>
      </c>
      <c r="F1859" s="7" t="str">
        <f>IF(Notes!CD1855="","",Notes!CD1855)</f>
        <v/>
      </c>
      <c r="G1859" s="7" t="str">
        <f>IF(Notes!CE1855="","",Notes!CE1855)</f>
        <v/>
      </c>
      <c r="H1859" s="7" t="str">
        <f>IF(Notes!CF1855="","",Notes!CF1855)</f>
        <v/>
      </c>
      <c r="I1859" s="7"/>
      <c r="J1859" s="7"/>
      <c r="K1859" s="7"/>
    </row>
    <row r="1860" spans="1:11" x14ac:dyDescent="0.35">
      <c r="A1860" s="7" t="str">
        <f>IF(Notes!BY1856="","",Notes!BY1856)</f>
        <v/>
      </c>
      <c r="B1860" s="7" t="str">
        <f>IF(Notes!BZ1856="","",Notes!BZ1856)</f>
        <v/>
      </c>
      <c r="C1860" s="7" t="str">
        <f>IF(Notes!CA1856="","",Notes!CA1856)</f>
        <v/>
      </c>
      <c r="D1860" s="7" t="str">
        <f>IF(Notes!CB1856="","",Notes!CB1856)</f>
        <v/>
      </c>
      <c r="E1860" s="7" t="str">
        <f>IF(Notes!CC1856="","",Notes!CC1856)</f>
        <v/>
      </c>
      <c r="F1860" s="7" t="str">
        <f>IF(Notes!CD1856="","",Notes!CD1856)</f>
        <v/>
      </c>
      <c r="G1860" s="7" t="str">
        <f>IF(Notes!CE1856="","",Notes!CE1856)</f>
        <v/>
      </c>
      <c r="H1860" s="7" t="str">
        <f>IF(Notes!CF1856="","",Notes!CF1856)</f>
        <v/>
      </c>
      <c r="I1860" s="7"/>
      <c r="J1860" s="7"/>
      <c r="K1860" s="7"/>
    </row>
    <row r="1861" spans="1:11" x14ac:dyDescent="0.35">
      <c r="A1861" s="7" t="str">
        <f>IF(Notes!BY1857="","",Notes!BY1857)</f>
        <v/>
      </c>
      <c r="B1861" s="7" t="str">
        <f>IF(Notes!BZ1857="","",Notes!BZ1857)</f>
        <v/>
      </c>
      <c r="C1861" s="7" t="str">
        <f>IF(Notes!CA1857="","",Notes!CA1857)</f>
        <v/>
      </c>
      <c r="D1861" s="7" t="str">
        <f>IF(Notes!CB1857="","",Notes!CB1857)</f>
        <v/>
      </c>
      <c r="E1861" s="7" t="str">
        <f>IF(Notes!CC1857="","",Notes!CC1857)</f>
        <v/>
      </c>
      <c r="F1861" s="7" t="str">
        <f>IF(Notes!CD1857="","",Notes!CD1857)</f>
        <v/>
      </c>
      <c r="G1861" s="7" t="str">
        <f>IF(Notes!CE1857="","",Notes!CE1857)</f>
        <v/>
      </c>
      <c r="H1861" s="7" t="str">
        <f>IF(Notes!CF1857="","",Notes!CF1857)</f>
        <v/>
      </c>
      <c r="I1861" s="7"/>
      <c r="J1861" s="7"/>
      <c r="K1861" s="7"/>
    </row>
    <row r="1862" spans="1:11" x14ac:dyDescent="0.35">
      <c r="A1862" s="7" t="str">
        <f>IF(Notes!BY1858="","",Notes!BY1858)</f>
        <v/>
      </c>
      <c r="B1862" s="7" t="str">
        <f>IF(Notes!BZ1858="","",Notes!BZ1858)</f>
        <v/>
      </c>
      <c r="C1862" s="7" t="str">
        <f>IF(Notes!CA1858="","",Notes!CA1858)</f>
        <v/>
      </c>
      <c r="D1862" s="7" t="str">
        <f>IF(Notes!CB1858="","",Notes!CB1858)</f>
        <v/>
      </c>
      <c r="E1862" s="7" t="str">
        <f>IF(Notes!CC1858="","",Notes!CC1858)</f>
        <v/>
      </c>
      <c r="F1862" s="7" t="str">
        <f>IF(Notes!CD1858="","",Notes!CD1858)</f>
        <v/>
      </c>
      <c r="G1862" s="7" t="str">
        <f>IF(Notes!CE1858="","",Notes!CE1858)</f>
        <v/>
      </c>
      <c r="H1862" s="7" t="str">
        <f>IF(Notes!CF1858="","",Notes!CF1858)</f>
        <v/>
      </c>
      <c r="I1862" s="7"/>
      <c r="J1862" s="7"/>
      <c r="K1862" s="7"/>
    </row>
    <row r="1863" spans="1:11" x14ac:dyDescent="0.35">
      <c r="A1863" s="7" t="str">
        <f>IF(Notes!BY1859="","",Notes!BY1859)</f>
        <v/>
      </c>
      <c r="B1863" s="7" t="str">
        <f>IF(Notes!BZ1859="","",Notes!BZ1859)</f>
        <v/>
      </c>
      <c r="C1863" s="7" t="str">
        <f>IF(Notes!CA1859="","",Notes!CA1859)</f>
        <v/>
      </c>
      <c r="D1863" s="7" t="str">
        <f>IF(Notes!CB1859="","",Notes!CB1859)</f>
        <v/>
      </c>
      <c r="E1863" s="7" t="str">
        <f>IF(Notes!CC1859="","",Notes!CC1859)</f>
        <v/>
      </c>
      <c r="F1863" s="7" t="str">
        <f>IF(Notes!CD1859="","",Notes!CD1859)</f>
        <v/>
      </c>
      <c r="G1863" s="7" t="str">
        <f>IF(Notes!CE1859="","",Notes!CE1859)</f>
        <v/>
      </c>
      <c r="H1863" s="7" t="str">
        <f>IF(Notes!CF1859="","",Notes!CF1859)</f>
        <v/>
      </c>
      <c r="I1863" s="7"/>
      <c r="J1863" s="7"/>
      <c r="K1863" s="7"/>
    </row>
    <row r="1864" spans="1:11" x14ac:dyDescent="0.35">
      <c r="A1864" s="7" t="str">
        <f>IF(Notes!BY1860="","",Notes!BY1860)</f>
        <v/>
      </c>
      <c r="B1864" s="7" t="str">
        <f>IF(Notes!BZ1860="","",Notes!BZ1860)</f>
        <v/>
      </c>
      <c r="C1864" s="7" t="str">
        <f>IF(Notes!CA1860="","",Notes!CA1860)</f>
        <v/>
      </c>
      <c r="D1864" s="7" t="str">
        <f>IF(Notes!CB1860="","",Notes!CB1860)</f>
        <v/>
      </c>
      <c r="E1864" s="7" t="str">
        <f>IF(Notes!CC1860="","",Notes!CC1860)</f>
        <v/>
      </c>
      <c r="F1864" s="7" t="str">
        <f>IF(Notes!CD1860="","",Notes!CD1860)</f>
        <v/>
      </c>
      <c r="G1864" s="7" t="str">
        <f>IF(Notes!CE1860="","",Notes!CE1860)</f>
        <v/>
      </c>
      <c r="H1864" s="7" t="str">
        <f>IF(Notes!CF1860="","",Notes!CF1860)</f>
        <v/>
      </c>
      <c r="I1864" s="7"/>
      <c r="J1864" s="7"/>
      <c r="K1864" s="7"/>
    </row>
    <row r="1865" spans="1:11" x14ac:dyDescent="0.35">
      <c r="A1865" s="7" t="str">
        <f>IF(Notes!BY1861="","",Notes!BY1861)</f>
        <v/>
      </c>
      <c r="B1865" s="7" t="str">
        <f>IF(Notes!BZ1861="","",Notes!BZ1861)</f>
        <v/>
      </c>
      <c r="C1865" s="7" t="str">
        <f>IF(Notes!CA1861="","",Notes!CA1861)</f>
        <v/>
      </c>
      <c r="D1865" s="7" t="str">
        <f>IF(Notes!CB1861="","",Notes!CB1861)</f>
        <v/>
      </c>
      <c r="E1865" s="7" t="str">
        <f>IF(Notes!CC1861="","",Notes!CC1861)</f>
        <v/>
      </c>
      <c r="F1865" s="7" t="str">
        <f>IF(Notes!CD1861="","",Notes!CD1861)</f>
        <v/>
      </c>
      <c r="G1865" s="7" t="str">
        <f>IF(Notes!CE1861="","",Notes!CE1861)</f>
        <v/>
      </c>
      <c r="H1865" s="7" t="str">
        <f>IF(Notes!CF1861="","",Notes!CF1861)</f>
        <v/>
      </c>
      <c r="I1865" s="7"/>
      <c r="J1865" s="7"/>
      <c r="K1865" s="7"/>
    </row>
    <row r="1866" spans="1:11" x14ac:dyDescent="0.35">
      <c r="A1866" s="7" t="str">
        <f>IF(Notes!BY1862="","",Notes!BY1862)</f>
        <v/>
      </c>
      <c r="B1866" s="7" t="str">
        <f>IF(Notes!BZ1862="","",Notes!BZ1862)</f>
        <v/>
      </c>
      <c r="C1866" s="7" t="str">
        <f>IF(Notes!CA1862="","",Notes!CA1862)</f>
        <v/>
      </c>
      <c r="D1866" s="7" t="str">
        <f>IF(Notes!CB1862="","",Notes!CB1862)</f>
        <v/>
      </c>
      <c r="E1866" s="7" t="str">
        <f>IF(Notes!CC1862="","",Notes!CC1862)</f>
        <v/>
      </c>
      <c r="F1866" s="7" t="str">
        <f>IF(Notes!CD1862="","",Notes!CD1862)</f>
        <v/>
      </c>
      <c r="G1866" s="7" t="str">
        <f>IF(Notes!CE1862="","",Notes!CE1862)</f>
        <v/>
      </c>
      <c r="H1866" s="7" t="str">
        <f>IF(Notes!CF1862="","",Notes!CF1862)</f>
        <v/>
      </c>
      <c r="I1866" s="7"/>
      <c r="J1866" s="7"/>
      <c r="K1866" s="7"/>
    </row>
    <row r="1867" spans="1:11" x14ac:dyDescent="0.35">
      <c r="A1867" s="7" t="str">
        <f>IF(Notes!BY1863="","",Notes!BY1863)</f>
        <v/>
      </c>
      <c r="B1867" s="7" t="str">
        <f>IF(Notes!BZ1863="","",Notes!BZ1863)</f>
        <v/>
      </c>
      <c r="C1867" s="7" t="str">
        <f>IF(Notes!CA1863="","",Notes!CA1863)</f>
        <v/>
      </c>
      <c r="D1867" s="7" t="str">
        <f>IF(Notes!CB1863="","",Notes!CB1863)</f>
        <v/>
      </c>
      <c r="E1867" s="7" t="str">
        <f>IF(Notes!CC1863="","",Notes!CC1863)</f>
        <v/>
      </c>
      <c r="F1867" s="7" t="str">
        <f>IF(Notes!CD1863="","",Notes!CD1863)</f>
        <v/>
      </c>
      <c r="G1867" s="7" t="str">
        <f>IF(Notes!CE1863="","",Notes!CE1863)</f>
        <v/>
      </c>
      <c r="H1867" s="7" t="str">
        <f>IF(Notes!CF1863="","",Notes!CF1863)</f>
        <v/>
      </c>
      <c r="I1867" s="7"/>
      <c r="J1867" s="7"/>
      <c r="K1867" s="7"/>
    </row>
    <row r="1868" spans="1:11" x14ac:dyDescent="0.35">
      <c r="A1868" s="7" t="str">
        <f>IF(Notes!BY1864="","",Notes!BY1864)</f>
        <v/>
      </c>
      <c r="B1868" s="7" t="str">
        <f>IF(Notes!BZ1864="","",Notes!BZ1864)</f>
        <v/>
      </c>
      <c r="C1868" s="7" t="str">
        <f>IF(Notes!CA1864="","",Notes!CA1864)</f>
        <v/>
      </c>
      <c r="D1868" s="7" t="str">
        <f>IF(Notes!CB1864="","",Notes!CB1864)</f>
        <v/>
      </c>
      <c r="E1868" s="7" t="str">
        <f>IF(Notes!CC1864="","",Notes!CC1864)</f>
        <v/>
      </c>
      <c r="F1868" s="7" t="str">
        <f>IF(Notes!CD1864="","",Notes!CD1864)</f>
        <v/>
      </c>
      <c r="G1868" s="7" t="str">
        <f>IF(Notes!CE1864="","",Notes!CE1864)</f>
        <v/>
      </c>
      <c r="H1868" s="7" t="str">
        <f>IF(Notes!CF1864="","",Notes!CF1864)</f>
        <v/>
      </c>
      <c r="I1868" s="7"/>
      <c r="J1868" s="7"/>
      <c r="K1868" s="7"/>
    </row>
    <row r="1869" spans="1:11" x14ac:dyDescent="0.35">
      <c r="A1869" s="7" t="str">
        <f>IF(Notes!BY1865="","",Notes!BY1865)</f>
        <v/>
      </c>
      <c r="B1869" s="7" t="str">
        <f>IF(Notes!BZ1865="","",Notes!BZ1865)</f>
        <v/>
      </c>
      <c r="C1869" s="7" t="str">
        <f>IF(Notes!CA1865="","",Notes!CA1865)</f>
        <v/>
      </c>
      <c r="D1869" s="7" t="str">
        <f>IF(Notes!CB1865="","",Notes!CB1865)</f>
        <v/>
      </c>
      <c r="E1869" s="7" t="str">
        <f>IF(Notes!CC1865="","",Notes!CC1865)</f>
        <v/>
      </c>
      <c r="F1869" s="7" t="str">
        <f>IF(Notes!CD1865="","",Notes!CD1865)</f>
        <v/>
      </c>
      <c r="G1869" s="7" t="str">
        <f>IF(Notes!CE1865="","",Notes!CE1865)</f>
        <v/>
      </c>
      <c r="H1869" s="7" t="str">
        <f>IF(Notes!CF1865="","",Notes!CF1865)</f>
        <v/>
      </c>
      <c r="I1869" s="7"/>
      <c r="J1869" s="7"/>
      <c r="K1869" s="7"/>
    </row>
    <row r="1870" spans="1:11" x14ac:dyDescent="0.35">
      <c r="A1870" s="7" t="str">
        <f>IF(Notes!BY1866="","",Notes!BY1866)</f>
        <v/>
      </c>
      <c r="B1870" s="7" t="str">
        <f>IF(Notes!BZ1866="","",Notes!BZ1866)</f>
        <v/>
      </c>
      <c r="C1870" s="7" t="str">
        <f>IF(Notes!CA1866="","",Notes!CA1866)</f>
        <v/>
      </c>
      <c r="D1870" s="7" t="str">
        <f>IF(Notes!CB1866="","",Notes!CB1866)</f>
        <v/>
      </c>
      <c r="E1870" s="7" t="str">
        <f>IF(Notes!CC1866="","",Notes!CC1866)</f>
        <v/>
      </c>
      <c r="F1870" s="7" t="str">
        <f>IF(Notes!CD1866="","",Notes!CD1866)</f>
        <v/>
      </c>
      <c r="G1870" s="7" t="str">
        <f>IF(Notes!CE1866="","",Notes!CE1866)</f>
        <v/>
      </c>
      <c r="H1870" s="7" t="str">
        <f>IF(Notes!CF1866="","",Notes!CF1866)</f>
        <v/>
      </c>
      <c r="I1870" s="7"/>
      <c r="J1870" s="7"/>
      <c r="K1870" s="7"/>
    </row>
    <row r="1871" spans="1:11" x14ac:dyDescent="0.35">
      <c r="A1871" s="7" t="str">
        <f>IF(Notes!BY1867="","",Notes!BY1867)</f>
        <v/>
      </c>
      <c r="B1871" s="7" t="str">
        <f>IF(Notes!BZ1867="","",Notes!BZ1867)</f>
        <v/>
      </c>
      <c r="C1871" s="7" t="str">
        <f>IF(Notes!CA1867="","",Notes!CA1867)</f>
        <v/>
      </c>
      <c r="D1871" s="7" t="str">
        <f>IF(Notes!CB1867="","",Notes!CB1867)</f>
        <v/>
      </c>
      <c r="E1871" s="7" t="str">
        <f>IF(Notes!CC1867="","",Notes!CC1867)</f>
        <v/>
      </c>
      <c r="F1871" s="7" t="str">
        <f>IF(Notes!CD1867="","",Notes!CD1867)</f>
        <v/>
      </c>
      <c r="G1871" s="7" t="str">
        <f>IF(Notes!CE1867="","",Notes!CE1867)</f>
        <v/>
      </c>
      <c r="H1871" s="7" t="str">
        <f>IF(Notes!CF1867="","",Notes!CF1867)</f>
        <v/>
      </c>
      <c r="I1871" s="7"/>
      <c r="J1871" s="7"/>
      <c r="K1871" s="7"/>
    </row>
    <row r="1872" spans="1:11" x14ac:dyDescent="0.35">
      <c r="A1872" s="7" t="str">
        <f>IF(Notes!BY1868="","",Notes!BY1868)</f>
        <v/>
      </c>
      <c r="B1872" s="7" t="str">
        <f>IF(Notes!BZ1868="","",Notes!BZ1868)</f>
        <v/>
      </c>
      <c r="C1872" s="7" t="str">
        <f>IF(Notes!CA1868="","",Notes!CA1868)</f>
        <v/>
      </c>
      <c r="D1872" s="7" t="str">
        <f>IF(Notes!CB1868="","",Notes!CB1868)</f>
        <v/>
      </c>
      <c r="E1872" s="7" t="str">
        <f>IF(Notes!CC1868="","",Notes!CC1868)</f>
        <v/>
      </c>
      <c r="F1872" s="7" t="str">
        <f>IF(Notes!CD1868="","",Notes!CD1868)</f>
        <v/>
      </c>
      <c r="G1872" s="7" t="str">
        <f>IF(Notes!CE1868="","",Notes!CE1868)</f>
        <v/>
      </c>
      <c r="H1872" s="7" t="str">
        <f>IF(Notes!CF1868="","",Notes!CF1868)</f>
        <v/>
      </c>
      <c r="I1872" s="7"/>
      <c r="J1872" s="7"/>
      <c r="K1872" s="7"/>
    </row>
    <row r="1873" spans="1:11" x14ac:dyDescent="0.35">
      <c r="A1873" s="7" t="str">
        <f>IF(Notes!BY1869="","",Notes!BY1869)</f>
        <v/>
      </c>
      <c r="B1873" s="7" t="str">
        <f>IF(Notes!BZ1869="","",Notes!BZ1869)</f>
        <v/>
      </c>
      <c r="C1873" s="7" t="str">
        <f>IF(Notes!CA1869="","",Notes!CA1869)</f>
        <v/>
      </c>
      <c r="D1873" s="7" t="str">
        <f>IF(Notes!CB1869="","",Notes!CB1869)</f>
        <v/>
      </c>
      <c r="E1873" s="7" t="str">
        <f>IF(Notes!CC1869="","",Notes!CC1869)</f>
        <v/>
      </c>
      <c r="F1873" s="7" t="str">
        <f>IF(Notes!CD1869="","",Notes!CD1869)</f>
        <v/>
      </c>
      <c r="G1873" s="7" t="str">
        <f>IF(Notes!CE1869="","",Notes!CE1869)</f>
        <v/>
      </c>
      <c r="H1873" s="7" t="str">
        <f>IF(Notes!CF1869="","",Notes!CF1869)</f>
        <v/>
      </c>
      <c r="I1873" s="7"/>
      <c r="J1873" s="7"/>
      <c r="K1873" s="7"/>
    </row>
    <row r="1874" spans="1:11" x14ac:dyDescent="0.35">
      <c r="A1874" s="7" t="str">
        <f>IF(Notes!BY1870="","",Notes!BY1870)</f>
        <v/>
      </c>
      <c r="B1874" s="7" t="str">
        <f>IF(Notes!BZ1870="","",Notes!BZ1870)</f>
        <v/>
      </c>
      <c r="C1874" s="7" t="str">
        <f>IF(Notes!CA1870="","",Notes!CA1870)</f>
        <v/>
      </c>
      <c r="D1874" s="7" t="str">
        <f>IF(Notes!CB1870="","",Notes!CB1870)</f>
        <v/>
      </c>
      <c r="E1874" s="7" t="str">
        <f>IF(Notes!CC1870="","",Notes!CC1870)</f>
        <v/>
      </c>
      <c r="F1874" s="7" t="str">
        <f>IF(Notes!CD1870="","",Notes!CD1870)</f>
        <v/>
      </c>
      <c r="G1874" s="7" t="str">
        <f>IF(Notes!CE1870="","",Notes!CE1870)</f>
        <v/>
      </c>
      <c r="H1874" s="7" t="str">
        <f>IF(Notes!CF1870="","",Notes!CF1870)</f>
        <v/>
      </c>
      <c r="I1874" s="7"/>
      <c r="J1874" s="7"/>
      <c r="K1874" s="7"/>
    </row>
    <row r="1875" spans="1:11" x14ac:dyDescent="0.35">
      <c r="A1875" s="7" t="str">
        <f>IF(Notes!BY1871="","",Notes!BY1871)</f>
        <v/>
      </c>
      <c r="B1875" s="7" t="str">
        <f>IF(Notes!BZ1871="","",Notes!BZ1871)</f>
        <v/>
      </c>
      <c r="C1875" s="7" t="str">
        <f>IF(Notes!CA1871="","",Notes!CA1871)</f>
        <v/>
      </c>
      <c r="D1875" s="7" t="str">
        <f>IF(Notes!CB1871="","",Notes!CB1871)</f>
        <v/>
      </c>
      <c r="E1875" s="7" t="str">
        <f>IF(Notes!CC1871="","",Notes!CC1871)</f>
        <v/>
      </c>
      <c r="F1875" s="7" t="str">
        <f>IF(Notes!CD1871="","",Notes!CD1871)</f>
        <v/>
      </c>
      <c r="G1875" s="7" t="str">
        <f>IF(Notes!CE1871="","",Notes!CE1871)</f>
        <v/>
      </c>
      <c r="H1875" s="7" t="str">
        <f>IF(Notes!CF1871="","",Notes!CF1871)</f>
        <v/>
      </c>
      <c r="I1875" s="7"/>
      <c r="J1875" s="7"/>
      <c r="K1875" s="7"/>
    </row>
    <row r="1876" spans="1:11" x14ac:dyDescent="0.35">
      <c r="A1876" s="7" t="str">
        <f>IF(Notes!BY1872="","",Notes!BY1872)</f>
        <v/>
      </c>
      <c r="B1876" s="7" t="str">
        <f>IF(Notes!BZ1872="","",Notes!BZ1872)</f>
        <v/>
      </c>
      <c r="C1876" s="7" t="str">
        <f>IF(Notes!CA1872="","",Notes!CA1872)</f>
        <v/>
      </c>
      <c r="D1876" s="7" t="str">
        <f>IF(Notes!CB1872="","",Notes!CB1872)</f>
        <v/>
      </c>
      <c r="E1876" s="7" t="str">
        <f>IF(Notes!CC1872="","",Notes!CC1872)</f>
        <v/>
      </c>
      <c r="F1876" s="7" t="str">
        <f>IF(Notes!CD1872="","",Notes!CD1872)</f>
        <v/>
      </c>
      <c r="G1876" s="7" t="str">
        <f>IF(Notes!CE1872="","",Notes!CE1872)</f>
        <v/>
      </c>
      <c r="H1876" s="7" t="str">
        <f>IF(Notes!CF1872="","",Notes!CF1872)</f>
        <v/>
      </c>
      <c r="I1876" s="7"/>
      <c r="J1876" s="7"/>
      <c r="K1876" s="7"/>
    </row>
    <row r="1877" spans="1:11" x14ac:dyDescent="0.35">
      <c r="A1877" s="7" t="str">
        <f>IF(Notes!BY1873="","",Notes!BY1873)</f>
        <v/>
      </c>
      <c r="B1877" s="7" t="str">
        <f>IF(Notes!BZ1873="","",Notes!BZ1873)</f>
        <v/>
      </c>
      <c r="C1877" s="7" t="str">
        <f>IF(Notes!CA1873="","",Notes!CA1873)</f>
        <v/>
      </c>
      <c r="D1877" s="7" t="str">
        <f>IF(Notes!CB1873="","",Notes!CB1873)</f>
        <v/>
      </c>
      <c r="E1877" s="7" t="str">
        <f>IF(Notes!CC1873="","",Notes!CC1873)</f>
        <v/>
      </c>
      <c r="F1877" s="7" t="str">
        <f>IF(Notes!CD1873="","",Notes!CD1873)</f>
        <v/>
      </c>
      <c r="G1877" s="7" t="str">
        <f>IF(Notes!CE1873="","",Notes!CE1873)</f>
        <v/>
      </c>
      <c r="H1877" s="7" t="str">
        <f>IF(Notes!CF1873="","",Notes!CF1873)</f>
        <v/>
      </c>
      <c r="I1877" s="7"/>
      <c r="J1877" s="7"/>
      <c r="K1877" s="7"/>
    </row>
    <row r="1878" spans="1:11" x14ac:dyDescent="0.35">
      <c r="A1878" s="7" t="str">
        <f>IF(Notes!BY1874="","",Notes!BY1874)</f>
        <v/>
      </c>
      <c r="B1878" s="7" t="str">
        <f>IF(Notes!BZ1874="","",Notes!BZ1874)</f>
        <v/>
      </c>
      <c r="C1878" s="7" t="str">
        <f>IF(Notes!CA1874="","",Notes!CA1874)</f>
        <v/>
      </c>
      <c r="D1878" s="7" t="str">
        <f>IF(Notes!CB1874="","",Notes!CB1874)</f>
        <v/>
      </c>
      <c r="E1878" s="7" t="str">
        <f>IF(Notes!CC1874="","",Notes!CC1874)</f>
        <v/>
      </c>
      <c r="F1878" s="7" t="str">
        <f>IF(Notes!CD1874="","",Notes!CD1874)</f>
        <v/>
      </c>
      <c r="G1878" s="7" t="str">
        <f>IF(Notes!CE1874="","",Notes!CE1874)</f>
        <v/>
      </c>
      <c r="H1878" s="7" t="str">
        <f>IF(Notes!CF1874="","",Notes!CF1874)</f>
        <v/>
      </c>
      <c r="I1878" s="7"/>
      <c r="J1878" s="7"/>
      <c r="K1878" s="7"/>
    </row>
    <row r="1879" spans="1:11" x14ac:dyDescent="0.35">
      <c r="A1879" s="7" t="str">
        <f>IF(Notes!BY1875="","",Notes!BY1875)</f>
        <v/>
      </c>
      <c r="B1879" s="7" t="str">
        <f>IF(Notes!BZ1875="","",Notes!BZ1875)</f>
        <v/>
      </c>
      <c r="C1879" s="7" t="str">
        <f>IF(Notes!CA1875="","",Notes!CA1875)</f>
        <v/>
      </c>
      <c r="D1879" s="7" t="str">
        <f>IF(Notes!CB1875="","",Notes!CB1875)</f>
        <v/>
      </c>
      <c r="E1879" s="7" t="str">
        <f>IF(Notes!CC1875="","",Notes!CC1875)</f>
        <v/>
      </c>
      <c r="F1879" s="7" t="str">
        <f>IF(Notes!CD1875="","",Notes!CD1875)</f>
        <v/>
      </c>
      <c r="G1879" s="7" t="str">
        <f>IF(Notes!CE1875="","",Notes!CE1875)</f>
        <v/>
      </c>
      <c r="H1879" s="7" t="str">
        <f>IF(Notes!CF1875="","",Notes!CF1875)</f>
        <v/>
      </c>
      <c r="I1879" s="7"/>
      <c r="J1879" s="7"/>
      <c r="K1879" s="7"/>
    </row>
    <row r="1880" spans="1:11" x14ac:dyDescent="0.35">
      <c r="A1880" s="7" t="str">
        <f>IF(Notes!BY1876="","",Notes!BY1876)</f>
        <v/>
      </c>
      <c r="B1880" s="7" t="str">
        <f>IF(Notes!BZ1876="","",Notes!BZ1876)</f>
        <v/>
      </c>
      <c r="C1880" s="7" t="str">
        <f>IF(Notes!CA1876="","",Notes!CA1876)</f>
        <v/>
      </c>
      <c r="D1880" s="7" t="str">
        <f>IF(Notes!CB1876="","",Notes!CB1876)</f>
        <v/>
      </c>
      <c r="E1880" s="7" t="str">
        <f>IF(Notes!CC1876="","",Notes!CC1876)</f>
        <v/>
      </c>
      <c r="F1880" s="7" t="str">
        <f>IF(Notes!CD1876="","",Notes!CD1876)</f>
        <v/>
      </c>
      <c r="G1880" s="7" t="str">
        <f>IF(Notes!CE1876="","",Notes!CE1876)</f>
        <v/>
      </c>
      <c r="H1880" s="7" t="str">
        <f>IF(Notes!CF1876="","",Notes!CF1876)</f>
        <v/>
      </c>
      <c r="I1880" s="7"/>
      <c r="J1880" s="7"/>
      <c r="K1880" s="7"/>
    </row>
    <row r="1881" spans="1:11" x14ac:dyDescent="0.35">
      <c r="A1881" s="7" t="str">
        <f>IF(Notes!BY1877="","",Notes!BY1877)</f>
        <v/>
      </c>
      <c r="B1881" s="7" t="str">
        <f>IF(Notes!BZ1877="","",Notes!BZ1877)</f>
        <v/>
      </c>
      <c r="C1881" s="7" t="str">
        <f>IF(Notes!CA1877="","",Notes!CA1877)</f>
        <v/>
      </c>
      <c r="D1881" s="7" t="str">
        <f>IF(Notes!CB1877="","",Notes!CB1877)</f>
        <v/>
      </c>
      <c r="E1881" s="7" t="str">
        <f>IF(Notes!CC1877="","",Notes!CC1877)</f>
        <v/>
      </c>
      <c r="F1881" s="7" t="str">
        <f>IF(Notes!CD1877="","",Notes!CD1877)</f>
        <v/>
      </c>
      <c r="G1881" s="7" t="str">
        <f>IF(Notes!CE1877="","",Notes!CE1877)</f>
        <v/>
      </c>
      <c r="H1881" s="7" t="str">
        <f>IF(Notes!CF1877="","",Notes!CF1877)</f>
        <v/>
      </c>
      <c r="I1881" s="7"/>
      <c r="J1881" s="7"/>
      <c r="K1881" s="7"/>
    </row>
    <row r="1882" spans="1:11" x14ac:dyDescent="0.35">
      <c r="A1882" s="7" t="str">
        <f>IF(Notes!BY1878="","",Notes!BY1878)</f>
        <v/>
      </c>
      <c r="B1882" s="7" t="str">
        <f>IF(Notes!BZ1878="","",Notes!BZ1878)</f>
        <v/>
      </c>
      <c r="C1882" s="7" t="str">
        <f>IF(Notes!CA1878="","",Notes!CA1878)</f>
        <v/>
      </c>
      <c r="D1882" s="7" t="str">
        <f>IF(Notes!CB1878="","",Notes!CB1878)</f>
        <v/>
      </c>
      <c r="E1882" s="7" t="str">
        <f>IF(Notes!CC1878="","",Notes!CC1878)</f>
        <v/>
      </c>
      <c r="F1882" s="7" t="str">
        <f>IF(Notes!CD1878="","",Notes!CD1878)</f>
        <v/>
      </c>
      <c r="G1882" s="7" t="str">
        <f>IF(Notes!CE1878="","",Notes!CE1878)</f>
        <v/>
      </c>
      <c r="H1882" s="7" t="str">
        <f>IF(Notes!CF1878="","",Notes!CF1878)</f>
        <v/>
      </c>
      <c r="I1882" s="7"/>
      <c r="J1882" s="7"/>
      <c r="K1882" s="7"/>
    </row>
    <row r="1883" spans="1:11" x14ac:dyDescent="0.35">
      <c r="A1883" s="7" t="str">
        <f>IF(Notes!BY1879="","",Notes!BY1879)</f>
        <v/>
      </c>
      <c r="B1883" s="7" t="str">
        <f>IF(Notes!BZ1879="","",Notes!BZ1879)</f>
        <v/>
      </c>
      <c r="C1883" s="7" t="str">
        <f>IF(Notes!CA1879="","",Notes!CA1879)</f>
        <v/>
      </c>
      <c r="D1883" s="7" t="str">
        <f>IF(Notes!CB1879="","",Notes!CB1879)</f>
        <v/>
      </c>
      <c r="E1883" s="7" t="str">
        <f>IF(Notes!CC1879="","",Notes!CC1879)</f>
        <v/>
      </c>
      <c r="F1883" s="7" t="str">
        <f>IF(Notes!CD1879="","",Notes!CD1879)</f>
        <v/>
      </c>
      <c r="G1883" s="7" t="str">
        <f>IF(Notes!CE1879="","",Notes!CE1879)</f>
        <v/>
      </c>
      <c r="H1883" s="7" t="str">
        <f>IF(Notes!CF1879="","",Notes!CF1879)</f>
        <v/>
      </c>
      <c r="I1883" s="7"/>
      <c r="J1883" s="7"/>
      <c r="K1883" s="7"/>
    </row>
    <row r="1884" spans="1:11" x14ac:dyDescent="0.35">
      <c r="A1884" s="7" t="str">
        <f>IF(Notes!BY1880="","",Notes!BY1880)</f>
        <v/>
      </c>
      <c r="B1884" s="7" t="str">
        <f>IF(Notes!BZ1880="","",Notes!BZ1880)</f>
        <v/>
      </c>
      <c r="C1884" s="7" t="str">
        <f>IF(Notes!CA1880="","",Notes!CA1880)</f>
        <v/>
      </c>
      <c r="D1884" s="7" t="str">
        <f>IF(Notes!CB1880="","",Notes!CB1880)</f>
        <v/>
      </c>
      <c r="E1884" s="7" t="str">
        <f>IF(Notes!CC1880="","",Notes!CC1880)</f>
        <v/>
      </c>
      <c r="F1884" s="7" t="str">
        <f>IF(Notes!CD1880="","",Notes!CD1880)</f>
        <v/>
      </c>
      <c r="G1884" s="7" t="str">
        <f>IF(Notes!CE1880="","",Notes!CE1880)</f>
        <v/>
      </c>
      <c r="H1884" s="7" t="str">
        <f>IF(Notes!CF1880="","",Notes!CF1880)</f>
        <v/>
      </c>
      <c r="I1884" s="7"/>
      <c r="J1884" s="7"/>
      <c r="K1884" s="7"/>
    </row>
    <row r="1885" spans="1:11" x14ac:dyDescent="0.35">
      <c r="A1885" s="7" t="str">
        <f>IF(Notes!BY1881="","",Notes!BY1881)</f>
        <v/>
      </c>
      <c r="B1885" s="7" t="str">
        <f>IF(Notes!BZ1881="","",Notes!BZ1881)</f>
        <v/>
      </c>
      <c r="C1885" s="7" t="str">
        <f>IF(Notes!CA1881="","",Notes!CA1881)</f>
        <v/>
      </c>
      <c r="D1885" s="7" t="str">
        <f>IF(Notes!CB1881="","",Notes!CB1881)</f>
        <v/>
      </c>
      <c r="E1885" s="7" t="str">
        <f>IF(Notes!CC1881="","",Notes!CC1881)</f>
        <v/>
      </c>
      <c r="F1885" s="7" t="str">
        <f>IF(Notes!CD1881="","",Notes!CD1881)</f>
        <v/>
      </c>
      <c r="G1885" s="7" t="str">
        <f>IF(Notes!CE1881="","",Notes!CE1881)</f>
        <v/>
      </c>
      <c r="H1885" s="7" t="str">
        <f>IF(Notes!CF1881="","",Notes!CF1881)</f>
        <v/>
      </c>
      <c r="I1885" s="7"/>
      <c r="J1885" s="7"/>
      <c r="K1885" s="7"/>
    </row>
    <row r="1886" spans="1:11" x14ac:dyDescent="0.35">
      <c r="A1886" s="7" t="str">
        <f>IF(Notes!BY1882="","",Notes!BY1882)</f>
        <v/>
      </c>
      <c r="B1886" s="7" t="str">
        <f>IF(Notes!BZ1882="","",Notes!BZ1882)</f>
        <v/>
      </c>
      <c r="C1886" s="7" t="str">
        <f>IF(Notes!CA1882="","",Notes!CA1882)</f>
        <v/>
      </c>
      <c r="D1886" s="7" t="str">
        <f>IF(Notes!CB1882="","",Notes!CB1882)</f>
        <v/>
      </c>
      <c r="E1886" s="7" t="str">
        <f>IF(Notes!CC1882="","",Notes!CC1882)</f>
        <v/>
      </c>
      <c r="F1886" s="7" t="str">
        <f>IF(Notes!CD1882="","",Notes!CD1882)</f>
        <v/>
      </c>
      <c r="G1886" s="7" t="str">
        <f>IF(Notes!CE1882="","",Notes!CE1882)</f>
        <v/>
      </c>
      <c r="H1886" s="7" t="str">
        <f>IF(Notes!CF1882="","",Notes!CF1882)</f>
        <v/>
      </c>
      <c r="I1886" s="7"/>
      <c r="J1886" s="7"/>
      <c r="K1886" s="7"/>
    </row>
    <row r="1887" spans="1:11" x14ac:dyDescent="0.35">
      <c r="A1887" s="7" t="str">
        <f>IF(Notes!BY1883="","",Notes!BY1883)</f>
        <v/>
      </c>
      <c r="B1887" s="7" t="str">
        <f>IF(Notes!BZ1883="","",Notes!BZ1883)</f>
        <v/>
      </c>
      <c r="C1887" s="7" t="str">
        <f>IF(Notes!CA1883="","",Notes!CA1883)</f>
        <v/>
      </c>
      <c r="D1887" s="7" t="str">
        <f>IF(Notes!CB1883="","",Notes!CB1883)</f>
        <v/>
      </c>
      <c r="E1887" s="7" t="str">
        <f>IF(Notes!CC1883="","",Notes!CC1883)</f>
        <v/>
      </c>
      <c r="F1887" s="7" t="str">
        <f>IF(Notes!CD1883="","",Notes!CD1883)</f>
        <v/>
      </c>
      <c r="G1887" s="7" t="str">
        <f>IF(Notes!CE1883="","",Notes!CE1883)</f>
        <v/>
      </c>
      <c r="H1887" s="7" t="str">
        <f>IF(Notes!CF1883="","",Notes!CF1883)</f>
        <v/>
      </c>
      <c r="I1887" s="7"/>
      <c r="J1887" s="7"/>
      <c r="K1887" s="7"/>
    </row>
    <row r="1888" spans="1:11" x14ac:dyDescent="0.35">
      <c r="A1888" s="7" t="str">
        <f>IF(Notes!BY1884="","",Notes!BY1884)</f>
        <v/>
      </c>
      <c r="B1888" s="7" t="str">
        <f>IF(Notes!BZ1884="","",Notes!BZ1884)</f>
        <v/>
      </c>
      <c r="C1888" s="7" t="str">
        <f>IF(Notes!CA1884="","",Notes!CA1884)</f>
        <v/>
      </c>
      <c r="D1888" s="7" t="str">
        <f>IF(Notes!CB1884="","",Notes!CB1884)</f>
        <v/>
      </c>
      <c r="E1888" s="7" t="str">
        <f>IF(Notes!CC1884="","",Notes!CC1884)</f>
        <v/>
      </c>
      <c r="F1888" s="7" t="str">
        <f>IF(Notes!CD1884="","",Notes!CD1884)</f>
        <v/>
      </c>
      <c r="G1888" s="7" t="str">
        <f>IF(Notes!CE1884="","",Notes!CE1884)</f>
        <v/>
      </c>
      <c r="H1888" s="7" t="str">
        <f>IF(Notes!CF1884="","",Notes!CF1884)</f>
        <v/>
      </c>
      <c r="I1888" s="7"/>
      <c r="J1888" s="7"/>
      <c r="K1888" s="7"/>
    </row>
    <row r="1889" spans="1:11" x14ac:dyDescent="0.35">
      <c r="A1889" s="7" t="str">
        <f>IF(Notes!BY1885="","",Notes!BY1885)</f>
        <v/>
      </c>
      <c r="B1889" s="7" t="str">
        <f>IF(Notes!BZ1885="","",Notes!BZ1885)</f>
        <v/>
      </c>
      <c r="C1889" s="7" t="str">
        <f>IF(Notes!CA1885="","",Notes!CA1885)</f>
        <v/>
      </c>
      <c r="D1889" s="7" t="str">
        <f>IF(Notes!CB1885="","",Notes!CB1885)</f>
        <v/>
      </c>
      <c r="E1889" s="7" t="str">
        <f>IF(Notes!CC1885="","",Notes!CC1885)</f>
        <v/>
      </c>
      <c r="F1889" s="7" t="str">
        <f>IF(Notes!CD1885="","",Notes!CD1885)</f>
        <v/>
      </c>
      <c r="G1889" s="7" t="str">
        <f>IF(Notes!CE1885="","",Notes!CE1885)</f>
        <v/>
      </c>
      <c r="H1889" s="7" t="str">
        <f>IF(Notes!CF1885="","",Notes!CF1885)</f>
        <v/>
      </c>
      <c r="I1889" s="7"/>
      <c r="J1889" s="7"/>
      <c r="K1889" s="7"/>
    </row>
    <row r="1890" spans="1:11" x14ac:dyDescent="0.35">
      <c r="A1890" s="7" t="str">
        <f>IF(Notes!BY1886="","",Notes!BY1886)</f>
        <v/>
      </c>
      <c r="B1890" s="7" t="str">
        <f>IF(Notes!BZ1886="","",Notes!BZ1886)</f>
        <v/>
      </c>
      <c r="C1890" s="7" t="str">
        <f>IF(Notes!CA1886="","",Notes!CA1886)</f>
        <v/>
      </c>
      <c r="D1890" s="7" t="str">
        <f>IF(Notes!CB1886="","",Notes!CB1886)</f>
        <v/>
      </c>
      <c r="E1890" s="7" t="str">
        <f>IF(Notes!CC1886="","",Notes!CC1886)</f>
        <v/>
      </c>
      <c r="F1890" s="7" t="str">
        <f>IF(Notes!CD1886="","",Notes!CD1886)</f>
        <v/>
      </c>
      <c r="G1890" s="7" t="str">
        <f>IF(Notes!CE1886="","",Notes!CE1886)</f>
        <v/>
      </c>
      <c r="H1890" s="7" t="str">
        <f>IF(Notes!CF1886="","",Notes!CF1886)</f>
        <v/>
      </c>
      <c r="I1890" s="7"/>
      <c r="J1890" s="7"/>
      <c r="K1890" s="7"/>
    </row>
    <row r="1891" spans="1:11" x14ac:dyDescent="0.35">
      <c r="A1891" s="7" t="str">
        <f>IF(Notes!BY1887="","",Notes!BY1887)</f>
        <v/>
      </c>
      <c r="B1891" s="7" t="str">
        <f>IF(Notes!BZ1887="","",Notes!BZ1887)</f>
        <v/>
      </c>
      <c r="C1891" s="7" t="str">
        <f>IF(Notes!CA1887="","",Notes!CA1887)</f>
        <v/>
      </c>
      <c r="D1891" s="7" t="str">
        <f>IF(Notes!CB1887="","",Notes!CB1887)</f>
        <v/>
      </c>
      <c r="E1891" s="7" t="str">
        <f>IF(Notes!CC1887="","",Notes!CC1887)</f>
        <v/>
      </c>
      <c r="F1891" s="7" t="str">
        <f>IF(Notes!CD1887="","",Notes!CD1887)</f>
        <v/>
      </c>
      <c r="G1891" s="7" t="str">
        <f>IF(Notes!CE1887="","",Notes!CE1887)</f>
        <v/>
      </c>
      <c r="H1891" s="7" t="str">
        <f>IF(Notes!CF1887="","",Notes!CF1887)</f>
        <v/>
      </c>
      <c r="I1891" s="7"/>
      <c r="J1891" s="7"/>
      <c r="K1891" s="7"/>
    </row>
    <row r="1892" spans="1:11" x14ac:dyDescent="0.35">
      <c r="A1892" s="7" t="str">
        <f>IF(Notes!BY1888="","",Notes!BY1888)</f>
        <v/>
      </c>
      <c r="B1892" s="7" t="str">
        <f>IF(Notes!BZ1888="","",Notes!BZ1888)</f>
        <v/>
      </c>
      <c r="C1892" s="7" t="str">
        <f>IF(Notes!CA1888="","",Notes!CA1888)</f>
        <v/>
      </c>
      <c r="D1892" s="7" t="str">
        <f>IF(Notes!CB1888="","",Notes!CB1888)</f>
        <v/>
      </c>
      <c r="E1892" s="7" t="str">
        <f>IF(Notes!CC1888="","",Notes!CC1888)</f>
        <v/>
      </c>
      <c r="F1892" s="7" t="str">
        <f>IF(Notes!CD1888="","",Notes!CD1888)</f>
        <v/>
      </c>
      <c r="G1892" s="7" t="str">
        <f>IF(Notes!CE1888="","",Notes!CE1888)</f>
        <v/>
      </c>
      <c r="H1892" s="7" t="str">
        <f>IF(Notes!CF1888="","",Notes!CF1888)</f>
        <v/>
      </c>
      <c r="I1892" s="7"/>
      <c r="J1892" s="7"/>
      <c r="K1892" s="7"/>
    </row>
    <row r="1893" spans="1:11" x14ac:dyDescent="0.35">
      <c r="A1893" s="7" t="str">
        <f>IF(Notes!BY1889="","",Notes!BY1889)</f>
        <v/>
      </c>
      <c r="B1893" s="7" t="str">
        <f>IF(Notes!BZ1889="","",Notes!BZ1889)</f>
        <v/>
      </c>
      <c r="C1893" s="7" t="str">
        <f>IF(Notes!CA1889="","",Notes!CA1889)</f>
        <v/>
      </c>
      <c r="D1893" s="7" t="str">
        <f>IF(Notes!CB1889="","",Notes!CB1889)</f>
        <v/>
      </c>
      <c r="E1893" s="7" t="str">
        <f>IF(Notes!CC1889="","",Notes!CC1889)</f>
        <v/>
      </c>
      <c r="F1893" s="7" t="str">
        <f>IF(Notes!CD1889="","",Notes!CD1889)</f>
        <v/>
      </c>
      <c r="G1893" s="7" t="str">
        <f>IF(Notes!CE1889="","",Notes!CE1889)</f>
        <v/>
      </c>
      <c r="H1893" s="7" t="str">
        <f>IF(Notes!CF1889="","",Notes!CF1889)</f>
        <v/>
      </c>
      <c r="I1893" s="7"/>
      <c r="J1893" s="7"/>
      <c r="K1893" s="7"/>
    </row>
    <row r="1894" spans="1:11" x14ac:dyDescent="0.35">
      <c r="A1894" s="7" t="str">
        <f>IF(Notes!BY1890="","",Notes!BY1890)</f>
        <v/>
      </c>
      <c r="B1894" s="7" t="str">
        <f>IF(Notes!BZ1890="","",Notes!BZ1890)</f>
        <v/>
      </c>
      <c r="C1894" s="7" t="str">
        <f>IF(Notes!CA1890="","",Notes!CA1890)</f>
        <v/>
      </c>
      <c r="D1894" s="7" t="str">
        <f>IF(Notes!CB1890="","",Notes!CB1890)</f>
        <v/>
      </c>
      <c r="E1894" s="7" t="str">
        <f>IF(Notes!CC1890="","",Notes!CC1890)</f>
        <v/>
      </c>
      <c r="F1894" s="7" t="str">
        <f>IF(Notes!CD1890="","",Notes!CD1890)</f>
        <v/>
      </c>
      <c r="G1894" s="7" t="str">
        <f>IF(Notes!CE1890="","",Notes!CE1890)</f>
        <v/>
      </c>
      <c r="H1894" s="7" t="str">
        <f>IF(Notes!CF1890="","",Notes!CF1890)</f>
        <v/>
      </c>
      <c r="I1894" s="7"/>
      <c r="J1894" s="7"/>
      <c r="K1894" s="7"/>
    </row>
    <row r="1895" spans="1:11" x14ac:dyDescent="0.35">
      <c r="A1895" s="7" t="str">
        <f>IF(Notes!BY1891="","",Notes!BY1891)</f>
        <v/>
      </c>
      <c r="B1895" s="7" t="str">
        <f>IF(Notes!BZ1891="","",Notes!BZ1891)</f>
        <v/>
      </c>
      <c r="C1895" s="7" t="str">
        <f>IF(Notes!CA1891="","",Notes!CA1891)</f>
        <v/>
      </c>
      <c r="D1895" s="7" t="str">
        <f>IF(Notes!CB1891="","",Notes!CB1891)</f>
        <v/>
      </c>
      <c r="E1895" s="7" t="str">
        <f>IF(Notes!CC1891="","",Notes!CC1891)</f>
        <v/>
      </c>
      <c r="F1895" s="7" t="str">
        <f>IF(Notes!CD1891="","",Notes!CD1891)</f>
        <v/>
      </c>
      <c r="G1895" s="7" t="str">
        <f>IF(Notes!CE1891="","",Notes!CE1891)</f>
        <v/>
      </c>
      <c r="H1895" s="7" t="str">
        <f>IF(Notes!CF1891="","",Notes!CF1891)</f>
        <v/>
      </c>
      <c r="I1895" s="7"/>
      <c r="J1895" s="7"/>
      <c r="K1895" s="7"/>
    </row>
    <row r="1896" spans="1:11" x14ac:dyDescent="0.35">
      <c r="A1896" s="7" t="str">
        <f>IF(Notes!BY1892="","",Notes!BY1892)</f>
        <v/>
      </c>
      <c r="B1896" s="7" t="str">
        <f>IF(Notes!BZ1892="","",Notes!BZ1892)</f>
        <v/>
      </c>
      <c r="C1896" s="7" t="str">
        <f>IF(Notes!CA1892="","",Notes!CA1892)</f>
        <v/>
      </c>
      <c r="D1896" s="7" t="str">
        <f>IF(Notes!CB1892="","",Notes!CB1892)</f>
        <v/>
      </c>
      <c r="E1896" s="7" t="str">
        <f>IF(Notes!CC1892="","",Notes!CC1892)</f>
        <v/>
      </c>
      <c r="F1896" s="7" t="str">
        <f>IF(Notes!CD1892="","",Notes!CD1892)</f>
        <v/>
      </c>
      <c r="G1896" s="7" t="str">
        <f>IF(Notes!CE1892="","",Notes!CE1892)</f>
        <v/>
      </c>
      <c r="H1896" s="7" t="str">
        <f>IF(Notes!CF1892="","",Notes!CF1892)</f>
        <v/>
      </c>
      <c r="I1896" s="7"/>
      <c r="J1896" s="7"/>
      <c r="K1896" s="7"/>
    </row>
    <row r="1897" spans="1:11" x14ac:dyDescent="0.35">
      <c r="A1897" s="7" t="str">
        <f>IF(Notes!BY1893="","",Notes!BY1893)</f>
        <v/>
      </c>
      <c r="B1897" s="7" t="str">
        <f>IF(Notes!BZ1893="","",Notes!BZ1893)</f>
        <v/>
      </c>
      <c r="C1897" s="7" t="str">
        <f>IF(Notes!CA1893="","",Notes!CA1893)</f>
        <v/>
      </c>
      <c r="D1897" s="7" t="str">
        <f>IF(Notes!CB1893="","",Notes!CB1893)</f>
        <v/>
      </c>
      <c r="E1897" s="7" t="str">
        <f>IF(Notes!CC1893="","",Notes!CC1893)</f>
        <v/>
      </c>
      <c r="F1897" s="7" t="str">
        <f>IF(Notes!CD1893="","",Notes!CD1893)</f>
        <v/>
      </c>
      <c r="G1897" s="7" t="str">
        <f>IF(Notes!CE1893="","",Notes!CE1893)</f>
        <v/>
      </c>
      <c r="H1897" s="7" t="str">
        <f>IF(Notes!CF1893="","",Notes!CF1893)</f>
        <v/>
      </c>
      <c r="I1897" s="7"/>
      <c r="J1897" s="7"/>
      <c r="K1897" s="7"/>
    </row>
    <row r="1898" spans="1:11" x14ac:dyDescent="0.35">
      <c r="A1898" s="7" t="str">
        <f>IF(Notes!BY1894="","",Notes!BY1894)</f>
        <v/>
      </c>
      <c r="B1898" s="7" t="str">
        <f>IF(Notes!BZ1894="","",Notes!BZ1894)</f>
        <v/>
      </c>
      <c r="C1898" s="7" t="str">
        <f>IF(Notes!CA1894="","",Notes!CA1894)</f>
        <v/>
      </c>
      <c r="D1898" s="7" t="str">
        <f>IF(Notes!CB1894="","",Notes!CB1894)</f>
        <v/>
      </c>
      <c r="E1898" s="7" t="str">
        <f>IF(Notes!CC1894="","",Notes!CC1894)</f>
        <v/>
      </c>
      <c r="F1898" s="7" t="str">
        <f>IF(Notes!CD1894="","",Notes!CD1894)</f>
        <v/>
      </c>
      <c r="G1898" s="7" t="str">
        <f>IF(Notes!CE1894="","",Notes!CE1894)</f>
        <v/>
      </c>
      <c r="H1898" s="7" t="str">
        <f>IF(Notes!CF1894="","",Notes!CF1894)</f>
        <v/>
      </c>
      <c r="I1898" s="7"/>
      <c r="J1898" s="7"/>
      <c r="K1898" s="7"/>
    </row>
    <row r="1899" spans="1:11" x14ac:dyDescent="0.35">
      <c r="A1899" s="7" t="str">
        <f>IF(Notes!BY1895="","",Notes!BY1895)</f>
        <v/>
      </c>
      <c r="B1899" s="7" t="str">
        <f>IF(Notes!BZ1895="","",Notes!BZ1895)</f>
        <v/>
      </c>
      <c r="C1899" s="7" t="str">
        <f>IF(Notes!CA1895="","",Notes!CA1895)</f>
        <v/>
      </c>
      <c r="D1899" s="7" t="str">
        <f>IF(Notes!CB1895="","",Notes!CB1895)</f>
        <v/>
      </c>
      <c r="E1899" s="7" t="str">
        <f>IF(Notes!CC1895="","",Notes!CC1895)</f>
        <v/>
      </c>
      <c r="F1899" s="7" t="str">
        <f>IF(Notes!CD1895="","",Notes!CD1895)</f>
        <v/>
      </c>
      <c r="G1899" s="7" t="str">
        <f>IF(Notes!CE1895="","",Notes!CE1895)</f>
        <v/>
      </c>
      <c r="H1899" s="7" t="str">
        <f>IF(Notes!CF1895="","",Notes!CF1895)</f>
        <v/>
      </c>
      <c r="I1899" s="7"/>
      <c r="J1899" s="7"/>
      <c r="K1899" s="7"/>
    </row>
    <row r="1900" spans="1:11" x14ac:dyDescent="0.35">
      <c r="A1900" s="7" t="str">
        <f>IF(Notes!BY1896="","",Notes!BY1896)</f>
        <v/>
      </c>
      <c r="B1900" s="7" t="str">
        <f>IF(Notes!BZ1896="","",Notes!BZ1896)</f>
        <v/>
      </c>
      <c r="C1900" s="7" t="str">
        <f>IF(Notes!CA1896="","",Notes!CA1896)</f>
        <v/>
      </c>
      <c r="D1900" s="7" t="str">
        <f>IF(Notes!CB1896="","",Notes!CB1896)</f>
        <v/>
      </c>
      <c r="E1900" s="7" t="str">
        <f>IF(Notes!CC1896="","",Notes!CC1896)</f>
        <v/>
      </c>
      <c r="F1900" s="7" t="str">
        <f>IF(Notes!CD1896="","",Notes!CD1896)</f>
        <v/>
      </c>
      <c r="G1900" s="7" t="str">
        <f>IF(Notes!CE1896="","",Notes!CE1896)</f>
        <v/>
      </c>
      <c r="H1900" s="7" t="str">
        <f>IF(Notes!CF1896="","",Notes!CF1896)</f>
        <v/>
      </c>
      <c r="I1900" s="7"/>
      <c r="J1900" s="7"/>
      <c r="K1900" s="7"/>
    </row>
    <row r="1901" spans="1:11" x14ac:dyDescent="0.35">
      <c r="A1901" s="7" t="str">
        <f>IF(Notes!BY1897="","",Notes!BY1897)</f>
        <v/>
      </c>
      <c r="B1901" s="7" t="str">
        <f>IF(Notes!BZ1897="","",Notes!BZ1897)</f>
        <v/>
      </c>
      <c r="C1901" s="7" t="str">
        <f>IF(Notes!CA1897="","",Notes!CA1897)</f>
        <v/>
      </c>
      <c r="D1901" s="7" t="str">
        <f>IF(Notes!CB1897="","",Notes!CB1897)</f>
        <v/>
      </c>
      <c r="E1901" s="7" t="str">
        <f>IF(Notes!CC1897="","",Notes!CC1897)</f>
        <v/>
      </c>
      <c r="F1901" s="7" t="str">
        <f>IF(Notes!CD1897="","",Notes!CD1897)</f>
        <v/>
      </c>
      <c r="G1901" s="7" t="str">
        <f>IF(Notes!CE1897="","",Notes!CE1897)</f>
        <v/>
      </c>
      <c r="H1901" s="7" t="str">
        <f>IF(Notes!CF1897="","",Notes!CF1897)</f>
        <v/>
      </c>
      <c r="I1901" s="7"/>
      <c r="J1901" s="7"/>
      <c r="K1901" s="7"/>
    </row>
    <row r="1902" spans="1:11" x14ac:dyDescent="0.35">
      <c r="A1902" s="7" t="str">
        <f>IF(Notes!BY1898="","",Notes!BY1898)</f>
        <v/>
      </c>
      <c r="B1902" s="7" t="str">
        <f>IF(Notes!BZ1898="","",Notes!BZ1898)</f>
        <v/>
      </c>
      <c r="C1902" s="7" t="str">
        <f>IF(Notes!CA1898="","",Notes!CA1898)</f>
        <v/>
      </c>
      <c r="D1902" s="7" t="str">
        <f>IF(Notes!CB1898="","",Notes!CB1898)</f>
        <v/>
      </c>
      <c r="E1902" s="7" t="str">
        <f>IF(Notes!CC1898="","",Notes!CC1898)</f>
        <v/>
      </c>
      <c r="F1902" s="7" t="str">
        <f>IF(Notes!CD1898="","",Notes!CD1898)</f>
        <v/>
      </c>
      <c r="G1902" s="7" t="str">
        <f>IF(Notes!CE1898="","",Notes!CE1898)</f>
        <v/>
      </c>
      <c r="H1902" s="7" t="str">
        <f>IF(Notes!CF1898="","",Notes!CF1898)</f>
        <v/>
      </c>
      <c r="I1902" s="7"/>
      <c r="J1902" s="7"/>
      <c r="K1902" s="7"/>
    </row>
    <row r="1903" spans="1:11" x14ac:dyDescent="0.35">
      <c r="A1903" s="7" t="str">
        <f>IF(Notes!BY1899="","",Notes!BY1899)</f>
        <v/>
      </c>
      <c r="B1903" s="7" t="str">
        <f>IF(Notes!BZ1899="","",Notes!BZ1899)</f>
        <v/>
      </c>
      <c r="C1903" s="7" t="str">
        <f>IF(Notes!CA1899="","",Notes!CA1899)</f>
        <v/>
      </c>
      <c r="D1903" s="7" t="str">
        <f>IF(Notes!CB1899="","",Notes!CB1899)</f>
        <v/>
      </c>
      <c r="E1903" s="7" t="str">
        <f>IF(Notes!CC1899="","",Notes!CC1899)</f>
        <v/>
      </c>
      <c r="F1903" s="7" t="str">
        <f>IF(Notes!CD1899="","",Notes!CD1899)</f>
        <v/>
      </c>
      <c r="G1903" s="7" t="str">
        <f>IF(Notes!CE1899="","",Notes!CE1899)</f>
        <v/>
      </c>
      <c r="H1903" s="7" t="str">
        <f>IF(Notes!CF1899="","",Notes!CF1899)</f>
        <v/>
      </c>
      <c r="I1903" s="7"/>
      <c r="J1903" s="7"/>
      <c r="K1903" s="7"/>
    </row>
    <row r="1904" spans="1:11" x14ac:dyDescent="0.35">
      <c r="A1904" s="7" t="str">
        <f>IF(Notes!BY1900="","",Notes!BY1900)</f>
        <v/>
      </c>
      <c r="B1904" s="7" t="str">
        <f>IF(Notes!BZ1900="","",Notes!BZ1900)</f>
        <v/>
      </c>
      <c r="C1904" s="7" t="str">
        <f>IF(Notes!CA1900="","",Notes!CA1900)</f>
        <v/>
      </c>
      <c r="D1904" s="7" t="str">
        <f>IF(Notes!CB1900="","",Notes!CB1900)</f>
        <v/>
      </c>
      <c r="E1904" s="7" t="str">
        <f>IF(Notes!CC1900="","",Notes!CC1900)</f>
        <v/>
      </c>
      <c r="F1904" s="7" t="str">
        <f>IF(Notes!CD1900="","",Notes!CD1900)</f>
        <v/>
      </c>
      <c r="G1904" s="7" t="str">
        <f>IF(Notes!CE1900="","",Notes!CE1900)</f>
        <v/>
      </c>
      <c r="H1904" s="7" t="str">
        <f>IF(Notes!CF1900="","",Notes!CF1900)</f>
        <v/>
      </c>
      <c r="I1904" s="7"/>
      <c r="J1904" s="7"/>
      <c r="K1904" s="7"/>
    </row>
    <row r="1905" spans="1:11" x14ac:dyDescent="0.35">
      <c r="A1905" s="7" t="str">
        <f>IF(Notes!BY1901="","",Notes!BY1901)</f>
        <v/>
      </c>
      <c r="B1905" s="7" t="str">
        <f>IF(Notes!BZ1901="","",Notes!BZ1901)</f>
        <v/>
      </c>
      <c r="C1905" s="7" t="str">
        <f>IF(Notes!CA1901="","",Notes!CA1901)</f>
        <v/>
      </c>
      <c r="D1905" s="7" t="str">
        <f>IF(Notes!CB1901="","",Notes!CB1901)</f>
        <v/>
      </c>
      <c r="E1905" s="7" t="str">
        <f>IF(Notes!CC1901="","",Notes!CC1901)</f>
        <v/>
      </c>
      <c r="F1905" s="7" t="str">
        <f>IF(Notes!CD1901="","",Notes!CD1901)</f>
        <v/>
      </c>
      <c r="G1905" s="7" t="str">
        <f>IF(Notes!CE1901="","",Notes!CE1901)</f>
        <v/>
      </c>
      <c r="H1905" s="7" t="str">
        <f>IF(Notes!CF1901="","",Notes!CF1901)</f>
        <v/>
      </c>
      <c r="I1905" s="7"/>
      <c r="J1905" s="7"/>
      <c r="K1905" s="7"/>
    </row>
    <row r="1906" spans="1:11" x14ac:dyDescent="0.35">
      <c r="A1906" s="7" t="str">
        <f>IF(Notes!BY1902="","",Notes!BY1902)</f>
        <v/>
      </c>
      <c r="B1906" s="7" t="str">
        <f>IF(Notes!BZ1902="","",Notes!BZ1902)</f>
        <v/>
      </c>
      <c r="C1906" s="7" t="str">
        <f>IF(Notes!CA1902="","",Notes!CA1902)</f>
        <v/>
      </c>
      <c r="D1906" s="7" t="str">
        <f>IF(Notes!CB1902="","",Notes!CB1902)</f>
        <v/>
      </c>
      <c r="E1906" s="7" t="str">
        <f>IF(Notes!CC1902="","",Notes!CC1902)</f>
        <v/>
      </c>
      <c r="F1906" s="7" t="str">
        <f>IF(Notes!CD1902="","",Notes!CD1902)</f>
        <v/>
      </c>
      <c r="G1906" s="7" t="str">
        <f>IF(Notes!CE1902="","",Notes!CE1902)</f>
        <v/>
      </c>
      <c r="H1906" s="7" t="str">
        <f>IF(Notes!CF1902="","",Notes!CF1902)</f>
        <v/>
      </c>
      <c r="I1906" s="7"/>
      <c r="J1906" s="7"/>
      <c r="K1906" s="7"/>
    </row>
    <row r="1907" spans="1:11" x14ac:dyDescent="0.35">
      <c r="A1907" s="7" t="str">
        <f>IF(Notes!BY1903="","",Notes!BY1903)</f>
        <v/>
      </c>
      <c r="B1907" s="7" t="str">
        <f>IF(Notes!BZ1903="","",Notes!BZ1903)</f>
        <v/>
      </c>
      <c r="C1907" s="7" t="str">
        <f>IF(Notes!CA1903="","",Notes!CA1903)</f>
        <v/>
      </c>
      <c r="D1907" s="7" t="str">
        <f>IF(Notes!CB1903="","",Notes!CB1903)</f>
        <v/>
      </c>
      <c r="E1907" s="7" t="str">
        <f>IF(Notes!CC1903="","",Notes!CC1903)</f>
        <v/>
      </c>
      <c r="F1907" s="7" t="str">
        <f>IF(Notes!CD1903="","",Notes!CD1903)</f>
        <v/>
      </c>
      <c r="G1907" s="7" t="str">
        <f>IF(Notes!CE1903="","",Notes!CE1903)</f>
        <v/>
      </c>
      <c r="H1907" s="7" t="str">
        <f>IF(Notes!CF1903="","",Notes!CF1903)</f>
        <v/>
      </c>
      <c r="I1907" s="7"/>
      <c r="J1907" s="7"/>
      <c r="K1907" s="7"/>
    </row>
    <row r="1908" spans="1:11" x14ac:dyDescent="0.35">
      <c r="A1908" s="7" t="str">
        <f>IF(Notes!BY1904="","",Notes!BY1904)</f>
        <v/>
      </c>
      <c r="B1908" s="7" t="str">
        <f>IF(Notes!BZ1904="","",Notes!BZ1904)</f>
        <v/>
      </c>
      <c r="C1908" s="7" t="str">
        <f>IF(Notes!CA1904="","",Notes!CA1904)</f>
        <v/>
      </c>
      <c r="D1908" s="7" t="str">
        <f>IF(Notes!CB1904="","",Notes!CB1904)</f>
        <v/>
      </c>
      <c r="E1908" s="7" t="str">
        <f>IF(Notes!CC1904="","",Notes!CC1904)</f>
        <v/>
      </c>
      <c r="F1908" s="7" t="str">
        <f>IF(Notes!CD1904="","",Notes!CD1904)</f>
        <v/>
      </c>
      <c r="G1908" s="7" t="str">
        <f>IF(Notes!CE1904="","",Notes!CE1904)</f>
        <v/>
      </c>
      <c r="H1908" s="7" t="str">
        <f>IF(Notes!CF1904="","",Notes!CF1904)</f>
        <v/>
      </c>
      <c r="I1908" s="7"/>
      <c r="J1908" s="7"/>
      <c r="K1908" s="7"/>
    </row>
    <row r="1909" spans="1:11" x14ac:dyDescent="0.35">
      <c r="A1909" s="7" t="str">
        <f>IF(Notes!BY1905="","",Notes!BY1905)</f>
        <v/>
      </c>
      <c r="B1909" s="7" t="str">
        <f>IF(Notes!BZ1905="","",Notes!BZ1905)</f>
        <v/>
      </c>
      <c r="C1909" s="7" t="str">
        <f>IF(Notes!CA1905="","",Notes!CA1905)</f>
        <v/>
      </c>
      <c r="D1909" s="7" t="str">
        <f>IF(Notes!CB1905="","",Notes!CB1905)</f>
        <v/>
      </c>
      <c r="E1909" s="7" t="str">
        <f>IF(Notes!CC1905="","",Notes!CC1905)</f>
        <v/>
      </c>
      <c r="F1909" s="7" t="str">
        <f>IF(Notes!CD1905="","",Notes!CD1905)</f>
        <v/>
      </c>
      <c r="G1909" s="7" t="str">
        <f>IF(Notes!CE1905="","",Notes!CE1905)</f>
        <v/>
      </c>
      <c r="H1909" s="7" t="str">
        <f>IF(Notes!CF1905="","",Notes!CF1905)</f>
        <v/>
      </c>
      <c r="I1909" s="7"/>
      <c r="J1909" s="7"/>
      <c r="K1909" s="7"/>
    </row>
    <row r="1910" spans="1:11" x14ac:dyDescent="0.35">
      <c r="A1910" s="7" t="str">
        <f>IF(Notes!BY1906="","",Notes!BY1906)</f>
        <v/>
      </c>
      <c r="B1910" s="7" t="str">
        <f>IF(Notes!BZ1906="","",Notes!BZ1906)</f>
        <v/>
      </c>
      <c r="C1910" s="7" t="str">
        <f>IF(Notes!CA1906="","",Notes!CA1906)</f>
        <v/>
      </c>
      <c r="D1910" s="7" t="str">
        <f>IF(Notes!CB1906="","",Notes!CB1906)</f>
        <v/>
      </c>
      <c r="E1910" s="7" t="str">
        <f>IF(Notes!CC1906="","",Notes!CC1906)</f>
        <v/>
      </c>
      <c r="F1910" s="7" t="str">
        <f>IF(Notes!CD1906="","",Notes!CD1906)</f>
        <v/>
      </c>
      <c r="G1910" s="7" t="str">
        <f>IF(Notes!CE1906="","",Notes!CE1906)</f>
        <v/>
      </c>
      <c r="H1910" s="7" t="str">
        <f>IF(Notes!CF1906="","",Notes!CF1906)</f>
        <v/>
      </c>
      <c r="I1910" s="7"/>
      <c r="J1910" s="7"/>
      <c r="K1910" s="7"/>
    </row>
    <row r="1911" spans="1:11" x14ac:dyDescent="0.35">
      <c r="A1911" s="7" t="str">
        <f>IF(Notes!BY1907="","",Notes!BY1907)</f>
        <v/>
      </c>
      <c r="B1911" s="7" t="str">
        <f>IF(Notes!BZ1907="","",Notes!BZ1907)</f>
        <v/>
      </c>
      <c r="C1911" s="7" t="str">
        <f>IF(Notes!CA1907="","",Notes!CA1907)</f>
        <v/>
      </c>
      <c r="D1911" s="7" t="str">
        <f>IF(Notes!CB1907="","",Notes!CB1907)</f>
        <v/>
      </c>
      <c r="E1911" s="7" t="str">
        <f>IF(Notes!CC1907="","",Notes!CC1907)</f>
        <v/>
      </c>
      <c r="F1911" s="7" t="str">
        <f>IF(Notes!CD1907="","",Notes!CD1907)</f>
        <v/>
      </c>
      <c r="G1911" s="7" t="str">
        <f>IF(Notes!CE1907="","",Notes!CE1907)</f>
        <v/>
      </c>
      <c r="H1911" s="7" t="str">
        <f>IF(Notes!CF1907="","",Notes!CF1907)</f>
        <v/>
      </c>
      <c r="I1911" s="7"/>
      <c r="J1911" s="7"/>
      <c r="K1911" s="7"/>
    </row>
    <row r="1912" spans="1:11" x14ac:dyDescent="0.35">
      <c r="A1912" s="7" t="str">
        <f>IF(Notes!BY1908="","",Notes!BY1908)</f>
        <v/>
      </c>
      <c r="B1912" s="7" t="str">
        <f>IF(Notes!BZ1908="","",Notes!BZ1908)</f>
        <v/>
      </c>
      <c r="C1912" s="7" t="str">
        <f>IF(Notes!CA1908="","",Notes!CA1908)</f>
        <v/>
      </c>
      <c r="D1912" s="7" t="str">
        <f>IF(Notes!CB1908="","",Notes!CB1908)</f>
        <v/>
      </c>
      <c r="E1912" s="7" t="str">
        <f>IF(Notes!CC1908="","",Notes!CC1908)</f>
        <v/>
      </c>
      <c r="F1912" s="7" t="str">
        <f>IF(Notes!CD1908="","",Notes!CD1908)</f>
        <v/>
      </c>
      <c r="G1912" s="7" t="str">
        <f>IF(Notes!CE1908="","",Notes!CE1908)</f>
        <v/>
      </c>
      <c r="H1912" s="7" t="str">
        <f>IF(Notes!CF1908="","",Notes!CF1908)</f>
        <v/>
      </c>
      <c r="I1912" s="7"/>
      <c r="J1912" s="7"/>
      <c r="K1912" s="7"/>
    </row>
    <row r="1913" spans="1:11" x14ac:dyDescent="0.35">
      <c r="A1913" s="7" t="str">
        <f>IF(Notes!BY1909="","",Notes!BY1909)</f>
        <v/>
      </c>
      <c r="B1913" s="7" t="str">
        <f>IF(Notes!BZ1909="","",Notes!BZ1909)</f>
        <v/>
      </c>
      <c r="C1913" s="7" t="str">
        <f>IF(Notes!CA1909="","",Notes!CA1909)</f>
        <v/>
      </c>
      <c r="D1913" s="7" t="str">
        <f>IF(Notes!CB1909="","",Notes!CB1909)</f>
        <v/>
      </c>
      <c r="E1913" s="7" t="str">
        <f>IF(Notes!CC1909="","",Notes!CC1909)</f>
        <v/>
      </c>
      <c r="F1913" s="7" t="str">
        <f>IF(Notes!CD1909="","",Notes!CD1909)</f>
        <v/>
      </c>
      <c r="G1913" s="7" t="str">
        <f>IF(Notes!CE1909="","",Notes!CE1909)</f>
        <v/>
      </c>
      <c r="H1913" s="7" t="str">
        <f>IF(Notes!CF1909="","",Notes!CF1909)</f>
        <v/>
      </c>
      <c r="I1913" s="7"/>
      <c r="J1913" s="7"/>
      <c r="K1913" s="7"/>
    </row>
    <row r="1914" spans="1:11" x14ac:dyDescent="0.35">
      <c r="A1914" s="7" t="str">
        <f>IF(Notes!BY1910="","",Notes!BY1910)</f>
        <v/>
      </c>
      <c r="B1914" s="7" t="str">
        <f>IF(Notes!BZ1910="","",Notes!BZ1910)</f>
        <v/>
      </c>
      <c r="C1914" s="7" t="str">
        <f>IF(Notes!CA1910="","",Notes!CA1910)</f>
        <v/>
      </c>
      <c r="D1914" s="7" t="str">
        <f>IF(Notes!CB1910="","",Notes!CB1910)</f>
        <v/>
      </c>
      <c r="E1914" s="7" t="str">
        <f>IF(Notes!CC1910="","",Notes!CC1910)</f>
        <v/>
      </c>
      <c r="F1914" s="7" t="str">
        <f>IF(Notes!CD1910="","",Notes!CD1910)</f>
        <v/>
      </c>
      <c r="G1914" s="7" t="str">
        <f>IF(Notes!CE1910="","",Notes!CE1910)</f>
        <v/>
      </c>
      <c r="H1914" s="7" t="str">
        <f>IF(Notes!CF1910="","",Notes!CF1910)</f>
        <v/>
      </c>
      <c r="I1914" s="7"/>
      <c r="J1914" s="7"/>
      <c r="K1914" s="7"/>
    </row>
    <row r="1915" spans="1:11" x14ac:dyDescent="0.35">
      <c r="A1915" s="7" t="str">
        <f>IF(Notes!BY1911="","",Notes!BY1911)</f>
        <v/>
      </c>
      <c r="B1915" s="7" t="str">
        <f>IF(Notes!BZ1911="","",Notes!BZ1911)</f>
        <v/>
      </c>
      <c r="C1915" s="7" t="str">
        <f>IF(Notes!CA1911="","",Notes!CA1911)</f>
        <v/>
      </c>
      <c r="D1915" s="7" t="str">
        <f>IF(Notes!CB1911="","",Notes!CB1911)</f>
        <v/>
      </c>
      <c r="E1915" s="7" t="str">
        <f>IF(Notes!CC1911="","",Notes!CC1911)</f>
        <v/>
      </c>
      <c r="F1915" s="7" t="str">
        <f>IF(Notes!CD1911="","",Notes!CD1911)</f>
        <v/>
      </c>
      <c r="G1915" s="7" t="str">
        <f>IF(Notes!CE1911="","",Notes!CE1911)</f>
        <v/>
      </c>
      <c r="H1915" s="7" t="str">
        <f>IF(Notes!CF1911="","",Notes!CF1911)</f>
        <v/>
      </c>
      <c r="I1915" s="7"/>
      <c r="J1915" s="7"/>
      <c r="K1915" s="7"/>
    </row>
    <row r="1916" spans="1:11" x14ac:dyDescent="0.35">
      <c r="A1916" s="7" t="str">
        <f>IF(Notes!BY1912="","",Notes!BY1912)</f>
        <v/>
      </c>
      <c r="B1916" s="7" t="str">
        <f>IF(Notes!BZ1912="","",Notes!BZ1912)</f>
        <v/>
      </c>
      <c r="C1916" s="7" t="str">
        <f>IF(Notes!CA1912="","",Notes!CA1912)</f>
        <v/>
      </c>
      <c r="D1916" s="7" t="str">
        <f>IF(Notes!CB1912="","",Notes!CB1912)</f>
        <v/>
      </c>
      <c r="E1916" s="7" t="str">
        <f>IF(Notes!CC1912="","",Notes!CC1912)</f>
        <v/>
      </c>
      <c r="F1916" s="7" t="str">
        <f>IF(Notes!CD1912="","",Notes!CD1912)</f>
        <v/>
      </c>
      <c r="G1916" s="7" t="str">
        <f>IF(Notes!CE1912="","",Notes!CE1912)</f>
        <v/>
      </c>
      <c r="H1916" s="7" t="str">
        <f>IF(Notes!CF1912="","",Notes!CF1912)</f>
        <v/>
      </c>
      <c r="I1916" s="7"/>
      <c r="J1916" s="7"/>
      <c r="K1916" s="7"/>
    </row>
    <row r="1917" spans="1:11" x14ac:dyDescent="0.35">
      <c r="A1917" s="7" t="str">
        <f>IF(Notes!BY1913="","",Notes!BY1913)</f>
        <v/>
      </c>
      <c r="B1917" s="7" t="str">
        <f>IF(Notes!BZ1913="","",Notes!BZ1913)</f>
        <v/>
      </c>
      <c r="C1917" s="7" t="str">
        <f>IF(Notes!CA1913="","",Notes!CA1913)</f>
        <v/>
      </c>
      <c r="D1917" s="7" t="str">
        <f>IF(Notes!CB1913="","",Notes!CB1913)</f>
        <v/>
      </c>
      <c r="E1917" s="7" t="str">
        <f>IF(Notes!CC1913="","",Notes!CC1913)</f>
        <v/>
      </c>
      <c r="F1917" s="7" t="str">
        <f>IF(Notes!CD1913="","",Notes!CD1913)</f>
        <v/>
      </c>
      <c r="G1917" s="7" t="str">
        <f>IF(Notes!CE1913="","",Notes!CE1913)</f>
        <v/>
      </c>
      <c r="H1917" s="7" t="str">
        <f>IF(Notes!CF1913="","",Notes!CF1913)</f>
        <v/>
      </c>
      <c r="I1917" s="7"/>
      <c r="J1917" s="7"/>
      <c r="K1917" s="7"/>
    </row>
    <row r="1918" spans="1:11" x14ac:dyDescent="0.35">
      <c r="A1918" s="7" t="str">
        <f>IF(Notes!BY1914="","",Notes!BY1914)</f>
        <v/>
      </c>
      <c r="B1918" s="7" t="str">
        <f>IF(Notes!BZ1914="","",Notes!BZ1914)</f>
        <v/>
      </c>
      <c r="C1918" s="7" t="str">
        <f>IF(Notes!CA1914="","",Notes!CA1914)</f>
        <v/>
      </c>
      <c r="D1918" s="7" t="str">
        <f>IF(Notes!CB1914="","",Notes!CB1914)</f>
        <v/>
      </c>
      <c r="E1918" s="7" t="str">
        <f>IF(Notes!CC1914="","",Notes!CC1914)</f>
        <v/>
      </c>
      <c r="F1918" s="7" t="str">
        <f>IF(Notes!CD1914="","",Notes!CD1914)</f>
        <v/>
      </c>
      <c r="G1918" s="7" t="str">
        <f>IF(Notes!CE1914="","",Notes!CE1914)</f>
        <v/>
      </c>
      <c r="H1918" s="7" t="str">
        <f>IF(Notes!CF1914="","",Notes!CF1914)</f>
        <v/>
      </c>
      <c r="I1918" s="7"/>
      <c r="J1918" s="7"/>
      <c r="K1918" s="7"/>
    </row>
    <row r="1919" spans="1:11" x14ac:dyDescent="0.35">
      <c r="A1919" s="7" t="str">
        <f>IF(Notes!BY1915="","",Notes!BY1915)</f>
        <v/>
      </c>
      <c r="B1919" s="7" t="str">
        <f>IF(Notes!BZ1915="","",Notes!BZ1915)</f>
        <v/>
      </c>
      <c r="C1919" s="7" t="str">
        <f>IF(Notes!CA1915="","",Notes!CA1915)</f>
        <v/>
      </c>
      <c r="D1919" s="7" t="str">
        <f>IF(Notes!CB1915="","",Notes!CB1915)</f>
        <v/>
      </c>
      <c r="E1919" s="7" t="str">
        <f>IF(Notes!CC1915="","",Notes!CC1915)</f>
        <v/>
      </c>
      <c r="F1919" s="7" t="str">
        <f>IF(Notes!CD1915="","",Notes!CD1915)</f>
        <v/>
      </c>
      <c r="G1919" s="7" t="str">
        <f>IF(Notes!CE1915="","",Notes!CE1915)</f>
        <v/>
      </c>
      <c r="H1919" s="7" t="str">
        <f>IF(Notes!CF1915="","",Notes!CF1915)</f>
        <v/>
      </c>
      <c r="I1919" s="7"/>
      <c r="J1919" s="7"/>
      <c r="K1919" s="7"/>
    </row>
    <row r="1920" spans="1:11" x14ac:dyDescent="0.35">
      <c r="A1920" s="7" t="str">
        <f>IF(Notes!BY1916="","",Notes!BY1916)</f>
        <v/>
      </c>
      <c r="B1920" s="7" t="str">
        <f>IF(Notes!BZ1916="","",Notes!BZ1916)</f>
        <v/>
      </c>
      <c r="C1920" s="7" t="str">
        <f>IF(Notes!CA1916="","",Notes!CA1916)</f>
        <v/>
      </c>
      <c r="D1920" s="7" t="str">
        <f>IF(Notes!CB1916="","",Notes!CB1916)</f>
        <v/>
      </c>
      <c r="E1920" s="7" t="str">
        <f>IF(Notes!CC1916="","",Notes!CC1916)</f>
        <v/>
      </c>
      <c r="F1920" s="7" t="str">
        <f>IF(Notes!CD1916="","",Notes!CD1916)</f>
        <v/>
      </c>
      <c r="G1920" s="7" t="str">
        <f>IF(Notes!CE1916="","",Notes!CE1916)</f>
        <v/>
      </c>
      <c r="H1920" s="7" t="str">
        <f>IF(Notes!CF1916="","",Notes!CF1916)</f>
        <v/>
      </c>
      <c r="I1920" s="7"/>
      <c r="J1920" s="7"/>
      <c r="K1920" s="7"/>
    </row>
    <row r="1921" spans="1:11" x14ac:dyDescent="0.35">
      <c r="A1921" s="7" t="str">
        <f>IF(Notes!BY1917="","",Notes!BY1917)</f>
        <v/>
      </c>
      <c r="B1921" s="7" t="str">
        <f>IF(Notes!BZ1917="","",Notes!BZ1917)</f>
        <v/>
      </c>
      <c r="C1921" s="7" t="str">
        <f>IF(Notes!CA1917="","",Notes!CA1917)</f>
        <v/>
      </c>
      <c r="D1921" s="7" t="str">
        <f>IF(Notes!CB1917="","",Notes!CB1917)</f>
        <v/>
      </c>
      <c r="E1921" s="7" t="str">
        <f>IF(Notes!CC1917="","",Notes!CC1917)</f>
        <v/>
      </c>
      <c r="F1921" s="7" t="str">
        <f>IF(Notes!CD1917="","",Notes!CD1917)</f>
        <v/>
      </c>
      <c r="G1921" s="7" t="str">
        <f>IF(Notes!CE1917="","",Notes!CE1917)</f>
        <v/>
      </c>
      <c r="H1921" s="7" t="str">
        <f>IF(Notes!CF1917="","",Notes!CF1917)</f>
        <v/>
      </c>
      <c r="I1921" s="7"/>
      <c r="J1921" s="7"/>
      <c r="K1921" s="7"/>
    </row>
    <row r="1922" spans="1:11" x14ac:dyDescent="0.35">
      <c r="A1922" s="7" t="str">
        <f>IF(Notes!BY1918="","",Notes!BY1918)</f>
        <v/>
      </c>
      <c r="B1922" s="7" t="str">
        <f>IF(Notes!BZ1918="","",Notes!BZ1918)</f>
        <v/>
      </c>
      <c r="C1922" s="7" t="str">
        <f>IF(Notes!CA1918="","",Notes!CA1918)</f>
        <v/>
      </c>
      <c r="D1922" s="7" t="str">
        <f>IF(Notes!CB1918="","",Notes!CB1918)</f>
        <v/>
      </c>
      <c r="E1922" s="7" t="str">
        <f>IF(Notes!CC1918="","",Notes!CC1918)</f>
        <v/>
      </c>
      <c r="F1922" s="7" t="str">
        <f>IF(Notes!CD1918="","",Notes!CD1918)</f>
        <v/>
      </c>
      <c r="G1922" s="7" t="str">
        <f>IF(Notes!CE1918="","",Notes!CE1918)</f>
        <v/>
      </c>
      <c r="H1922" s="7" t="str">
        <f>IF(Notes!CF1918="","",Notes!CF1918)</f>
        <v/>
      </c>
      <c r="I1922" s="7"/>
      <c r="J1922" s="7"/>
      <c r="K1922" s="7"/>
    </row>
    <row r="1923" spans="1:11" x14ac:dyDescent="0.35">
      <c r="A1923" s="7" t="str">
        <f>IF(Notes!BY1919="","",Notes!BY1919)</f>
        <v/>
      </c>
      <c r="B1923" s="7" t="str">
        <f>IF(Notes!BZ1919="","",Notes!BZ1919)</f>
        <v/>
      </c>
      <c r="C1923" s="7" t="str">
        <f>IF(Notes!CA1919="","",Notes!CA1919)</f>
        <v/>
      </c>
      <c r="D1923" s="7" t="str">
        <f>IF(Notes!CB1919="","",Notes!CB1919)</f>
        <v/>
      </c>
      <c r="E1923" s="7" t="str">
        <f>IF(Notes!CC1919="","",Notes!CC1919)</f>
        <v/>
      </c>
      <c r="F1923" s="7" t="str">
        <f>IF(Notes!CD1919="","",Notes!CD1919)</f>
        <v/>
      </c>
      <c r="G1923" s="7" t="str">
        <f>IF(Notes!CE1919="","",Notes!CE1919)</f>
        <v/>
      </c>
      <c r="H1923" s="7" t="str">
        <f>IF(Notes!CF1919="","",Notes!CF1919)</f>
        <v/>
      </c>
      <c r="I1923" s="7"/>
      <c r="J1923" s="7"/>
      <c r="K1923" s="7"/>
    </row>
    <row r="1924" spans="1:11" x14ac:dyDescent="0.35">
      <c r="A1924" s="7" t="str">
        <f>IF(Notes!BY1920="","",Notes!BY1920)</f>
        <v/>
      </c>
      <c r="B1924" s="7" t="str">
        <f>IF(Notes!BZ1920="","",Notes!BZ1920)</f>
        <v/>
      </c>
      <c r="C1924" s="7" t="str">
        <f>IF(Notes!CA1920="","",Notes!CA1920)</f>
        <v/>
      </c>
      <c r="D1924" s="7" t="str">
        <f>IF(Notes!CB1920="","",Notes!CB1920)</f>
        <v/>
      </c>
      <c r="E1924" s="7" t="str">
        <f>IF(Notes!CC1920="","",Notes!CC1920)</f>
        <v/>
      </c>
      <c r="F1924" s="7" t="str">
        <f>IF(Notes!CD1920="","",Notes!CD1920)</f>
        <v/>
      </c>
      <c r="G1924" s="7" t="str">
        <f>IF(Notes!CE1920="","",Notes!CE1920)</f>
        <v/>
      </c>
      <c r="H1924" s="7" t="str">
        <f>IF(Notes!CF1920="","",Notes!CF1920)</f>
        <v/>
      </c>
      <c r="I1924" s="7"/>
      <c r="J1924" s="7"/>
      <c r="K1924" s="7"/>
    </row>
    <row r="1925" spans="1:11" x14ac:dyDescent="0.35">
      <c r="A1925" s="7" t="str">
        <f>IF(Notes!BY1921="","",Notes!BY1921)</f>
        <v/>
      </c>
      <c r="B1925" s="7" t="str">
        <f>IF(Notes!BZ1921="","",Notes!BZ1921)</f>
        <v/>
      </c>
      <c r="C1925" s="7" t="str">
        <f>IF(Notes!CA1921="","",Notes!CA1921)</f>
        <v/>
      </c>
      <c r="D1925" s="7" t="str">
        <f>IF(Notes!CB1921="","",Notes!CB1921)</f>
        <v/>
      </c>
      <c r="E1925" s="7" t="str">
        <f>IF(Notes!CC1921="","",Notes!CC1921)</f>
        <v/>
      </c>
      <c r="F1925" s="7" t="str">
        <f>IF(Notes!CD1921="","",Notes!CD1921)</f>
        <v/>
      </c>
      <c r="G1925" s="7" t="str">
        <f>IF(Notes!CE1921="","",Notes!CE1921)</f>
        <v/>
      </c>
      <c r="H1925" s="7" t="str">
        <f>IF(Notes!CF1921="","",Notes!CF1921)</f>
        <v/>
      </c>
      <c r="I1925" s="7"/>
      <c r="J1925" s="7"/>
      <c r="K1925" s="7"/>
    </row>
    <row r="1926" spans="1:11" x14ac:dyDescent="0.35">
      <c r="A1926" s="7" t="str">
        <f>IF(Notes!BY1922="","",Notes!BY1922)</f>
        <v/>
      </c>
      <c r="B1926" s="7" t="str">
        <f>IF(Notes!BZ1922="","",Notes!BZ1922)</f>
        <v/>
      </c>
      <c r="C1926" s="7" t="str">
        <f>IF(Notes!CA1922="","",Notes!CA1922)</f>
        <v/>
      </c>
      <c r="D1926" s="7" t="str">
        <f>IF(Notes!CB1922="","",Notes!CB1922)</f>
        <v/>
      </c>
      <c r="E1926" s="7" t="str">
        <f>IF(Notes!CC1922="","",Notes!CC1922)</f>
        <v/>
      </c>
      <c r="F1926" s="7" t="str">
        <f>IF(Notes!CD1922="","",Notes!CD1922)</f>
        <v/>
      </c>
      <c r="G1926" s="7" t="str">
        <f>IF(Notes!CE1922="","",Notes!CE1922)</f>
        <v/>
      </c>
      <c r="H1926" s="7" t="str">
        <f>IF(Notes!CF1922="","",Notes!CF1922)</f>
        <v/>
      </c>
      <c r="I1926" s="7"/>
      <c r="J1926" s="7"/>
      <c r="K1926" s="7"/>
    </row>
    <row r="1927" spans="1:11" x14ac:dyDescent="0.35">
      <c r="A1927" s="7" t="str">
        <f>IF(Notes!BY1923="","",Notes!BY1923)</f>
        <v/>
      </c>
      <c r="B1927" s="7" t="str">
        <f>IF(Notes!BZ1923="","",Notes!BZ1923)</f>
        <v/>
      </c>
      <c r="C1927" s="7" t="str">
        <f>IF(Notes!CA1923="","",Notes!CA1923)</f>
        <v/>
      </c>
      <c r="D1927" s="7" t="str">
        <f>IF(Notes!CB1923="","",Notes!CB1923)</f>
        <v/>
      </c>
      <c r="E1927" s="7" t="str">
        <f>IF(Notes!CC1923="","",Notes!CC1923)</f>
        <v/>
      </c>
      <c r="F1927" s="7" t="str">
        <f>IF(Notes!CD1923="","",Notes!CD1923)</f>
        <v/>
      </c>
      <c r="G1927" s="7" t="str">
        <f>IF(Notes!CE1923="","",Notes!CE1923)</f>
        <v/>
      </c>
      <c r="H1927" s="7" t="str">
        <f>IF(Notes!CF1923="","",Notes!CF1923)</f>
        <v/>
      </c>
      <c r="I1927" s="7"/>
      <c r="J1927" s="7"/>
      <c r="K1927" s="7"/>
    </row>
    <row r="1928" spans="1:11" x14ac:dyDescent="0.35">
      <c r="A1928" s="7" t="str">
        <f>IF(Notes!BY1924="","",Notes!BY1924)</f>
        <v/>
      </c>
      <c r="B1928" s="7" t="str">
        <f>IF(Notes!BZ1924="","",Notes!BZ1924)</f>
        <v/>
      </c>
      <c r="C1928" s="7" t="str">
        <f>IF(Notes!CA1924="","",Notes!CA1924)</f>
        <v/>
      </c>
      <c r="D1928" s="7" t="str">
        <f>IF(Notes!CB1924="","",Notes!CB1924)</f>
        <v/>
      </c>
      <c r="E1928" s="7" t="str">
        <f>IF(Notes!CC1924="","",Notes!CC1924)</f>
        <v/>
      </c>
      <c r="F1928" s="7" t="str">
        <f>IF(Notes!CD1924="","",Notes!CD1924)</f>
        <v/>
      </c>
      <c r="G1928" s="7" t="str">
        <f>IF(Notes!CE1924="","",Notes!CE1924)</f>
        <v/>
      </c>
      <c r="H1928" s="7" t="str">
        <f>IF(Notes!CF1924="","",Notes!CF1924)</f>
        <v/>
      </c>
      <c r="I1928" s="7"/>
      <c r="J1928" s="7"/>
      <c r="K1928" s="7"/>
    </row>
    <row r="1929" spans="1:11" x14ac:dyDescent="0.35">
      <c r="A1929" s="7" t="str">
        <f>IF(Notes!BY1925="","",Notes!BY1925)</f>
        <v/>
      </c>
      <c r="B1929" s="7" t="str">
        <f>IF(Notes!BZ1925="","",Notes!BZ1925)</f>
        <v/>
      </c>
      <c r="C1929" s="7" t="str">
        <f>IF(Notes!CA1925="","",Notes!CA1925)</f>
        <v/>
      </c>
      <c r="D1929" s="7" t="str">
        <f>IF(Notes!CB1925="","",Notes!CB1925)</f>
        <v/>
      </c>
      <c r="E1929" s="7" t="str">
        <f>IF(Notes!CC1925="","",Notes!CC1925)</f>
        <v/>
      </c>
      <c r="F1929" s="7" t="str">
        <f>IF(Notes!CD1925="","",Notes!CD1925)</f>
        <v/>
      </c>
      <c r="G1929" s="7" t="str">
        <f>IF(Notes!CE1925="","",Notes!CE1925)</f>
        <v/>
      </c>
      <c r="H1929" s="7" t="str">
        <f>IF(Notes!CF1925="","",Notes!CF1925)</f>
        <v/>
      </c>
      <c r="I1929" s="7"/>
      <c r="J1929" s="7"/>
      <c r="K1929" s="7"/>
    </row>
    <row r="1930" spans="1:11" x14ac:dyDescent="0.35">
      <c r="A1930" s="7" t="str">
        <f>IF(Notes!BY1926="","",Notes!BY1926)</f>
        <v/>
      </c>
      <c r="B1930" s="7" t="str">
        <f>IF(Notes!BZ1926="","",Notes!BZ1926)</f>
        <v/>
      </c>
      <c r="C1930" s="7" t="str">
        <f>IF(Notes!CA1926="","",Notes!CA1926)</f>
        <v/>
      </c>
      <c r="D1930" s="7" t="str">
        <f>IF(Notes!CB1926="","",Notes!CB1926)</f>
        <v/>
      </c>
      <c r="E1930" s="7" t="str">
        <f>IF(Notes!CC1926="","",Notes!CC1926)</f>
        <v/>
      </c>
      <c r="F1930" s="7" t="str">
        <f>IF(Notes!CD1926="","",Notes!CD1926)</f>
        <v/>
      </c>
      <c r="G1930" s="7" t="str">
        <f>IF(Notes!CE1926="","",Notes!CE1926)</f>
        <v/>
      </c>
      <c r="H1930" s="7" t="str">
        <f>IF(Notes!CF1926="","",Notes!CF1926)</f>
        <v/>
      </c>
      <c r="I1930" s="7"/>
      <c r="J1930" s="7"/>
      <c r="K1930" s="7"/>
    </row>
    <row r="1931" spans="1:11" x14ac:dyDescent="0.35">
      <c r="A1931" s="7" t="str">
        <f>IF(Notes!BY1927="","",Notes!BY1927)</f>
        <v/>
      </c>
      <c r="B1931" s="7" t="str">
        <f>IF(Notes!BZ1927="","",Notes!BZ1927)</f>
        <v/>
      </c>
      <c r="C1931" s="7" t="str">
        <f>IF(Notes!CA1927="","",Notes!CA1927)</f>
        <v/>
      </c>
      <c r="D1931" s="7" t="str">
        <f>IF(Notes!CB1927="","",Notes!CB1927)</f>
        <v/>
      </c>
      <c r="E1931" s="7" t="str">
        <f>IF(Notes!CC1927="","",Notes!CC1927)</f>
        <v/>
      </c>
      <c r="F1931" s="7" t="str">
        <f>IF(Notes!CD1927="","",Notes!CD1927)</f>
        <v/>
      </c>
      <c r="G1931" s="7" t="str">
        <f>IF(Notes!CE1927="","",Notes!CE1927)</f>
        <v/>
      </c>
      <c r="H1931" s="7" t="str">
        <f>IF(Notes!CF1927="","",Notes!CF1927)</f>
        <v/>
      </c>
      <c r="I1931" s="7"/>
      <c r="J1931" s="7"/>
      <c r="K1931" s="7"/>
    </row>
    <row r="1932" spans="1:11" x14ac:dyDescent="0.35">
      <c r="A1932" s="7" t="str">
        <f>IF(Notes!BY1928="","",Notes!BY1928)</f>
        <v/>
      </c>
      <c r="B1932" s="7" t="str">
        <f>IF(Notes!BZ1928="","",Notes!BZ1928)</f>
        <v/>
      </c>
      <c r="C1932" s="7" t="str">
        <f>IF(Notes!CA1928="","",Notes!CA1928)</f>
        <v/>
      </c>
      <c r="D1932" s="7" t="str">
        <f>IF(Notes!CB1928="","",Notes!CB1928)</f>
        <v/>
      </c>
      <c r="E1932" s="7" t="str">
        <f>IF(Notes!CC1928="","",Notes!CC1928)</f>
        <v/>
      </c>
      <c r="F1932" s="7" t="str">
        <f>IF(Notes!CD1928="","",Notes!CD1928)</f>
        <v/>
      </c>
      <c r="G1932" s="7" t="str">
        <f>IF(Notes!CE1928="","",Notes!CE1928)</f>
        <v/>
      </c>
      <c r="H1932" s="7" t="str">
        <f>IF(Notes!CF1928="","",Notes!CF1928)</f>
        <v/>
      </c>
      <c r="I1932" s="7"/>
      <c r="J1932" s="7"/>
      <c r="K1932" s="7"/>
    </row>
    <row r="1933" spans="1:11" x14ac:dyDescent="0.35">
      <c r="A1933" s="7" t="str">
        <f>IF(Notes!BY1929="","",Notes!BY1929)</f>
        <v/>
      </c>
      <c r="B1933" s="7" t="str">
        <f>IF(Notes!BZ1929="","",Notes!BZ1929)</f>
        <v/>
      </c>
      <c r="C1933" s="7" t="str">
        <f>IF(Notes!CA1929="","",Notes!CA1929)</f>
        <v/>
      </c>
      <c r="D1933" s="7" t="str">
        <f>IF(Notes!CB1929="","",Notes!CB1929)</f>
        <v/>
      </c>
      <c r="E1933" s="7" t="str">
        <f>IF(Notes!CC1929="","",Notes!CC1929)</f>
        <v/>
      </c>
      <c r="F1933" s="7" t="str">
        <f>IF(Notes!CD1929="","",Notes!CD1929)</f>
        <v/>
      </c>
      <c r="G1933" s="7" t="str">
        <f>IF(Notes!CE1929="","",Notes!CE1929)</f>
        <v/>
      </c>
      <c r="H1933" s="7" t="str">
        <f>IF(Notes!CF1929="","",Notes!CF1929)</f>
        <v/>
      </c>
      <c r="I1933" s="7"/>
      <c r="J1933" s="7"/>
      <c r="K1933" s="7"/>
    </row>
    <row r="1934" spans="1:11" x14ac:dyDescent="0.35">
      <c r="A1934" s="7" t="str">
        <f>IF(Notes!BY1930="","",Notes!BY1930)</f>
        <v/>
      </c>
      <c r="B1934" s="7" t="str">
        <f>IF(Notes!BZ1930="","",Notes!BZ1930)</f>
        <v/>
      </c>
      <c r="C1934" s="7" t="str">
        <f>IF(Notes!CA1930="","",Notes!CA1930)</f>
        <v/>
      </c>
      <c r="D1934" s="7" t="str">
        <f>IF(Notes!CB1930="","",Notes!CB1930)</f>
        <v/>
      </c>
      <c r="E1934" s="7" t="str">
        <f>IF(Notes!CC1930="","",Notes!CC1930)</f>
        <v/>
      </c>
      <c r="F1934" s="7" t="str">
        <f>IF(Notes!CD1930="","",Notes!CD1930)</f>
        <v/>
      </c>
      <c r="G1934" s="7" t="str">
        <f>IF(Notes!CE1930="","",Notes!CE1930)</f>
        <v/>
      </c>
      <c r="H1934" s="7" t="str">
        <f>IF(Notes!CF1930="","",Notes!CF1930)</f>
        <v/>
      </c>
      <c r="I1934" s="7"/>
      <c r="J1934" s="7"/>
      <c r="K1934" s="7"/>
    </row>
    <row r="1935" spans="1:11" x14ac:dyDescent="0.35">
      <c r="A1935" s="7" t="str">
        <f>IF(Notes!BY1931="","",Notes!BY1931)</f>
        <v/>
      </c>
      <c r="B1935" s="7" t="str">
        <f>IF(Notes!BZ1931="","",Notes!BZ1931)</f>
        <v/>
      </c>
      <c r="C1935" s="7" t="str">
        <f>IF(Notes!CA1931="","",Notes!CA1931)</f>
        <v/>
      </c>
      <c r="D1935" s="7" t="str">
        <f>IF(Notes!CB1931="","",Notes!CB1931)</f>
        <v/>
      </c>
      <c r="E1935" s="7" t="str">
        <f>IF(Notes!CC1931="","",Notes!CC1931)</f>
        <v/>
      </c>
      <c r="F1935" s="7" t="str">
        <f>IF(Notes!CD1931="","",Notes!CD1931)</f>
        <v/>
      </c>
      <c r="G1935" s="7" t="str">
        <f>IF(Notes!CE1931="","",Notes!CE1931)</f>
        <v/>
      </c>
      <c r="H1935" s="7" t="str">
        <f>IF(Notes!CF1931="","",Notes!CF1931)</f>
        <v/>
      </c>
      <c r="I1935" s="7"/>
      <c r="J1935" s="7"/>
      <c r="K1935" s="7"/>
    </row>
    <row r="1936" spans="1:11" x14ac:dyDescent="0.35">
      <c r="A1936" s="7" t="str">
        <f>IF(Notes!BY1932="","",Notes!BY1932)</f>
        <v/>
      </c>
      <c r="B1936" s="7" t="str">
        <f>IF(Notes!BZ1932="","",Notes!BZ1932)</f>
        <v/>
      </c>
      <c r="C1936" s="7" t="str">
        <f>IF(Notes!CA1932="","",Notes!CA1932)</f>
        <v/>
      </c>
      <c r="D1936" s="7" t="str">
        <f>IF(Notes!CB1932="","",Notes!CB1932)</f>
        <v/>
      </c>
      <c r="E1936" s="7" t="str">
        <f>IF(Notes!CC1932="","",Notes!CC1932)</f>
        <v/>
      </c>
      <c r="F1936" s="7" t="str">
        <f>IF(Notes!CD1932="","",Notes!CD1932)</f>
        <v/>
      </c>
      <c r="G1936" s="7" t="str">
        <f>IF(Notes!CE1932="","",Notes!CE1932)</f>
        <v/>
      </c>
      <c r="H1936" s="7" t="str">
        <f>IF(Notes!CF1932="","",Notes!CF1932)</f>
        <v/>
      </c>
      <c r="I1936" s="7"/>
      <c r="J1936" s="7"/>
      <c r="K1936" s="7"/>
    </row>
    <row r="1937" spans="1:11" x14ac:dyDescent="0.35">
      <c r="A1937" s="7" t="str">
        <f>IF(Notes!BY1933="","",Notes!BY1933)</f>
        <v/>
      </c>
      <c r="B1937" s="7" t="str">
        <f>IF(Notes!BZ1933="","",Notes!BZ1933)</f>
        <v/>
      </c>
      <c r="C1937" s="7" t="str">
        <f>IF(Notes!CA1933="","",Notes!CA1933)</f>
        <v/>
      </c>
      <c r="D1937" s="7" t="str">
        <f>IF(Notes!CB1933="","",Notes!CB1933)</f>
        <v/>
      </c>
      <c r="E1937" s="7" t="str">
        <f>IF(Notes!CC1933="","",Notes!CC1933)</f>
        <v/>
      </c>
      <c r="F1937" s="7" t="str">
        <f>IF(Notes!CD1933="","",Notes!CD1933)</f>
        <v/>
      </c>
      <c r="G1937" s="7" t="str">
        <f>IF(Notes!CE1933="","",Notes!CE1933)</f>
        <v/>
      </c>
      <c r="H1937" s="7" t="str">
        <f>IF(Notes!CF1933="","",Notes!CF1933)</f>
        <v/>
      </c>
      <c r="I1937" s="7"/>
      <c r="J1937" s="7"/>
      <c r="K1937" s="7"/>
    </row>
    <row r="1938" spans="1:11" x14ac:dyDescent="0.35">
      <c r="A1938" s="7" t="str">
        <f>IF(Notes!BY1934="","",Notes!BY1934)</f>
        <v/>
      </c>
      <c r="B1938" s="7" t="str">
        <f>IF(Notes!BZ1934="","",Notes!BZ1934)</f>
        <v/>
      </c>
      <c r="C1938" s="7" t="str">
        <f>IF(Notes!CA1934="","",Notes!CA1934)</f>
        <v/>
      </c>
      <c r="D1938" s="7" t="str">
        <f>IF(Notes!CB1934="","",Notes!CB1934)</f>
        <v/>
      </c>
      <c r="E1938" s="7" t="str">
        <f>IF(Notes!CC1934="","",Notes!CC1934)</f>
        <v/>
      </c>
      <c r="F1938" s="7" t="str">
        <f>IF(Notes!CD1934="","",Notes!CD1934)</f>
        <v/>
      </c>
      <c r="G1938" s="7" t="str">
        <f>IF(Notes!CE1934="","",Notes!CE1934)</f>
        <v/>
      </c>
      <c r="H1938" s="7" t="str">
        <f>IF(Notes!CF1934="","",Notes!CF1934)</f>
        <v/>
      </c>
      <c r="I1938" s="7"/>
      <c r="J1938" s="7"/>
      <c r="K1938" s="7"/>
    </row>
    <row r="1939" spans="1:11" x14ac:dyDescent="0.35">
      <c r="A1939" s="7" t="str">
        <f>IF(Notes!BY1935="","",Notes!BY1935)</f>
        <v/>
      </c>
      <c r="B1939" s="7" t="str">
        <f>IF(Notes!BZ1935="","",Notes!BZ1935)</f>
        <v/>
      </c>
      <c r="C1939" s="7" t="str">
        <f>IF(Notes!CA1935="","",Notes!CA1935)</f>
        <v/>
      </c>
      <c r="D1939" s="7" t="str">
        <f>IF(Notes!CB1935="","",Notes!CB1935)</f>
        <v/>
      </c>
      <c r="E1939" s="7" t="str">
        <f>IF(Notes!CC1935="","",Notes!CC1935)</f>
        <v/>
      </c>
      <c r="F1939" s="7" t="str">
        <f>IF(Notes!CD1935="","",Notes!CD1935)</f>
        <v/>
      </c>
      <c r="G1939" s="7" t="str">
        <f>IF(Notes!CE1935="","",Notes!CE1935)</f>
        <v/>
      </c>
      <c r="H1939" s="7" t="str">
        <f>IF(Notes!CF1935="","",Notes!CF1935)</f>
        <v/>
      </c>
      <c r="I1939" s="7"/>
      <c r="J1939" s="7"/>
      <c r="K1939" s="7"/>
    </row>
    <row r="1940" spans="1:11" x14ac:dyDescent="0.35">
      <c r="A1940" s="7" t="str">
        <f>IF(Notes!BY1936="","",Notes!BY1936)</f>
        <v/>
      </c>
      <c r="B1940" s="7" t="str">
        <f>IF(Notes!BZ1936="","",Notes!BZ1936)</f>
        <v/>
      </c>
      <c r="C1940" s="7" t="str">
        <f>IF(Notes!CA1936="","",Notes!CA1936)</f>
        <v/>
      </c>
      <c r="D1940" s="7" t="str">
        <f>IF(Notes!CB1936="","",Notes!CB1936)</f>
        <v/>
      </c>
      <c r="E1940" s="7" t="str">
        <f>IF(Notes!CC1936="","",Notes!CC1936)</f>
        <v/>
      </c>
      <c r="F1940" s="7" t="str">
        <f>IF(Notes!CD1936="","",Notes!CD1936)</f>
        <v/>
      </c>
      <c r="G1940" s="7" t="str">
        <f>IF(Notes!CE1936="","",Notes!CE1936)</f>
        <v/>
      </c>
      <c r="H1940" s="7" t="str">
        <f>IF(Notes!CF1936="","",Notes!CF1936)</f>
        <v/>
      </c>
      <c r="I1940" s="7"/>
      <c r="J1940" s="7"/>
      <c r="K1940" s="7"/>
    </row>
    <row r="1941" spans="1:11" x14ac:dyDescent="0.35">
      <c r="A1941" s="7" t="str">
        <f>IF(Notes!BY1937="","",Notes!BY1937)</f>
        <v/>
      </c>
      <c r="B1941" s="7" t="str">
        <f>IF(Notes!BZ1937="","",Notes!BZ1937)</f>
        <v/>
      </c>
      <c r="C1941" s="7" t="str">
        <f>IF(Notes!CA1937="","",Notes!CA1937)</f>
        <v/>
      </c>
      <c r="D1941" s="7" t="str">
        <f>IF(Notes!CB1937="","",Notes!CB1937)</f>
        <v/>
      </c>
      <c r="E1941" s="7" t="str">
        <f>IF(Notes!CC1937="","",Notes!CC1937)</f>
        <v/>
      </c>
      <c r="F1941" s="7" t="str">
        <f>IF(Notes!CD1937="","",Notes!CD1937)</f>
        <v/>
      </c>
      <c r="G1941" s="7" t="str">
        <f>IF(Notes!CE1937="","",Notes!CE1937)</f>
        <v/>
      </c>
      <c r="H1941" s="7" t="str">
        <f>IF(Notes!CF1937="","",Notes!CF1937)</f>
        <v/>
      </c>
      <c r="I1941" s="7"/>
      <c r="J1941" s="7"/>
      <c r="K1941" s="7"/>
    </row>
    <row r="1942" spans="1:11" x14ac:dyDescent="0.35">
      <c r="A1942" s="7" t="str">
        <f>IF(Notes!BY1938="","",Notes!BY1938)</f>
        <v/>
      </c>
      <c r="B1942" s="7" t="str">
        <f>IF(Notes!BZ1938="","",Notes!BZ1938)</f>
        <v/>
      </c>
      <c r="C1942" s="7" t="str">
        <f>IF(Notes!CA1938="","",Notes!CA1938)</f>
        <v/>
      </c>
      <c r="D1942" s="7" t="str">
        <f>IF(Notes!CB1938="","",Notes!CB1938)</f>
        <v/>
      </c>
      <c r="E1942" s="7" t="str">
        <f>IF(Notes!CC1938="","",Notes!CC1938)</f>
        <v/>
      </c>
      <c r="F1942" s="7" t="str">
        <f>IF(Notes!CD1938="","",Notes!CD1938)</f>
        <v/>
      </c>
      <c r="G1942" s="7" t="str">
        <f>IF(Notes!CE1938="","",Notes!CE1938)</f>
        <v/>
      </c>
      <c r="H1942" s="7" t="str">
        <f>IF(Notes!CF1938="","",Notes!CF1938)</f>
        <v/>
      </c>
      <c r="I1942" s="7"/>
      <c r="J1942" s="7"/>
      <c r="K1942" s="7"/>
    </row>
    <row r="1943" spans="1:11" x14ac:dyDescent="0.35">
      <c r="A1943" s="7" t="str">
        <f>IF(Notes!BY1939="","",Notes!BY1939)</f>
        <v/>
      </c>
      <c r="B1943" s="7" t="str">
        <f>IF(Notes!BZ1939="","",Notes!BZ1939)</f>
        <v/>
      </c>
      <c r="C1943" s="7" t="str">
        <f>IF(Notes!CA1939="","",Notes!CA1939)</f>
        <v/>
      </c>
      <c r="D1943" s="7" t="str">
        <f>IF(Notes!CB1939="","",Notes!CB1939)</f>
        <v/>
      </c>
      <c r="E1943" s="7" t="str">
        <f>IF(Notes!CC1939="","",Notes!CC1939)</f>
        <v/>
      </c>
      <c r="F1943" s="7" t="str">
        <f>IF(Notes!CD1939="","",Notes!CD1939)</f>
        <v/>
      </c>
      <c r="G1943" s="7" t="str">
        <f>IF(Notes!CE1939="","",Notes!CE1939)</f>
        <v/>
      </c>
      <c r="H1943" s="7" t="str">
        <f>IF(Notes!CF1939="","",Notes!CF1939)</f>
        <v/>
      </c>
      <c r="I1943" s="7"/>
      <c r="J1943" s="7"/>
      <c r="K1943" s="7"/>
    </row>
    <row r="1944" spans="1:11" x14ac:dyDescent="0.35">
      <c r="A1944" s="7" t="str">
        <f>IF(Notes!BY1940="","",Notes!BY1940)</f>
        <v/>
      </c>
      <c r="B1944" s="7" t="str">
        <f>IF(Notes!BZ1940="","",Notes!BZ1940)</f>
        <v/>
      </c>
      <c r="C1944" s="7" t="str">
        <f>IF(Notes!CA1940="","",Notes!CA1940)</f>
        <v/>
      </c>
      <c r="D1944" s="7" t="str">
        <f>IF(Notes!CB1940="","",Notes!CB1940)</f>
        <v/>
      </c>
      <c r="E1944" s="7" t="str">
        <f>IF(Notes!CC1940="","",Notes!CC1940)</f>
        <v/>
      </c>
      <c r="F1944" s="7" t="str">
        <f>IF(Notes!CD1940="","",Notes!CD1940)</f>
        <v/>
      </c>
      <c r="G1944" s="7" t="str">
        <f>IF(Notes!CE1940="","",Notes!CE1940)</f>
        <v/>
      </c>
      <c r="H1944" s="7" t="str">
        <f>IF(Notes!CF1940="","",Notes!CF1940)</f>
        <v/>
      </c>
      <c r="I1944" s="7"/>
      <c r="J1944" s="7"/>
      <c r="K1944" s="7"/>
    </row>
    <row r="1945" spans="1:11" x14ac:dyDescent="0.35">
      <c r="A1945" s="7" t="str">
        <f>IF(Notes!BY1941="","",Notes!BY1941)</f>
        <v/>
      </c>
      <c r="B1945" s="7" t="str">
        <f>IF(Notes!BZ1941="","",Notes!BZ1941)</f>
        <v/>
      </c>
      <c r="C1945" s="7" t="str">
        <f>IF(Notes!CA1941="","",Notes!CA1941)</f>
        <v/>
      </c>
      <c r="D1945" s="7" t="str">
        <f>IF(Notes!CB1941="","",Notes!CB1941)</f>
        <v/>
      </c>
      <c r="E1945" s="7" t="str">
        <f>IF(Notes!CC1941="","",Notes!CC1941)</f>
        <v/>
      </c>
      <c r="F1945" s="7" t="str">
        <f>IF(Notes!CD1941="","",Notes!CD1941)</f>
        <v/>
      </c>
      <c r="G1945" s="7" t="str">
        <f>IF(Notes!CE1941="","",Notes!CE1941)</f>
        <v/>
      </c>
      <c r="H1945" s="7" t="str">
        <f>IF(Notes!CF1941="","",Notes!CF1941)</f>
        <v/>
      </c>
      <c r="I1945" s="7"/>
      <c r="J1945" s="7"/>
      <c r="K1945" s="7"/>
    </row>
    <row r="1946" spans="1:11" x14ac:dyDescent="0.35">
      <c r="A1946" s="7" t="str">
        <f>IF(Notes!BY1942="","",Notes!BY1942)</f>
        <v/>
      </c>
      <c r="B1946" s="7" t="str">
        <f>IF(Notes!BZ1942="","",Notes!BZ1942)</f>
        <v/>
      </c>
      <c r="C1946" s="7" t="str">
        <f>IF(Notes!CA1942="","",Notes!CA1942)</f>
        <v/>
      </c>
      <c r="D1946" s="7" t="str">
        <f>IF(Notes!CB1942="","",Notes!CB1942)</f>
        <v/>
      </c>
      <c r="E1946" s="7" t="str">
        <f>IF(Notes!CC1942="","",Notes!CC1942)</f>
        <v/>
      </c>
      <c r="F1946" s="7" t="str">
        <f>IF(Notes!CD1942="","",Notes!CD1942)</f>
        <v/>
      </c>
      <c r="G1946" s="7" t="str">
        <f>IF(Notes!CE1942="","",Notes!CE1942)</f>
        <v/>
      </c>
      <c r="H1946" s="7" t="str">
        <f>IF(Notes!CF1942="","",Notes!CF1942)</f>
        <v/>
      </c>
      <c r="I1946" s="7"/>
      <c r="J1946" s="7"/>
      <c r="K1946" s="7"/>
    </row>
    <row r="1947" spans="1:11" x14ac:dyDescent="0.35">
      <c r="A1947" s="7" t="str">
        <f>IF(Notes!BY1943="","",Notes!BY1943)</f>
        <v/>
      </c>
      <c r="B1947" s="7" t="str">
        <f>IF(Notes!BZ1943="","",Notes!BZ1943)</f>
        <v/>
      </c>
      <c r="C1947" s="7" t="str">
        <f>IF(Notes!CA1943="","",Notes!CA1943)</f>
        <v/>
      </c>
      <c r="D1947" s="7" t="str">
        <f>IF(Notes!CB1943="","",Notes!CB1943)</f>
        <v/>
      </c>
      <c r="E1947" s="7" t="str">
        <f>IF(Notes!CC1943="","",Notes!CC1943)</f>
        <v/>
      </c>
      <c r="F1947" s="7" t="str">
        <f>IF(Notes!CD1943="","",Notes!CD1943)</f>
        <v/>
      </c>
      <c r="G1947" s="7" t="str">
        <f>IF(Notes!CE1943="","",Notes!CE1943)</f>
        <v/>
      </c>
      <c r="H1947" s="7" t="str">
        <f>IF(Notes!CF1943="","",Notes!CF1943)</f>
        <v/>
      </c>
      <c r="I1947" s="7"/>
      <c r="J1947" s="7"/>
      <c r="K1947" s="7"/>
    </row>
    <row r="1948" spans="1:11" x14ac:dyDescent="0.35">
      <c r="A1948" s="7" t="str">
        <f>IF(Notes!BY1944="","",Notes!BY1944)</f>
        <v/>
      </c>
      <c r="B1948" s="7" t="str">
        <f>IF(Notes!BZ1944="","",Notes!BZ1944)</f>
        <v/>
      </c>
      <c r="C1948" s="7" t="str">
        <f>IF(Notes!CA1944="","",Notes!CA1944)</f>
        <v/>
      </c>
      <c r="D1948" s="7" t="str">
        <f>IF(Notes!CB1944="","",Notes!CB1944)</f>
        <v/>
      </c>
      <c r="E1948" s="7" t="str">
        <f>IF(Notes!CC1944="","",Notes!CC1944)</f>
        <v/>
      </c>
      <c r="F1948" s="7" t="str">
        <f>IF(Notes!CD1944="","",Notes!CD1944)</f>
        <v/>
      </c>
      <c r="G1948" s="7" t="str">
        <f>IF(Notes!CE1944="","",Notes!CE1944)</f>
        <v/>
      </c>
      <c r="H1948" s="7" t="str">
        <f>IF(Notes!CF1944="","",Notes!CF1944)</f>
        <v/>
      </c>
      <c r="I1948" s="7"/>
      <c r="J1948" s="7"/>
      <c r="K1948" s="7"/>
    </row>
    <row r="1949" spans="1:11" x14ac:dyDescent="0.35">
      <c r="A1949" s="7" t="str">
        <f>IF(Notes!BY1945="","",Notes!BY1945)</f>
        <v/>
      </c>
      <c r="B1949" s="7" t="str">
        <f>IF(Notes!BZ1945="","",Notes!BZ1945)</f>
        <v/>
      </c>
      <c r="C1949" s="7" t="str">
        <f>IF(Notes!CA1945="","",Notes!CA1945)</f>
        <v/>
      </c>
      <c r="D1949" s="7" t="str">
        <f>IF(Notes!CB1945="","",Notes!CB1945)</f>
        <v/>
      </c>
      <c r="E1949" s="7" t="str">
        <f>IF(Notes!CC1945="","",Notes!CC1945)</f>
        <v/>
      </c>
      <c r="F1949" s="7" t="str">
        <f>IF(Notes!CD1945="","",Notes!CD1945)</f>
        <v/>
      </c>
      <c r="G1949" s="7" t="str">
        <f>IF(Notes!CE1945="","",Notes!CE1945)</f>
        <v/>
      </c>
      <c r="H1949" s="7" t="str">
        <f>IF(Notes!CF1945="","",Notes!CF1945)</f>
        <v/>
      </c>
      <c r="I1949" s="7"/>
      <c r="J1949" s="7"/>
      <c r="K1949" s="7"/>
    </row>
    <row r="1950" spans="1:11" x14ac:dyDescent="0.35">
      <c r="A1950" s="7" t="str">
        <f>IF(Notes!BY1946="","",Notes!BY1946)</f>
        <v/>
      </c>
      <c r="B1950" s="7" t="str">
        <f>IF(Notes!BZ1946="","",Notes!BZ1946)</f>
        <v/>
      </c>
      <c r="C1950" s="7" t="str">
        <f>IF(Notes!CA1946="","",Notes!CA1946)</f>
        <v/>
      </c>
      <c r="D1950" s="7" t="str">
        <f>IF(Notes!CB1946="","",Notes!CB1946)</f>
        <v/>
      </c>
      <c r="E1950" s="7" t="str">
        <f>IF(Notes!CC1946="","",Notes!CC1946)</f>
        <v/>
      </c>
      <c r="F1950" s="7" t="str">
        <f>IF(Notes!CD1946="","",Notes!CD1946)</f>
        <v/>
      </c>
      <c r="G1950" s="7" t="str">
        <f>IF(Notes!CE1946="","",Notes!CE1946)</f>
        <v/>
      </c>
      <c r="H1950" s="7" t="str">
        <f>IF(Notes!CF1946="","",Notes!CF1946)</f>
        <v/>
      </c>
      <c r="I1950" s="7"/>
      <c r="J1950" s="7"/>
      <c r="K1950" s="7"/>
    </row>
    <row r="1951" spans="1:11" x14ac:dyDescent="0.35">
      <c r="A1951" s="7" t="str">
        <f>IF(Notes!BY1947="","",Notes!BY1947)</f>
        <v/>
      </c>
      <c r="B1951" s="7" t="str">
        <f>IF(Notes!BZ1947="","",Notes!BZ1947)</f>
        <v/>
      </c>
      <c r="C1951" s="7" t="str">
        <f>IF(Notes!CA1947="","",Notes!CA1947)</f>
        <v/>
      </c>
      <c r="D1951" s="7" t="str">
        <f>IF(Notes!CB1947="","",Notes!CB1947)</f>
        <v/>
      </c>
      <c r="E1951" s="7" t="str">
        <f>IF(Notes!CC1947="","",Notes!CC1947)</f>
        <v/>
      </c>
      <c r="F1951" s="7" t="str">
        <f>IF(Notes!CD1947="","",Notes!CD1947)</f>
        <v/>
      </c>
      <c r="G1951" s="7" t="str">
        <f>IF(Notes!CE1947="","",Notes!CE1947)</f>
        <v/>
      </c>
      <c r="H1951" s="7" t="str">
        <f>IF(Notes!CF1947="","",Notes!CF1947)</f>
        <v/>
      </c>
      <c r="I1951" s="7"/>
      <c r="J1951" s="7"/>
      <c r="K1951" s="7"/>
    </row>
    <row r="1952" spans="1:11" x14ac:dyDescent="0.35">
      <c r="A1952" s="7" t="str">
        <f>IF(Notes!BY1948="","",Notes!BY1948)</f>
        <v/>
      </c>
      <c r="B1952" s="7" t="str">
        <f>IF(Notes!BZ1948="","",Notes!BZ1948)</f>
        <v/>
      </c>
      <c r="C1952" s="7" t="str">
        <f>IF(Notes!CA1948="","",Notes!CA1948)</f>
        <v/>
      </c>
      <c r="D1952" s="7" t="str">
        <f>IF(Notes!CB1948="","",Notes!CB1948)</f>
        <v/>
      </c>
      <c r="E1952" s="7" t="str">
        <f>IF(Notes!CC1948="","",Notes!CC1948)</f>
        <v/>
      </c>
      <c r="F1952" s="7" t="str">
        <f>IF(Notes!CD1948="","",Notes!CD1948)</f>
        <v/>
      </c>
      <c r="G1952" s="7" t="str">
        <f>IF(Notes!CE1948="","",Notes!CE1948)</f>
        <v/>
      </c>
      <c r="H1952" s="7" t="str">
        <f>IF(Notes!CF1948="","",Notes!CF1948)</f>
        <v/>
      </c>
      <c r="I1952" s="7"/>
      <c r="J1952" s="7"/>
      <c r="K1952" s="7"/>
    </row>
    <row r="1953" spans="1:11" x14ac:dyDescent="0.35">
      <c r="A1953" s="7" t="str">
        <f>IF(Notes!BY1949="","",Notes!BY1949)</f>
        <v/>
      </c>
      <c r="B1953" s="7" t="str">
        <f>IF(Notes!BZ1949="","",Notes!BZ1949)</f>
        <v/>
      </c>
      <c r="C1953" s="7" t="str">
        <f>IF(Notes!CA1949="","",Notes!CA1949)</f>
        <v/>
      </c>
      <c r="D1953" s="7" t="str">
        <f>IF(Notes!CB1949="","",Notes!CB1949)</f>
        <v/>
      </c>
      <c r="E1953" s="7" t="str">
        <f>IF(Notes!CC1949="","",Notes!CC1949)</f>
        <v/>
      </c>
      <c r="F1953" s="7" t="str">
        <f>IF(Notes!CD1949="","",Notes!CD1949)</f>
        <v/>
      </c>
      <c r="G1953" s="7" t="str">
        <f>IF(Notes!CE1949="","",Notes!CE1949)</f>
        <v/>
      </c>
      <c r="H1953" s="7" t="str">
        <f>IF(Notes!CF1949="","",Notes!CF1949)</f>
        <v/>
      </c>
      <c r="I1953" s="7"/>
      <c r="J1953" s="7"/>
      <c r="K1953" s="7"/>
    </row>
    <row r="1954" spans="1:11" x14ac:dyDescent="0.35">
      <c r="A1954" s="7" t="str">
        <f>IF(Notes!BY1950="","",Notes!BY1950)</f>
        <v/>
      </c>
      <c r="B1954" s="7" t="str">
        <f>IF(Notes!BZ1950="","",Notes!BZ1950)</f>
        <v/>
      </c>
      <c r="C1954" s="7" t="str">
        <f>IF(Notes!CA1950="","",Notes!CA1950)</f>
        <v/>
      </c>
      <c r="D1954" s="7" t="str">
        <f>IF(Notes!CB1950="","",Notes!CB1950)</f>
        <v/>
      </c>
      <c r="E1954" s="7" t="str">
        <f>IF(Notes!CC1950="","",Notes!CC1950)</f>
        <v/>
      </c>
      <c r="F1954" s="7" t="str">
        <f>IF(Notes!CD1950="","",Notes!CD1950)</f>
        <v/>
      </c>
      <c r="G1954" s="7" t="str">
        <f>IF(Notes!CE1950="","",Notes!CE1950)</f>
        <v/>
      </c>
      <c r="H1954" s="7" t="str">
        <f>IF(Notes!CF1950="","",Notes!CF1950)</f>
        <v/>
      </c>
      <c r="I1954" s="7"/>
      <c r="J1954" s="7"/>
      <c r="K1954" s="7"/>
    </row>
    <row r="1955" spans="1:11" x14ac:dyDescent="0.35">
      <c r="A1955" s="7" t="str">
        <f>IF(Notes!BY1951="","",Notes!BY1951)</f>
        <v/>
      </c>
      <c r="B1955" s="7" t="str">
        <f>IF(Notes!BZ1951="","",Notes!BZ1951)</f>
        <v/>
      </c>
      <c r="C1955" s="7" t="str">
        <f>IF(Notes!CA1951="","",Notes!CA1951)</f>
        <v/>
      </c>
      <c r="D1955" s="7" t="str">
        <f>IF(Notes!CB1951="","",Notes!CB1951)</f>
        <v/>
      </c>
      <c r="E1955" s="7" t="str">
        <f>IF(Notes!CC1951="","",Notes!CC1951)</f>
        <v/>
      </c>
      <c r="F1955" s="7" t="str">
        <f>IF(Notes!CD1951="","",Notes!CD1951)</f>
        <v/>
      </c>
      <c r="G1955" s="7" t="str">
        <f>IF(Notes!CE1951="","",Notes!CE1951)</f>
        <v/>
      </c>
      <c r="H1955" s="7" t="str">
        <f>IF(Notes!CF1951="","",Notes!CF1951)</f>
        <v/>
      </c>
      <c r="I1955" s="7"/>
      <c r="J1955" s="7"/>
      <c r="K1955" s="7"/>
    </row>
    <row r="1956" spans="1:11" x14ac:dyDescent="0.35">
      <c r="A1956" s="7" t="str">
        <f>IF(Notes!BY1952="","",Notes!BY1952)</f>
        <v/>
      </c>
      <c r="B1956" s="7" t="str">
        <f>IF(Notes!BZ1952="","",Notes!BZ1952)</f>
        <v/>
      </c>
      <c r="C1956" s="7" t="str">
        <f>IF(Notes!CA1952="","",Notes!CA1952)</f>
        <v/>
      </c>
      <c r="D1956" s="7" t="str">
        <f>IF(Notes!CB1952="","",Notes!CB1952)</f>
        <v/>
      </c>
      <c r="E1956" s="7" t="str">
        <f>IF(Notes!CC1952="","",Notes!CC1952)</f>
        <v/>
      </c>
      <c r="F1956" s="7" t="str">
        <f>IF(Notes!CD1952="","",Notes!CD1952)</f>
        <v/>
      </c>
      <c r="G1956" s="7" t="str">
        <f>IF(Notes!CE1952="","",Notes!CE1952)</f>
        <v/>
      </c>
      <c r="H1956" s="7" t="str">
        <f>IF(Notes!CF1952="","",Notes!CF1952)</f>
        <v/>
      </c>
      <c r="I1956" s="7"/>
      <c r="J1956" s="7"/>
      <c r="K1956" s="7"/>
    </row>
    <row r="1957" spans="1:11" x14ac:dyDescent="0.35">
      <c r="A1957" s="7" t="str">
        <f>IF(Notes!BY1953="","",Notes!BY1953)</f>
        <v/>
      </c>
      <c r="B1957" s="7" t="str">
        <f>IF(Notes!BZ1953="","",Notes!BZ1953)</f>
        <v/>
      </c>
      <c r="C1957" s="7" t="str">
        <f>IF(Notes!CA1953="","",Notes!CA1953)</f>
        <v/>
      </c>
      <c r="D1957" s="7" t="str">
        <f>IF(Notes!CB1953="","",Notes!CB1953)</f>
        <v/>
      </c>
      <c r="E1957" s="7" t="str">
        <f>IF(Notes!CC1953="","",Notes!CC1953)</f>
        <v/>
      </c>
      <c r="F1957" s="7" t="str">
        <f>IF(Notes!CD1953="","",Notes!CD1953)</f>
        <v/>
      </c>
      <c r="G1957" s="7" t="str">
        <f>IF(Notes!CE1953="","",Notes!CE1953)</f>
        <v/>
      </c>
      <c r="H1957" s="7" t="str">
        <f>IF(Notes!CF1953="","",Notes!CF1953)</f>
        <v/>
      </c>
      <c r="I1957" s="7"/>
      <c r="J1957" s="7"/>
      <c r="K1957" s="7"/>
    </row>
    <row r="1958" spans="1:11" x14ac:dyDescent="0.35">
      <c r="A1958" s="7" t="str">
        <f>IF(Notes!BY1954="","",Notes!BY1954)</f>
        <v/>
      </c>
      <c r="B1958" s="7" t="str">
        <f>IF(Notes!BZ1954="","",Notes!BZ1954)</f>
        <v/>
      </c>
      <c r="C1958" s="7" t="str">
        <f>IF(Notes!CA1954="","",Notes!CA1954)</f>
        <v/>
      </c>
      <c r="D1958" s="7" t="str">
        <f>IF(Notes!CB1954="","",Notes!CB1954)</f>
        <v/>
      </c>
      <c r="E1958" s="7" t="str">
        <f>IF(Notes!CC1954="","",Notes!CC1954)</f>
        <v/>
      </c>
      <c r="F1958" s="7" t="str">
        <f>IF(Notes!CD1954="","",Notes!CD1954)</f>
        <v/>
      </c>
      <c r="G1958" s="7" t="str">
        <f>IF(Notes!CE1954="","",Notes!CE1954)</f>
        <v/>
      </c>
      <c r="H1958" s="7" t="str">
        <f>IF(Notes!CF1954="","",Notes!CF1954)</f>
        <v/>
      </c>
      <c r="I1958" s="7"/>
      <c r="J1958" s="7"/>
      <c r="K1958" s="7"/>
    </row>
    <row r="1959" spans="1:11" x14ac:dyDescent="0.35">
      <c r="A1959" s="7" t="str">
        <f>IF(Notes!BY1955="","",Notes!BY1955)</f>
        <v/>
      </c>
      <c r="B1959" s="7" t="str">
        <f>IF(Notes!BZ1955="","",Notes!BZ1955)</f>
        <v/>
      </c>
      <c r="C1959" s="7" t="str">
        <f>IF(Notes!CA1955="","",Notes!CA1955)</f>
        <v/>
      </c>
      <c r="D1959" s="7" t="str">
        <f>IF(Notes!CB1955="","",Notes!CB1955)</f>
        <v/>
      </c>
      <c r="E1959" s="7" t="str">
        <f>IF(Notes!CC1955="","",Notes!CC1955)</f>
        <v/>
      </c>
      <c r="F1959" s="7" t="str">
        <f>IF(Notes!CD1955="","",Notes!CD1955)</f>
        <v/>
      </c>
      <c r="G1959" s="7" t="str">
        <f>IF(Notes!CE1955="","",Notes!CE1955)</f>
        <v/>
      </c>
      <c r="H1959" s="7" t="str">
        <f>IF(Notes!CF1955="","",Notes!CF1955)</f>
        <v/>
      </c>
      <c r="I1959" s="7"/>
      <c r="J1959" s="7"/>
      <c r="K1959" s="7"/>
    </row>
    <row r="1960" spans="1:11" x14ac:dyDescent="0.35">
      <c r="A1960" s="7" t="str">
        <f>IF(Notes!BY1956="","",Notes!BY1956)</f>
        <v/>
      </c>
      <c r="B1960" s="7" t="str">
        <f>IF(Notes!BZ1956="","",Notes!BZ1956)</f>
        <v/>
      </c>
      <c r="C1960" s="7" t="str">
        <f>IF(Notes!CA1956="","",Notes!CA1956)</f>
        <v/>
      </c>
      <c r="D1960" s="7" t="str">
        <f>IF(Notes!CB1956="","",Notes!CB1956)</f>
        <v/>
      </c>
      <c r="E1960" s="7" t="str">
        <f>IF(Notes!CC1956="","",Notes!CC1956)</f>
        <v/>
      </c>
      <c r="F1960" s="7" t="str">
        <f>IF(Notes!CD1956="","",Notes!CD1956)</f>
        <v/>
      </c>
      <c r="G1960" s="7" t="str">
        <f>IF(Notes!CE1956="","",Notes!CE1956)</f>
        <v/>
      </c>
      <c r="H1960" s="7" t="str">
        <f>IF(Notes!CF1956="","",Notes!CF1956)</f>
        <v/>
      </c>
      <c r="I1960" s="7"/>
      <c r="J1960" s="7"/>
      <c r="K1960" s="7"/>
    </row>
    <row r="1961" spans="1:11" x14ac:dyDescent="0.35">
      <c r="A1961" s="7" t="str">
        <f>IF(Notes!BY1957="","",Notes!BY1957)</f>
        <v/>
      </c>
      <c r="B1961" s="7" t="str">
        <f>IF(Notes!BZ1957="","",Notes!BZ1957)</f>
        <v/>
      </c>
      <c r="C1961" s="7" t="str">
        <f>IF(Notes!CA1957="","",Notes!CA1957)</f>
        <v/>
      </c>
      <c r="D1961" s="7" t="str">
        <f>IF(Notes!CB1957="","",Notes!CB1957)</f>
        <v/>
      </c>
      <c r="E1961" s="7" t="str">
        <f>IF(Notes!CC1957="","",Notes!CC1957)</f>
        <v/>
      </c>
      <c r="F1961" s="7" t="str">
        <f>IF(Notes!CD1957="","",Notes!CD1957)</f>
        <v/>
      </c>
      <c r="G1961" s="7" t="str">
        <f>IF(Notes!CE1957="","",Notes!CE1957)</f>
        <v/>
      </c>
      <c r="H1961" s="7" t="str">
        <f>IF(Notes!CF1957="","",Notes!CF1957)</f>
        <v/>
      </c>
      <c r="I1961" s="7"/>
      <c r="J1961" s="7"/>
      <c r="K1961" s="7"/>
    </row>
    <row r="1962" spans="1:11" x14ac:dyDescent="0.35">
      <c r="A1962" s="7" t="str">
        <f>IF(Notes!BY1958="","",Notes!BY1958)</f>
        <v/>
      </c>
      <c r="B1962" s="7" t="str">
        <f>IF(Notes!BZ1958="","",Notes!BZ1958)</f>
        <v/>
      </c>
      <c r="C1962" s="7" t="str">
        <f>IF(Notes!CA1958="","",Notes!CA1958)</f>
        <v/>
      </c>
      <c r="D1962" s="7" t="str">
        <f>IF(Notes!CB1958="","",Notes!CB1958)</f>
        <v/>
      </c>
      <c r="E1962" s="7" t="str">
        <f>IF(Notes!CC1958="","",Notes!CC1958)</f>
        <v/>
      </c>
      <c r="F1962" s="7" t="str">
        <f>IF(Notes!CD1958="","",Notes!CD1958)</f>
        <v/>
      </c>
      <c r="G1962" s="7" t="str">
        <f>IF(Notes!CE1958="","",Notes!CE1958)</f>
        <v/>
      </c>
      <c r="H1962" s="7" t="str">
        <f>IF(Notes!CF1958="","",Notes!CF1958)</f>
        <v/>
      </c>
      <c r="I1962" s="7"/>
      <c r="J1962" s="7"/>
      <c r="K1962" s="7"/>
    </row>
    <row r="1963" spans="1:11" x14ac:dyDescent="0.35">
      <c r="A1963" s="7" t="str">
        <f>IF(Notes!BY1959="","",Notes!BY1959)</f>
        <v/>
      </c>
      <c r="B1963" s="7" t="str">
        <f>IF(Notes!BZ1959="","",Notes!BZ1959)</f>
        <v/>
      </c>
      <c r="C1963" s="7" t="str">
        <f>IF(Notes!CA1959="","",Notes!CA1959)</f>
        <v/>
      </c>
      <c r="D1963" s="7" t="str">
        <f>IF(Notes!CB1959="","",Notes!CB1959)</f>
        <v/>
      </c>
      <c r="E1963" s="7" t="str">
        <f>IF(Notes!CC1959="","",Notes!CC1959)</f>
        <v/>
      </c>
      <c r="F1963" s="7" t="str">
        <f>IF(Notes!CD1959="","",Notes!CD1959)</f>
        <v/>
      </c>
      <c r="G1963" s="7" t="str">
        <f>IF(Notes!CE1959="","",Notes!CE1959)</f>
        <v/>
      </c>
      <c r="H1963" s="7" t="str">
        <f>IF(Notes!CF1959="","",Notes!CF1959)</f>
        <v/>
      </c>
      <c r="I1963" s="7"/>
      <c r="J1963" s="7"/>
      <c r="K1963" s="7"/>
    </row>
    <row r="1964" spans="1:11" x14ac:dyDescent="0.35">
      <c r="A1964" s="7" t="str">
        <f>IF(Notes!BY1960="","",Notes!BY1960)</f>
        <v/>
      </c>
      <c r="B1964" s="7" t="str">
        <f>IF(Notes!BZ1960="","",Notes!BZ1960)</f>
        <v/>
      </c>
      <c r="C1964" s="7" t="str">
        <f>IF(Notes!CA1960="","",Notes!CA1960)</f>
        <v/>
      </c>
      <c r="D1964" s="7" t="str">
        <f>IF(Notes!CB1960="","",Notes!CB1960)</f>
        <v/>
      </c>
      <c r="E1964" s="7" t="str">
        <f>IF(Notes!CC1960="","",Notes!CC1960)</f>
        <v/>
      </c>
      <c r="F1964" s="7" t="str">
        <f>IF(Notes!CD1960="","",Notes!CD1960)</f>
        <v/>
      </c>
      <c r="G1964" s="7" t="str">
        <f>IF(Notes!CE1960="","",Notes!CE1960)</f>
        <v/>
      </c>
      <c r="H1964" s="7" t="str">
        <f>IF(Notes!CF1960="","",Notes!CF1960)</f>
        <v/>
      </c>
      <c r="I1964" s="7"/>
      <c r="J1964" s="7"/>
      <c r="K1964" s="7"/>
    </row>
    <row r="1965" spans="1:11" x14ac:dyDescent="0.35">
      <c r="A1965" s="7" t="str">
        <f>IF(Notes!BY1961="","",Notes!BY1961)</f>
        <v/>
      </c>
      <c r="B1965" s="7" t="str">
        <f>IF(Notes!BZ1961="","",Notes!BZ1961)</f>
        <v/>
      </c>
      <c r="C1965" s="7" t="str">
        <f>IF(Notes!CA1961="","",Notes!CA1961)</f>
        <v/>
      </c>
      <c r="D1965" s="7" t="str">
        <f>IF(Notes!CB1961="","",Notes!CB1961)</f>
        <v/>
      </c>
      <c r="E1965" s="7" t="str">
        <f>IF(Notes!CC1961="","",Notes!CC1961)</f>
        <v/>
      </c>
      <c r="F1965" s="7" t="str">
        <f>IF(Notes!CD1961="","",Notes!CD1961)</f>
        <v/>
      </c>
      <c r="G1965" s="7" t="str">
        <f>IF(Notes!CE1961="","",Notes!CE1961)</f>
        <v/>
      </c>
      <c r="H1965" s="7" t="str">
        <f>IF(Notes!CF1961="","",Notes!CF1961)</f>
        <v/>
      </c>
      <c r="I1965" s="7"/>
      <c r="J1965" s="7"/>
      <c r="K1965" s="7"/>
    </row>
    <row r="1966" spans="1:11" x14ac:dyDescent="0.35">
      <c r="A1966" s="7" t="str">
        <f>IF(Notes!BY1962="","",Notes!BY1962)</f>
        <v/>
      </c>
      <c r="B1966" s="7" t="str">
        <f>IF(Notes!BZ1962="","",Notes!BZ1962)</f>
        <v/>
      </c>
      <c r="C1966" s="7" t="str">
        <f>IF(Notes!CA1962="","",Notes!CA1962)</f>
        <v/>
      </c>
      <c r="D1966" s="7" t="str">
        <f>IF(Notes!CB1962="","",Notes!CB1962)</f>
        <v/>
      </c>
      <c r="E1966" s="7" t="str">
        <f>IF(Notes!CC1962="","",Notes!CC1962)</f>
        <v/>
      </c>
      <c r="F1966" s="7" t="str">
        <f>IF(Notes!CD1962="","",Notes!CD1962)</f>
        <v/>
      </c>
      <c r="G1966" s="7" t="str">
        <f>IF(Notes!CE1962="","",Notes!CE1962)</f>
        <v/>
      </c>
      <c r="H1966" s="7" t="str">
        <f>IF(Notes!CF1962="","",Notes!CF1962)</f>
        <v/>
      </c>
      <c r="I1966" s="7"/>
      <c r="J1966" s="7"/>
      <c r="K1966" s="7"/>
    </row>
    <row r="1967" spans="1:11" x14ac:dyDescent="0.35">
      <c r="A1967" s="7" t="str">
        <f>IF(Notes!BY1963="","",Notes!BY1963)</f>
        <v/>
      </c>
      <c r="B1967" s="7" t="str">
        <f>IF(Notes!BZ1963="","",Notes!BZ1963)</f>
        <v/>
      </c>
      <c r="C1967" s="7" t="str">
        <f>IF(Notes!CA1963="","",Notes!CA1963)</f>
        <v/>
      </c>
      <c r="D1967" s="7" t="str">
        <f>IF(Notes!CB1963="","",Notes!CB1963)</f>
        <v/>
      </c>
      <c r="E1967" s="7" t="str">
        <f>IF(Notes!CC1963="","",Notes!CC1963)</f>
        <v/>
      </c>
      <c r="F1967" s="7" t="str">
        <f>IF(Notes!CD1963="","",Notes!CD1963)</f>
        <v/>
      </c>
      <c r="G1967" s="7" t="str">
        <f>IF(Notes!CE1963="","",Notes!CE1963)</f>
        <v/>
      </c>
      <c r="H1967" s="7" t="str">
        <f>IF(Notes!CF1963="","",Notes!CF1963)</f>
        <v/>
      </c>
      <c r="I1967" s="7"/>
      <c r="J1967" s="7"/>
      <c r="K1967" s="7"/>
    </row>
    <row r="1968" spans="1:11" x14ac:dyDescent="0.35">
      <c r="A1968" s="7" t="str">
        <f>IF(Notes!BY1964="","",Notes!BY1964)</f>
        <v/>
      </c>
      <c r="B1968" s="7" t="str">
        <f>IF(Notes!BZ1964="","",Notes!BZ1964)</f>
        <v/>
      </c>
      <c r="C1968" s="7" t="str">
        <f>IF(Notes!CA1964="","",Notes!CA1964)</f>
        <v/>
      </c>
      <c r="D1968" s="7" t="str">
        <f>IF(Notes!CB1964="","",Notes!CB1964)</f>
        <v/>
      </c>
      <c r="E1968" s="7" t="str">
        <f>IF(Notes!CC1964="","",Notes!CC1964)</f>
        <v/>
      </c>
      <c r="F1968" s="7" t="str">
        <f>IF(Notes!CD1964="","",Notes!CD1964)</f>
        <v/>
      </c>
      <c r="G1968" s="7" t="str">
        <f>IF(Notes!CE1964="","",Notes!CE1964)</f>
        <v/>
      </c>
      <c r="H1968" s="7" t="str">
        <f>IF(Notes!CF1964="","",Notes!CF1964)</f>
        <v/>
      </c>
      <c r="I1968" s="7"/>
      <c r="J1968" s="7"/>
      <c r="K1968" s="7"/>
    </row>
    <row r="1969" spans="1:11" x14ac:dyDescent="0.35">
      <c r="A1969" s="7" t="str">
        <f>IF(Notes!BY1965="","",Notes!BY1965)</f>
        <v/>
      </c>
      <c r="B1969" s="7" t="str">
        <f>IF(Notes!BZ1965="","",Notes!BZ1965)</f>
        <v/>
      </c>
      <c r="C1969" s="7" t="str">
        <f>IF(Notes!CA1965="","",Notes!CA1965)</f>
        <v/>
      </c>
      <c r="D1969" s="7" t="str">
        <f>IF(Notes!CB1965="","",Notes!CB1965)</f>
        <v/>
      </c>
      <c r="E1969" s="7" t="str">
        <f>IF(Notes!CC1965="","",Notes!CC1965)</f>
        <v/>
      </c>
      <c r="F1969" s="7" t="str">
        <f>IF(Notes!CD1965="","",Notes!CD1965)</f>
        <v/>
      </c>
      <c r="G1969" s="7" t="str">
        <f>IF(Notes!CE1965="","",Notes!CE1965)</f>
        <v/>
      </c>
      <c r="H1969" s="7" t="str">
        <f>IF(Notes!CF1965="","",Notes!CF1965)</f>
        <v/>
      </c>
      <c r="I1969" s="7"/>
      <c r="J1969" s="7"/>
      <c r="K1969" s="7"/>
    </row>
    <row r="1970" spans="1:11" x14ac:dyDescent="0.35">
      <c r="A1970" s="7" t="str">
        <f>IF(Notes!BY1966="","",Notes!BY1966)</f>
        <v/>
      </c>
      <c r="B1970" s="7" t="str">
        <f>IF(Notes!BZ1966="","",Notes!BZ1966)</f>
        <v/>
      </c>
      <c r="C1970" s="7" t="str">
        <f>IF(Notes!CA1966="","",Notes!CA1966)</f>
        <v/>
      </c>
      <c r="D1970" s="7" t="str">
        <f>IF(Notes!CB1966="","",Notes!CB1966)</f>
        <v/>
      </c>
      <c r="E1970" s="7" t="str">
        <f>IF(Notes!CC1966="","",Notes!CC1966)</f>
        <v/>
      </c>
      <c r="F1970" s="7" t="str">
        <f>IF(Notes!CD1966="","",Notes!CD1966)</f>
        <v/>
      </c>
      <c r="G1970" s="7" t="str">
        <f>IF(Notes!CE1966="","",Notes!CE1966)</f>
        <v/>
      </c>
      <c r="H1970" s="7" t="str">
        <f>IF(Notes!CF1966="","",Notes!CF1966)</f>
        <v/>
      </c>
      <c r="I1970" s="7"/>
      <c r="J1970" s="7"/>
      <c r="K1970" s="7"/>
    </row>
    <row r="1971" spans="1:11" x14ac:dyDescent="0.35">
      <c r="A1971" s="7" t="str">
        <f>IF(Notes!BY1967="","",Notes!BY1967)</f>
        <v/>
      </c>
      <c r="B1971" s="7" t="str">
        <f>IF(Notes!BZ1967="","",Notes!BZ1967)</f>
        <v/>
      </c>
      <c r="C1971" s="7" t="str">
        <f>IF(Notes!CA1967="","",Notes!CA1967)</f>
        <v/>
      </c>
      <c r="D1971" s="7" t="str">
        <f>IF(Notes!CB1967="","",Notes!CB1967)</f>
        <v/>
      </c>
      <c r="E1971" s="7" t="str">
        <f>IF(Notes!CC1967="","",Notes!CC1967)</f>
        <v/>
      </c>
      <c r="F1971" s="7" t="str">
        <f>IF(Notes!CD1967="","",Notes!CD1967)</f>
        <v/>
      </c>
      <c r="G1971" s="7" t="str">
        <f>IF(Notes!CE1967="","",Notes!CE1967)</f>
        <v/>
      </c>
      <c r="H1971" s="7" t="str">
        <f>IF(Notes!CF1967="","",Notes!CF1967)</f>
        <v/>
      </c>
      <c r="I1971" s="7"/>
      <c r="J1971" s="7"/>
      <c r="K1971" s="7"/>
    </row>
    <row r="1972" spans="1:11" x14ac:dyDescent="0.35">
      <c r="A1972" s="7" t="str">
        <f>IF(Notes!BY1968="","",Notes!BY1968)</f>
        <v/>
      </c>
      <c r="B1972" s="7" t="str">
        <f>IF(Notes!BZ1968="","",Notes!BZ1968)</f>
        <v/>
      </c>
      <c r="C1972" s="7" t="str">
        <f>IF(Notes!CA1968="","",Notes!CA1968)</f>
        <v/>
      </c>
      <c r="D1972" s="7" t="str">
        <f>IF(Notes!CB1968="","",Notes!CB1968)</f>
        <v/>
      </c>
      <c r="E1972" s="7" t="str">
        <f>IF(Notes!CC1968="","",Notes!CC1968)</f>
        <v/>
      </c>
      <c r="F1972" s="7" t="str">
        <f>IF(Notes!CD1968="","",Notes!CD1968)</f>
        <v/>
      </c>
      <c r="G1972" s="7" t="str">
        <f>IF(Notes!CE1968="","",Notes!CE1968)</f>
        <v/>
      </c>
      <c r="H1972" s="7" t="str">
        <f>IF(Notes!CF1968="","",Notes!CF1968)</f>
        <v/>
      </c>
      <c r="I1972" s="7"/>
      <c r="J1972" s="7"/>
      <c r="K1972" s="7"/>
    </row>
    <row r="1973" spans="1:11" x14ac:dyDescent="0.35">
      <c r="A1973" s="7" t="str">
        <f>IF(Notes!BY1969="","",Notes!BY1969)</f>
        <v/>
      </c>
      <c r="B1973" s="7" t="str">
        <f>IF(Notes!BZ1969="","",Notes!BZ1969)</f>
        <v/>
      </c>
      <c r="C1973" s="7" t="str">
        <f>IF(Notes!CA1969="","",Notes!CA1969)</f>
        <v/>
      </c>
      <c r="D1973" s="7" t="str">
        <f>IF(Notes!CB1969="","",Notes!CB1969)</f>
        <v/>
      </c>
      <c r="E1973" s="7" t="str">
        <f>IF(Notes!CC1969="","",Notes!CC1969)</f>
        <v/>
      </c>
      <c r="F1973" s="7" t="str">
        <f>IF(Notes!CD1969="","",Notes!CD1969)</f>
        <v/>
      </c>
      <c r="G1973" s="7" t="str">
        <f>IF(Notes!CE1969="","",Notes!CE1969)</f>
        <v/>
      </c>
      <c r="H1973" s="7" t="str">
        <f>IF(Notes!CF1969="","",Notes!CF1969)</f>
        <v/>
      </c>
      <c r="I1973" s="7"/>
      <c r="J1973" s="7"/>
      <c r="K1973" s="7"/>
    </row>
    <row r="1974" spans="1:11" x14ac:dyDescent="0.35">
      <c r="A1974" s="7" t="str">
        <f>IF(Notes!BY1970="","",Notes!BY1970)</f>
        <v/>
      </c>
      <c r="B1974" s="7" t="str">
        <f>IF(Notes!BZ1970="","",Notes!BZ1970)</f>
        <v/>
      </c>
      <c r="C1974" s="7" t="str">
        <f>IF(Notes!CA1970="","",Notes!CA1970)</f>
        <v/>
      </c>
      <c r="D1974" s="7" t="str">
        <f>IF(Notes!CB1970="","",Notes!CB1970)</f>
        <v/>
      </c>
      <c r="E1974" s="7" t="str">
        <f>IF(Notes!CC1970="","",Notes!CC1970)</f>
        <v/>
      </c>
      <c r="F1974" s="7" t="str">
        <f>IF(Notes!CD1970="","",Notes!CD1970)</f>
        <v/>
      </c>
      <c r="G1974" s="7" t="str">
        <f>IF(Notes!CE1970="","",Notes!CE1970)</f>
        <v/>
      </c>
      <c r="H1974" s="7" t="str">
        <f>IF(Notes!CF1970="","",Notes!CF1970)</f>
        <v/>
      </c>
      <c r="I1974" s="7"/>
      <c r="J1974" s="7"/>
      <c r="K1974" s="7"/>
    </row>
    <row r="1975" spans="1:11" x14ac:dyDescent="0.35">
      <c r="A1975" s="7" t="str">
        <f>IF(Notes!BY1971="","",Notes!BY1971)</f>
        <v/>
      </c>
      <c r="B1975" s="7" t="str">
        <f>IF(Notes!BZ1971="","",Notes!BZ1971)</f>
        <v/>
      </c>
      <c r="C1975" s="7" t="str">
        <f>IF(Notes!CA1971="","",Notes!CA1971)</f>
        <v/>
      </c>
      <c r="D1975" s="7" t="str">
        <f>IF(Notes!CB1971="","",Notes!CB1971)</f>
        <v/>
      </c>
      <c r="E1975" s="7" t="str">
        <f>IF(Notes!CC1971="","",Notes!CC1971)</f>
        <v/>
      </c>
      <c r="F1975" s="7" t="str">
        <f>IF(Notes!CD1971="","",Notes!CD1971)</f>
        <v/>
      </c>
      <c r="G1975" s="7" t="str">
        <f>IF(Notes!CE1971="","",Notes!CE1971)</f>
        <v/>
      </c>
      <c r="H1975" s="7" t="str">
        <f>IF(Notes!CF1971="","",Notes!CF1971)</f>
        <v/>
      </c>
      <c r="I1975" s="7"/>
      <c r="J1975" s="7"/>
      <c r="K1975" s="7"/>
    </row>
    <row r="1976" spans="1:11" x14ac:dyDescent="0.35">
      <c r="A1976" s="7" t="str">
        <f>IF(Notes!BY1972="","",Notes!BY1972)</f>
        <v/>
      </c>
      <c r="B1976" s="7" t="str">
        <f>IF(Notes!BZ1972="","",Notes!BZ1972)</f>
        <v/>
      </c>
      <c r="C1976" s="7" t="str">
        <f>IF(Notes!CA1972="","",Notes!CA1972)</f>
        <v/>
      </c>
      <c r="D1976" s="7" t="str">
        <f>IF(Notes!CB1972="","",Notes!CB1972)</f>
        <v/>
      </c>
      <c r="E1976" s="7" t="str">
        <f>IF(Notes!CC1972="","",Notes!CC1972)</f>
        <v/>
      </c>
      <c r="F1976" s="7" t="str">
        <f>IF(Notes!CD1972="","",Notes!CD1972)</f>
        <v/>
      </c>
      <c r="G1976" s="7" t="str">
        <f>IF(Notes!CE1972="","",Notes!CE1972)</f>
        <v/>
      </c>
      <c r="H1976" s="7" t="str">
        <f>IF(Notes!CF1972="","",Notes!CF1972)</f>
        <v/>
      </c>
      <c r="I1976" s="7"/>
      <c r="J1976" s="7"/>
      <c r="K1976" s="7"/>
    </row>
    <row r="1977" spans="1:11" x14ac:dyDescent="0.35">
      <c r="A1977" s="7" t="str">
        <f>IF(Notes!BY1973="","",Notes!BY1973)</f>
        <v/>
      </c>
      <c r="B1977" s="7" t="str">
        <f>IF(Notes!BZ1973="","",Notes!BZ1973)</f>
        <v/>
      </c>
      <c r="C1977" s="7" t="str">
        <f>IF(Notes!CA1973="","",Notes!CA1973)</f>
        <v/>
      </c>
      <c r="D1977" s="7" t="str">
        <f>IF(Notes!CB1973="","",Notes!CB1973)</f>
        <v/>
      </c>
      <c r="E1977" s="7" t="str">
        <f>IF(Notes!CC1973="","",Notes!CC1973)</f>
        <v/>
      </c>
      <c r="F1977" s="7" t="str">
        <f>IF(Notes!CD1973="","",Notes!CD1973)</f>
        <v/>
      </c>
      <c r="G1977" s="7" t="str">
        <f>IF(Notes!CE1973="","",Notes!CE1973)</f>
        <v/>
      </c>
      <c r="H1977" s="7" t="str">
        <f>IF(Notes!CF1973="","",Notes!CF1973)</f>
        <v/>
      </c>
      <c r="I1977" s="7"/>
      <c r="J1977" s="7"/>
      <c r="K1977" s="7"/>
    </row>
    <row r="1978" spans="1:11" x14ac:dyDescent="0.35">
      <c r="A1978" s="7" t="str">
        <f>IF(Notes!BY1974="","",Notes!BY1974)</f>
        <v/>
      </c>
      <c r="B1978" s="7" t="str">
        <f>IF(Notes!BZ1974="","",Notes!BZ1974)</f>
        <v/>
      </c>
      <c r="C1978" s="7" t="str">
        <f>IF(Notes!CA1974="","",Notes!CA1974)</f>
        <v/>
      </c>
      <c r="D1978" s="7" t="str">
        <f>IF(Notes!CB1974="","",Notes!CB1974)</f>
        <v/>
      </c>
      <c r="E1978" s="7" t="str">
        <f>IF(Notes!CC1974="","",Notes!CC1974)</f>
        <v/>
      </c>
      <c r="F1978" s="7" t="str">
        <f>IF(Notes!CD1974="","",Notes!CD1974)</f>
        <v/>
      </c>
      <c r="G1978" s="7" t="str">
        <f>IF(Notes!CE1974="","",Notes!CE1974)</f>
        <v/>
      </c>
      <c r="H1978" s="7" t="str">
        <f>IF(Notes!CF1974="","",Notes!CF1974)</f>
        <v/>
      </c>
      <c r="I1978" s="7"/>
      <c r="J1978" s="7"/>
      <c r="K1978" s="7"/>
    </row>
    <row r="1979" spans="1:11" x14ac:dyDescent="0.35">
      <c r="A1979" s="7" t="str">
        <f>IF(Notes!BY1975="","",Notes!BY1975)</f>
        <v/>
      </c>
      <c r="B1979" s="7" t="str">
        <f>IF(Notes!BZ1975="","",Notes!BZ1975)</f>
        <v/>
      </c>
      <c r="C1979" s="7" t="str">
        <f>IF(Notes!CA1975="","",Notes!CA1975)</f>
        <v/>
      </c>
      <c r="D1979" s="7" t="str">
        <f>IF(Notes!CB1975="","",Notes!CB1975)</f>
        <v/>
      </c>
      <c r="E1979" s="7" t="str">
        <f>IF(Notes!CC1975="","",Notes!CC1975)</f>
        <v/>
      </c>
      <c r="F1979" s="7" t="str">
        <f>IF(Notes!CD1975="","",Notes!CD1975)</f>
        <v/>
      </c>
      <c r="G1979" s="7" t="str">
        <f>IF(Notes!CE1975="","",Notes!CE1975)</f>
        <v/>
      </c>
      <c r="H1979" s="7" t="str">
        <f>IF(Notes!CF1975="","",Notes!CF1975)</f>
        <v/>
      </c>
      <c r="I1979" s="7"/>
      <c r="J1979" s="7"/>
      <c r="K1979" s="7"/>
    </row>
    <row r="1980" spans="1:11" x14ac:dyDescent="0.35">
      <c r="A1980" s="7" t="str">
        <f>IF(Notes!BY1976="","",Notes!BY1976)</f>
        <v/>
      </c>
      <c r="B1980" s="7" t="str">
        <f>IF(Notes!BZ1976="","",Notes!BZ1976)</f>
        <v/>
      </c>
      <c r="C1980" s="7" t="str">
        <f>IF(Notes!CA1976="","",Notes!CA1976)</f>
        <v/>
      </c>
      <c r="D1980" s="7" t="str">
        <f>IF(Notes!CB1976="","",Notes!CB1976)</f>
        <v/>
      </c>
      <c r="E1980" s="7" t="str">
        <f>IF(Notes!CC1976="","",Notes!CC1976)</f>
        <v/>
      </c>
      <c r="F1980" s="7" t="str">
        <f>IF(Notes!CD1976="","",Notes!CD1976)</f>
        <v/>
      </c>
      <c r="G1980" s="7" t="str">
        <f>IF(Notes!CE1976="","",Notes!CE1976)</f>
        <v/>
      </c>
      <c r="H1980" s="7" t="str">
        <f>IF(Notes!CF1976="","",Notes!CF1976)</f>
        <v/>
      </c>
      <c r="I1980" s="7"/>
      <c r="J1980" s="7"/>
      <c r="K1980" s="7"/>
    </row>
    <row r="1981" spans="1:11" x14ac:dyDescent="0.35">
      <c r="A1981" s="7" t="str">
        <f>IF(Notes!BY1977="","",Notes!BY1977)</f>
        <v/>
      </c>
      <c r="B1981" s="7" t="str">
        <f>IF(Notes!BZ1977="","",Notes!BZ1977)</f>
        <v/>
      </c>
      <c r="C1981" s="7" t="str">
        <f>IF(Notes!CA1977="","",Notes!CA1977)</f>
        <v/>
      </c>
      <c r="D1981" s="7" t="str">
        <f>IF(Notes!CB1977="","",Notes!CB1977)</f>
        <v/>
      </c>
      <c r="E1981" s="7" t="str">
        <f>IF(Notes!CC1977="","",Notes!CC1977)</f>
        <v/>
      </c>
      <c r="F1981" s="7" t="str">
        <f>IF(Notes!CD1977="","",Notes!CD1977)</f>
        <v/>
      </c>
      <c r="G1981" s="7" t="str">
        <f>IF(Notes!CE1977="","",Notes!CE1977)</f>
        <v/>
      </c>
      <c r="H1981" s="7" t="str">
        <f>IF(Notes!CF1977="","",Notes!CF1977)</f>
        <v/>
      </c>
      <c r="I1981" s="7"/>
      <c r="J1981" s="7"/>
      <c r="K1981" s="7"/>
    </row>
    <row r="1982" spans="1:11" x14ac:dyDescent="0.35">
      <c r="A1982" s="7" t="str">
        <f>IF(Notes!BY1978="","",Notes!BY1978)</f>
        <v/>
      </c>
      <c r="B1982" s="7" t="str">
        <f>IF(Notes!BZ1978="","",Notes!BZ1978)</f>
        <v/>
      </c>
      <c r="C1982" s="7" t="str">
        <f>IF(Notes!CA1978="","",Notes!CA1978)</f>
        <v/>
      </c>
      <c r="D1982" s="7" t="str">
        <f>IF(Notes!CB1978="","",Notes!CB1978)</f>
        <v/>
      </c>
      <c r="E1982" s="7" t="str">
        <f>IF(Notes!CC1978="","",Notes!CC1978)</f>
        <v/>
      </c>
      <c r="F1982" s="7" t="str">
        <f>IF(Notes!CD1978="","",Notes!CD1978)</f>
        <v/>
      </c>
      <c r="G1982" s="7" t="str">
        <f>IF(Notes!CE1978="","",Notes!CE1978)</f>
        <v/>
      </c>
      <c r="H1982" s="7" t="str">
        <f>IF(Notes!CF1978="","",Notes!CF1978)</f>
        <v/>
      </c>
      <c r="I1982" s="7"/>
      <c r="J1982" s="7"/>
      <c r="K1982" s="7"/>
    </row>
    <row r="1983" spans="1:11" x14ac:dyDescent="0.35">
      <c r="A1983" s="7" t="str">
        <f>IF(Notes!BY1979="","",Notes!BY1979)</f>
        <v/>
      </c>
      <c r="B1983" s="7" t="str">
        <f>IF(Notes!BZ1979="","",Notes!BZ1979)</f>
        <v/>
      </c>
      <c r="C1983" s="7" t="str">
        <f>IF(Notes!CA1979="","",Notes!CA1979)</f>
        <v/>
      </c>
      <c r="D1983" s="7" t="str">
        <f>IF(Notes!CB1979="","",Notes!CB1979)</f>
        <v/>
      </c>
      <c r="E1983" s="7" t="str">
        <f>IF(Notes!CC1979="","",Notes!CC1979)</f>
        <v/>
      </c>
      <c r="F1983" s="7" t="str">
        <f>IF(Notes!CD1979="","",Notes!CD1979)</f>
        <v/>
      </c>
      <c r="G1983" s="7" t="str">
        <f>IF(Notes!CE1979="","",Notes!CE1979)</f>
        <v/>
      </c>
      <c r="H1983" s="7" t="str">
        <f>IF(Notes!CF1979="","",Notes!CF1979)</f>
        <v/>
      </c>
      <c r="I1983" s="7"/>
      <c r="J1983" s="7"/>
      <c r="K1983" s="7"/>
    </row>
    <row r="1984" spans="1:11" x14ac:dyDescent="0.35">
      <c r="A1984" s="7" t="str">
        <f>IF(Notes!BY1980="","",Notes!BY1980)</f>
        <v/>
      </c>
      <c r="B1984" s="7" t="str">
        <f>IF(Notes!BZ1980="","",Notes!BZ1980)</f>
        <v/>
      </c>
      <c r="C1984" s="7" t="str">
        <f>IF(Notes!CA1980="","",Notes!CA1980)</f>
        <v/>
      </c>
      <c r="D1984" s="7" t="str">
        <f>IF(Notes!CB1980="","",Notes!CB1980)</f>
        <v/>
      </c>
      <c r="E1984" s="7" t="str">
        <f>IF(Notes!CC1980="","",Notes!CC1980)</f>
        <v/>
      </c>
      <c r="F1984" s="7" t="str">
        <f>IF(Notes!CD1980="","",Notes!CD1980)</f>
        <v/>
      </c>
      <c r="G1984" s="7" t="str">
        <f>IF(Notes!CE1980="","",Notes!CE1980)</f>
        <v/>
      </c>
      <c r="H1984" s="7" t="str">
        <f>IF(Notes!CF1980="","",Notes!CF1980)</f>
        <v/>
      </c>
      <c r="I1984" s="7"/>
      <c r="J1984" s="7"/>
      <c r="K1984" s="7"/>
    </row>
    <row r="1985" spans="1:11" x14ac:dyDescent="0.35">
      <c r="A1985" s="7" t="str">
        <f>IF(Notes!BY1981="","",Notes!BY1981)</f>
        <v/>
      </c>
      <c r="B1985" s="7" t="str">
        <f>IF(Notes!BZ1981="","",Notes!BZ1981)</f>
        <v/>
      </c>
      <c r="C1985" s="7" t="str">
        <f>IF(Notes!CA1981="","",Notes!CA1981)</f>
        <v/>
      </c>
      <c r="D1985" s="7" t="str">
        <f>IF(Notes!CB1981="","",Notes!CB1981)</f>
        <v/>
      </c>
      <c r="E1985" s="7" t="str">
        <f>IF(Notes!CC1981="","",Notes!CC1981)</f>
        <v/>
      </c>
      <c r="F1985" s="7" t="str">
        <f>IF(Notes!CD1981="","",Notes!CD1981)</f>
        <v/>
      </c>
      <c r="G1985" s="7" t="str">
        <f>IF(Notes!CE1981="","",Notes!CE1981)</f>
        <v/>
      </c>
      <c r="H1985" s="7" t="str">
        <f>IF(Notes!CF1981="","",Notes!CF1981)</f>
        <v/>
      </c>
      <c r="I1985" s="7"/>
      <c r="J1985" s="7"/>
      <c r="K1985" s="7"/>
    </row>
    <row r="1986" spans="1:11" x14ac:dyDescent="0.35">
      <c r="A1986" s="7" t="str">
        <f>IF(Notes!BY1982="","",Notes!BY1982)</f>
        <v/>
      </c>
      <c r="B1986" s="7" t="str">
        <f>IF(Notes!BZ1982="","",Notes!BZ1982)</f>
        <v/>
      </c>
      <c r="C1986" s="7" t="str">
        <f>IF(Notes!CA1982="","",Notes!CA1982)</f>
        <v/>
      </c>
      <c r="D1986" s="7" t="str">
        <f>IF(Notes!CB1982="","",Notes!CB1982)</f>
        <v/>
      </c>
      <c r="E1986" s="7" t="str">
        <f>IF(Notes!CC1982="","",Notes!CC1982)</f>
        <v/>
      </c>
      <c r="F1986" s="7" t="str">
        <f>IF(Notes!CD1982="","",Notes!CD1982)</f>
        <v/>
      </c>
      <c r="G1986" s="7" t="str">
        <f>IF(Notes!CE1982="","",Notes!CE1982)</f>
        <v/>
      </c>
      <c r="H1986" s="7" t="str">
        <f>IF(Notes!CF1982="","",Notes!CF1982)</f>
        <v/>
      </c>
      <c r="I1986" s="7"/>
      <c r="J1986" s="7"/>
      <c r="K1986" s="7"/>
    </row>
    <row r="1987" spans="1:11" x14ac:dyDescent="0.35">
      <c r="A1987" s="7" t="str">
        <f>IF(Notes!BY1983="","",Notes!BY1983)</f>
        <v/>
      </c>
      <c r="B1987" s="7" t="str">
        <f>IF(Notes!BZ1983="","",Notes!BZ1983)</f>
        <v/>
      </c>
      <c r="C1987" s="7" t="str">
        <f>IF(Notes!CA1983="","",Notes!CA1983)</f>
        <v/>
      </c>
      <c r="D1987" s="7" t="str">
        <f>IF(Notes!CB1983="","",Notes!CB1983)</f>
        <v/>
      </c>
      <c r="E1987" s="7" t="str">
        <f>IF(Notes!CC1983="","",Notes!CC1983)</f>
        <v/>
      </c>
      <c r="F1987" s="7" t="str">
        <f>IF(Notes!CD1983="","",Notes!CD1983)</f>
        <v/>
      </c>
      <c r="G1987" s="7" t="str">
        <f>IF(Notes!CE1983="","",Notes!CE1983)</f>
        <v/>
      </c>
      <c r="H1987" s="7" t="str">
        <f>IF(Notes!CF1983="","",Notes!CF1983)</f>
        <v/>
      </c>
      <c r="I1987" s="7"/>
      <c r="J1987" s="7"/>
      <c r="K1987" s="7"/>
    </row>
    <row r="1988" spans="1:11" x14ac:dyDescent="0.35">
      <c r="A1988" s="7" t="str">
        <f>IF(Notes!BY1984="","",Notes!BY1984)</f>
        <v/>
      </c>
      <c r="B1988" s="7" t="str">
        <f>IF(Notes!BZ1984="","",Notes!BZ1984)</f>
        <v/>
      </c>
      <c r="C1988" s="7" t="str">
        <f>IF(Notes!CA1984="","",Notes!CA1984)</f>
        <v/>
      </c>
      <c r="D1988" s="7" t="str">
        <f>IF(Notes!CB1984="","",Notes!CB1984)</f>
        <v/>
      </c>
      <c r="E1988" s="7" t="str">
        <f>IF(Notes!CC1984="","",Notes!CC1984)</f>
        <v/>
      </c>
      <c r="F1988" s="7" t="str">
        <f>IF(Notes!CD1984="","",Notes!CD1984)</f>
        <v/>
      </c>
      <c r="G1988" s="7" t="str">
        <f>IF(Notes!CE1984="","",Notes!CE1984)</f>
        <v/>
      </c>
      <c r="H1988" s="7" t="str">
        <f>IF(Notes!CF1984="","",Notes!CF1984)</f>
        <v/>
      </c>
      <c r="I1988" s="7"/>
      <c r="J1988" s="7"/>
      <c r="K1988" s="7"/>
    </row>
    <row r="1989" spans="1:11" x14ac:dyDescent="0.35">
      <c r="A1989" s="7" t="str">
        <f>IF(Notes!BY1985="","",Notes!BY1985)</f>
        <v/>
      </c>
      <c r="B1989" s="7" t="str">
        <f>IF(Notes!BZ1985="","",Notes!BZ1985)</f>
        <v/>
      </c>
      <c r="C1989" s="7" t="str">
        <f>IF(Notes!CA1985="","",Notes!CA1985)</f>
        <v/>
      </c>
      <c r="D1989" s="7" t="str">
        <f>IF(Notes!CB1985="","",Notes!CB1985)</f>
        <v/>
      </c>
      <c r="E1989" s="7" t="str">
        <f>IF(Notes!CC1985="","",Notes!CC1985)</f>
        <v/>
      </c>
      <c r="F1989" s="7" t="str">
        <f>IF(Notes!CD1985="","",Notes!CD1985)</f>
        <v/>
      </c>
      <c r="G1989" s="7" t="str">
        <f>IF(Notes!CE1985="","",Notes!CE1985)</f>
        <v/>
      </c>
      <c r="H1989" s="7" t="str">
        <f>IF(Notes!CF1985="","",Notes!CF1985)</f>
        <v/>
      </c>
      <c r="I1989" s="7"/>
      <c r="J1989" s="7"/>
      <c r="K1989" s="7"/>
    </row>
    <row r="1990" spans="1:11" x14ac:dyDescent="0.35">
      <c r="A1990" s="7" t="str">
        <f>IF(Notes!BY1986="","",Notes!BY1986)</f>
        <v/>
      </c>
      <c r="B1990" s="7" t="str">
        <f>IF(Notes!BZ1986="","",Notes!BZ1986)</f>
        <v/>
      </c>
      <c r="C1990" s="7" t="str">
        <f>IF(Notes!CA1986="","",Notes!CA1986)</f>
        <v/>
      </c>
      <c r="D1990" s="7" t="str">
        <f>IF(Notes!CB1986="","",Notes!CB1986)</f>
        <v/>
      </c>
      <c r="E1990" s="7" t="str">
        <f>IF(Notes!CC1986="","",Notes!CC1986)</f>
        <v/>
      </c>
      <c r="F1990" s="7" t="str">
        <f>IF(Notes!CD1986="","",Notes!CD1986)</f>
        <v/>
      </c>
      <c r="G1990" s="7" t="str">
        <f>IF(Notes!CE1986="","",Notes!CE1986)</f>
        <v/>
      </c>
      <c r="H1990" s="7" t="str">
        <f>IF(Notes!CF1986="","",Notes!CF1986)</f>
        <v/>
      </c>
      <c r="I1990" s="7"/>
      <c r="J1990" s="7"/>
      <c r="K1990" s="7"/>
    </row>
    <row r="1991" spans="1:11" x14ac:dyDescent="0.35">
      <c r="A1991" s="7" t="str">
        <f>IF(Notes!BY1987="","",Notes!BY1987)</f>
        <v/>
      </c>
      <c r="B1991" s="7" t="str">
        <f>IF(Notes!BZ1987="","",Notes!BZ1987)</f>
        <v/>
      </c>
      <c r="C1991" s="7" t="str">
        <f>IF(Notes!CA1987="","",Notes!CA1987)</f>
        <v/>
      </c>
      <c r="D1991" s="7" t="str">
        <f>IF(Notes!CB1987="","",Notes!CB1987)</f>
        <v/>
      </c>
      <c r="E1991" s="7" t="str">
        <f>IF(Notes!CC1987="","",Notes!CC1987)</f>
        <v/>
      </c>
      <c r="F1991" s="7" t="str">
        <f>IF(Notes!CD1987="","",Notes!CD1987)</f>
        <v/>
      </c>
      <c r="G1991" s="7" t="str">
        <f>IF(Notes!CE1987="","",Notes!CE1987)</f>
        <v/>
      </c>
      <c r="H1991" s="7" t="str">
        <f>IF(Notes!CF1987="","",Notes!CF1987)</f>
        <v/>
      </c>
      <c r="I1991" s="7"/>
      <c r="J1991" s="7"/>
      <c r="K1991" s="7"/>
    </row>
    <row r="1992" spans="1:11" x14ac:dyDescent="0.35">
      <c r="A1992" s="7" t="str">
        <f>IF(Notes!BY1988="","",Notes!BY1988)</f>
        <v/>
      </c>
      <c r="B1992" s="7" t="str">
        <f>IF(Notes!BZ1988="","",Notes!BZ1988)</f>
        <v/>
      </c>
      <c r="C1992" s="7" t="str">
        <f>IF(Notes!CA1988="","",Notes!CA1988)</f>
        <v/>
      </c>
      <c r="D1992" s="7" t="str">
        <f>IF(Notes!CB1988="","",Notes!CB1988)</f>
        <v/>
      </c>
      <c r="E1992" s="7" t="str">
        <f>IF(Notes!CC1988="","",Notes!CC1988)</f>
        <v/>
      </c>
      <c r="F1992" s="7" t="str">
        <f>IF(Notes!CD1988="","",Notes!CD1988)</f>
        <v/>
      </c>
      <c r="G1992" s="7" t="str">
        <f>IF(Notes!CE1988="","",Notes!CE1988)</f>
        <v/>
      </c>
      <c r="H1992" s="7" t="str">
        <f>IF(Notes!CF1988="","",Notes!CF1988)</f>
        <v/>
      </c>
      <c r="I1992" s="7"/>
      <c r="J1992" s="7"/>
      <c r="K1992" s="7"/>
    </row>
    <row r="1993" spans="1:11" x14ac:dyDescent="0.35">
      <c r="A1993" s="7" t="str">
        <f>IF(Notes!BY1989="","",Notes!BY1989)</f>
        <v/>
      </c>
      <c r="B1993" s="7" t="str">
        <f>IF(Notes!BZ1989="","",Notes!BZ1989)</f>
        <v/>
      </c>
      <c r="C1993" s="7" t="str">
        <f>IF(Notes!CA1989="","",Notes!CA1989)</f>
        <v/>
      </c>
      <c r="D1993" s="7" t="str">
        <f>IF(Notes!CB1989="","",Notes!CB1989)</f>
        <v/>
      </c>
      <c r="E1993" s="7" t="str">
        <f>IF(Notes!CC1989="","",Notes!CC1989)</f>
        <v/>
      </c>
      <c r="F1993" s="7" t="str">
        <f>IF(Notes!CD1989="","",Notes!CD1989)</f>
        <v/>
      </c>
      <c r="G1993" s="7" t="str">
        <f>IF(Notes!CE1989="","",Notes!CE1989)</f>
        <v/>
      </c>
      <c r="H1993" s="7" t="str">
        <f>IF(Notes!CF1989="","",Notes!CF1989)</f>
        <v/>
      </c>
      <c r="I1993" s="7"/>
      <c r="J1993" s="7"/>
      <c r="K1993" s="7"/>
    </row>
    <row r="1994" spans="1:11" x14ac:dyDescent="0.35">
      <c r="A1994" s="7" t="str">
        <f>IF(Notes!BY1990="","",Notes!BY1990)</f>
        <v/>
      </c>
      <c r="B1994" s="7" t="str">
        <f>IF(Notes!BZ1990="","",Notes!BZ1990)</f>
        <v/>
      </c>
      <c r="C1994" s="7" t="str">
        <f>IF(Notes!CA1990="","",Notes!CA1990)</f>
        <v/>
      </c>
      <c r="D1994" s="7" t="str">
        <f>IF(Notes!CB1990="","",Notes!CB1990)</f>
        <v/>
      </c>
      <c r="E1994" s="7" t="str">
        <f>IF(Notes!CC1990="","",Notes!CC1990)</f>
        <v/>
      </c>
      <c r="F1994" s="7" t="str">
        <f>IF(Notes!CD1990="","",Notes!CD1990)</f>
        <v/>
      </c>
      <c r="G1994" s="7" t="str">
        <f>IF(Notes!CE1990="","",Notes!CE1990)</f>
        <v/>
      </c>
      <c r="H1994" s="7" t="str">
        <f>IF(Notes!CF1990="","",Notes!CF1990)</f>
        <v/>
      </c>
      <c r="I1994" s="7"/>
      <c r="J1994" s="7"/>
      <c r="K1994" s="7"/>
    </row>
    <row r="1995" spans="1:11" x14ac:dyDescent="0.35">
      <c r="A1995" s="7" t="str">
        <f>IF(Notes!BY1991="","",Notes!BY1991)</f>
        <v/>
      </c>
      <c r="B1995" s="7" t="str">
        <f>IF(Notes!BZ1991="","",Notes!BZ1991)</f>
        <v/>
      </c>
      <c r="C1995" s="7" t="str">
        <f>IF(Notes!CA1991="","",Notes!CA1991)</f>
        <v/>
      </c>
      <c r="D1995" s="7" t="str">
        <f>IF(Notes!CB1991="","",Notes!CB1991)</f>
        <v/>
      </c>
      <c r="E1995" s="7" t="str">
        <f>IF(Notes!CC1991="","",Notes!CC1991)</f>
        <v/>
      </c>
      <c r="F1995" s="7" t="str">
        <f>IF(Notes!CD1991="","",Notes!CD1991)</f>
        <v/>
      </c>
      <c r="G1995" s="7" t="str">
        <f>IF(Notes!CE1991="","",Notes!CE1991)</f>
        <v/>
      </c>
      <c r="H1995" s="7" t="str">
        <f>IF(Notes!CF1991="","",Notes!CF1991)</f>
        <v/>
      </c>
      <c r="I1995" s="7"/>
      <c r="J1995" s="7"/>
      <c r="K1995" s="7"/>
    </row>
    <row r="1996" spans="1:11" x14ac:dyDescent="0.35">
      <c r="A1996" s="7" t="str">
        <f>IF(Notes!BY1992="","",Notes!BY1992)</f>
        <v/>
      </c>
      <c r="B1996" s="7" t="str">
        <f>IF(Notes!BZ1992="","",Notes!BZ1992)</f>
        <v/>
      </c>
      <c r="C1996" s="7" t="str">
        <f>IF(Notes!CA1992="","",Notes!CA1992)</f>
        <v/>
      </c>
      <c r="D1996" s="7" t="str">
        <f>IF(Notes!CB1992="","",Notes!CB1992)</f>
        <v/>
      </c>
      <c r="E1996" s="7" t="str">
        <f>IF(Notes!CC1992="","",Notes!CC1992)</f>
        <v/>
      </c>
      <c r="F1996" s="7" t="str">
        <f>IF(Notes!CD1992="","",Notes!CD1992)</f>
        <v/>
      </c>
      <c r="G1996" s="7" t="str">
        <f>IF(Notes!CE1992="","",Notes!CE1992)</f>
        <v/>
      </c>
      <c r="H1996" s="7" t="str">
        <f>IF(Notes!CF1992="","",Notes!CF1992)</f>
        <v/>
      </c>
      <c r="I1996" s="7"/>
      <c r="J1996" s="7"/>
      <c r="K1996" s="7"/>
    </row>
    <row r="1997" spans="1:11" x14ac:dyDescent="0.35">
      <c r="A1997" s="7" t="str">
        <f>IF(Notes!BY1993="","",Notes!BY1993)</f>
        <v/>
      </c>
      <c r="B1997" s="7" t="str">
        <f>IF(Notes!BZ1993="","",Notes!BZ1993)</f>
        <v/>
      </c>
      <c r="C1997" s="7" t="str">
        <f>IF(Notes!CA1993="","",Notes!CA1993)</f>
        <v/>
      </c>
      <c r="D1997" s="7" t="str">
        <f>IF(Notes!CB1993="","",Notes!CB1993)</f>
        <v/>
      </c>
      <c r="E1997" s="7" t="str">
        <f>IF(Notes!CC1993="","",Notes!CC1993)</f>
        <v/>
      </c>
      <c r="F1997" s="7" t="str">
        <f>IF(Notes!CD1993="","",Notes!CD1993)</f>
        <v/>
      </c>
      <c r="G1997" s="7" t="str">
        <f>IF(Notes!CE1993="","",Notes!CE1993)</f>
        <v/>
      </c>
      <c r="H1997" s="7" t="str">
        <f>IF(Notes!CF1993="","",Notes!CF1993)</f>
        <v/>
      </c>
      <c r="I1997" s="7"/>
      <c r="J1997" s="7"/>
      <c r="K1997" s="7"/>
    </row>
    <row r="1998" spans="1:11" x14ac:dyDescent="0.35">
      <c r="A1998" s="7" t="str">
        <f>IF(Notes!BY1994="","",Notes!BY1994)</f>
        <v/>
      </c>
      <c r="B1998" s="7" t="str">
        <f>IF(Notes!BZ1994="","",Notes!BZ1994)</f>
        <v/>
      </c>
      <c r="C1998" s="7" t="str">
        <f>IF(Notes!CA1994="","",Notes!CA1994)</f>
        <v/>
      </c>
      <c r="D1998" s="7" t="str">
        <f>IF(Notes!CB1994="","",Notes!CB1994)</f>
        <v/>
      </c>
      <c r="E1998" s="7" t="str">
        <f>IF(Notes!CC1994="","",Notes!CC1994)</f>
        <v/>
      </c>
      <c r="F1998" s="7" t="str">
        <f>IF(Notes!CD1994="","",Notes!CD1994)</f>
        <v/>
      </c>
      <c r="G1998" s="7" t="str">
        <f>IF(Notes!CE1994="","",Notes!CE1994)</f>
        <v/>
      </c>
      <c r="H1998" s="7" t="str">
        <f>IF(Notes!CF1994="","",Notes!CF1994)</f>
        <v/>
      </c>
      <c r="I1998" s="7"/>
      <c r="J1998" s="7"/>
      <c r="K1998" s="7"/>
    </row>
    <row r="1999" spans="1:11" x14ac:dyDescent="0.35">
      <c r="A1999" s="7" t="str">
        <f>IF(Notes!BY1995="","",Notes!BY1995)</f>
        <v/>
      </c>
      <c r="B1999" s="7" t="str">
        <f>IF(Notes!BZ1995="","",Notes!BZ1995)</f>
        <v/>
      </c>
      <c r="C1999" s="7" t="str">
        <f>IF(Notes!CA1995="","",Notes!CA1995)</f>
        <v/>
      </c>
      <c r="D1999" s="7" t="str">
        <f>IF(Notes!CB1995="","",Notes!CB1995)</f>
        <v/>
      </c>
      <c r="E1999" s="7" t="str">
        <f>IF(Notes!CC1995="","",Notes!CC1995)</f>
        <v/>
      </c>
      <c r="F1999" s="7" t="str">
        <f>IF(Notes!CD1995="","",Notes!CD1995)</f>
        <v/>
      </c>
      <c r="G1999" s="7" t="str">
        <f>IF(Notes!CE1995="","",Notes!CE1995)</f>
        <v/>
      </c>
      <c r="H1999" s="7" t="str">
        <f>IF(Notes!CF1995="","",Notes!CF1995)</f>
        <v/>
      </c>
      <c r="I1999" s="7"/>
      <c r="J1999" s="7"/>
      <c r="K1999" s="7"/>
    </row>
    <row r="2000" spans="1:11" x14ac:dyDescent="0.35">
      <c r="A2000" s="7" t="str">
        <f>IF(Notes!BY1996="","",Notes!BY1996)</f>
        <v/>
      </c>
      <c r="B2000" s="7" t="str">
        <f>IF(Notes!BZ1996="","",Notes!BZ1996)</f>
        <v/>
      </c>
      <c r="C2000" s="7" t="str">
        <f>IF(Notes!CA1996="","",Notes!CA1996)</f>
        <v/>
      </c>
      <c r="D2000" s="7" t="str">
        <f>IF(Notes!CB1996="","",Notes!CB1996)</f>
        <v/>
      </c>
      <c r="E2000" s="7" t="str">
        <f>IF(Notes!CC1996="","",Notes!CC1996)</f>
        <v/>
      </c>
      <c r="F2000" s="7" t="str">
        <f>IF(Notes!CD1996="","",Notes!CD1996)</f>
        <v/>
      </c>
      <c r="G2000" s="7" t="str">
        <f>IF(Notes!CE1996="","",Notes!CE1996)</f>
        <v/>
      </c>
      <c r="H2000" s="7" t="str">
        <f>IF(Notes!CF1996="","",Notes!CF1996)</f>
        <v/>
      </c>
      <c r="I2000" s="7"/>
      <c r="J2000" s="7"/>
      <c r="K2000" s="7"/>
    </row>
  </sheetData>
  <sheetProtection algorithmName="SHA-512" hashValue="EtEIZqkLpDUox9rrbahVUFTFs9jyGdVWZTf/vGHDTZKroKEwGwKg5OHF/blzmEJHFDj0+fLG16KUOJmxG0/R5A==" saltValue="LmUkjK9B51qm1LFXqNlkBQ==" spinCount="100000" sheet="1" objects="1" scenarios="1" selectLockedCells="1" selectUnlockedCells="1"/>
  <mergeCells count="3">
    <mergeCell ref="A5:I5"/>
    <mergeCell ref="A2:J2"/>
    <mergeCell ref="A3:J3"/>
  </mergeCells>
  <dataValidations count="2">
    <dataValidation type="list" allowBlank="1" showInputMessage="1" showErrorMessage="1" sqref="C9:C2000" xr:uid="{B255F3CC-647C-46D5-94B4-F36BF01D9B52}">
      <formula1>INDIRECT(A9)</formula1>
    </dataValidation>
    <dataValidation type="decimal" operator="greaterThanOrEqual" allowBlank="1" showInputMessage="1" showErrorMessage="1" sqref="F9:H2000 D9:D2000" xr:uid="{A37C0F05-8221-4C0D-88B2-AFFC7D1E01F1}">
      <formula1>0</formula1>
    </dataValidation>
  </dataValidations>
  <pageMargins left="0.7" right="0.7" top="0.75" bottom="0.75" header="0.3" footer="0.3"/>
  <pageSetup orientation="portrait" r:id="rId1"/>
  <ignoredErrors>
    <ignoredError sqref="D8" listDataValidation="1"/>
  </ignoredError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94FFAD59-4E2E-4346-913F-3EC5E894A94F}">
          <x14:formula1>
            <xm:f>Notes!$J$3:$J$5</xm:f>
          </x14:formula1>
          <xm:sqref>A8:A2000 B8:H8</xm:sqref>
        </x14:dataValidation>
        <x14:dataValidation type="list" allowBlank="1" showInputMessage="1" showErrorMessage="1" xr:uid="{6650B2F6-F002-4345-9BCB-445BE5F00461}">
          <x14:formula1>
            <xm:f>INDIRECT(IF(A14="processor",INDEX(Notes!#REF!,MATCH(C14,Notes!#REF!,0),3),INDEX('Commodities and Processes'!A:B,MATCH(C14,'Commodities and Processes'!A:A,0),2)))</xm:f>
          </x14:formula1>
          <xm:sqref>E14:E80</xm:sqref>
        </x14:dataValidation>
        <x14:dataValidation type="list" allowBlank="1" showInputMessage="1" showErrorMessage="1" xr:uid="{3134F823-7A07-42AC-B4A9-2E645F0F1C70}">
          <x14:formula1>
            <xm:f>INDIRECT(IF(A9="processor",INDEX(Notes!V:X,MATCH(C9,Notes!V:V,0),3),INDEX('Commodities and Processes'!A:B,MATCH(C9,'Commodities and Processes'!A:A,0),2)))</xm:f>
          </x14:formula1>
          <xm:sqref>E9:E13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AC85-17D1-446B-9271-0949D437B7A0}">
  <sheetPr>
    <tabColor theme="8" tint="0.59999389629810485"/>
  </sheetPr>
  <dimension ref="A1:BY6"/>
  <sheetViews>
    <sheetView workbookViewId="0"/>
  </sheetViews>
  <sheetFormatPr defaultRowHeight="14.5" x14ac:dyDescent="0.35"/>
  <cols>
    <col min="1" max="1" width="22.81640625" bestFit="1" customWidth="1"/>
  </cols>
  <sheetData>
    <row r="1" spans="1:77" x14ac:dyDescent="0.35">
      <c r="A1" s="77" t="s">
        <v>302</v>
      </c>
      <c r="B1" s="128" t="s">
        <v>317</v>
      </c>
    </row>
    <row r="2" spans="1:77" hidden="1" x14ac:dyDescent="0.35">
      <c r="A2" t="s">
        <v>312</v>
      </c>
      <c r="B2">
        <f t="shared" ref="B2:B6" si="0">SIGN(SUBTOTAL(3,A2))</f>
        <v>0</v>
      </c>
      <c r="AD2" t="s">
        <v>1616</v>
      </c>
      <c r="AG2" t="s">
        <v>1615</v>
      </c>
      <c r="BY2" t="s">
        <v>1614</v>
      </c>
    </row>
    <row r="3" spans="1:77" hidden="1" x14ac:dyDescent="0.35">
      <c r="A3" t="s">
        <v>310</v>
      </c>
      <c r="B3">
        <f t="shared" si="0"/>
        <v>0</v>
      </c>
    </row>
    <row r="4" spans="1:77" hidden="1" x14ac:dyDescent="0.35">
      <c r="A4" t="s">
        <v>311</v>
      </c>
      <c r="B4">
        <f t="shared" si="0"/>
        <v>0</v>
      </c>
    </row>
    <row r="5" spans="1:77" x14ac:dyDescent="0.35">
      <c r="A5" t="s">
        <v>313</v>
      </c>
      <c r="B5">
        <f t="shared" si="0"/>
        <v>1</v>
      </c>
    </row>
    <row r="6" spans="1:77" hidden="1" x14ac:dyDescent="0.35">
      <c r="A6" t="s">
        <v>303</v>
      </c>
      <c r="B6">
        <f t="shared" si="0"/>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1B70-B5B8-4173-9CC9-CCB505F460EB}">
  <sheetPr>
    <tabColor theme="8" tint="0.59999389629810485"/>
  </sheetPr>
  <dimension ref="A1:BW50"/>
  <sheetViews>
    <sheetView workbookViewId="0">
      <selection activeCell="H21" sqref="H21"/>
    </sheetView>
  </sheetViews>
  <sheetFormatPr defaultRowHeight="14.5" x14ac:dyDescent="0.35"/>
  <cols>
    <col min="1" max="1" width="18.81640625" bestFit="1" customWidth="1"/>
  </cols>
  <sheetData>
    <row r="1" spans="1:75" x14ac:dyDescent="0.35">
      <c r="A1" s="77" t="s">
        <v>143</v>
      </c>
      <c r="B1" s="128" t="s">
        <v>317</v>
      </c>
    </row>
    <row r="2" spans="1:75" ht="16.5" hidden="1" x14ac:dyDescent="0.45">
      <c r="A2" t="s">
        <v>144</v>
      </c>
      <c r="B2">
        <f t="shared" ref="B2:B31" si="0">SIGN(SUBTOTAL(3,A2))</f>
        <v>0</v>
      </c>
      <c r="D2" s="129"/>
      <c r="AB2" t="s">
        <v>1616</v>
      </c>
      <c r="AE2" t="s">
        <v>1615</v>
      </c>
      <c r="BW2" t="s">
        <v>1614</v>
      </c>
    </row>
    <row r="3" spans="1:75" ht="16.5" hidden="1" x14ac:dyDescent="0.45">
      <c r="A3" t="s">
        <v>145</v>
      </c>
      <c r="B3">
        <f t="shared" si="0"/>
        <v>0</v>
      </c>
      <c r="D3" s="129"/>
    </row>
    <row r="4" spans="1:75" ht="16.5" hidden="1" x14ac:dyDescent="0.45">
      <c r="A4" t="s">
        <v>146</v>
      </c>
      <c r="B4">
        <f t="shared" si="0"/>
        <v>0</v>
      </c>
      <c r="D4" s="129"/>
    </row>
    <row r="5" spans="1:75" ht="16.5" hidden="1" x14ac:dyDescent="0.45">
      <c r="A5" t="s">
        <v>147</v>
      </c>
      <c r="B5">
        <f t="shared" si="0"/>
        <v>0</v>
      </c>
      <c r="D5" s="129"/>
    </row>
    <row r="6" spans="1:75" ht="16.5" hidden="1" x14ac:dyDescent="0.45">
      <c r="A6" t="s">
        <v>148</v>
      </c>
      <c r="B6">
        <f t="shared" si="0"/>
        <v>0</v>
      </c>
      <c r="D6" s="129"/>
    </row>
    <row r="7" spans="1:75" ht="16.5" hidden="1" x14ac:dyDescent="0.45">
      <c r="A7" t="s">
        <v>149</v>
      </c>
      <c r="B7">
        <f t="shared" si="0"/>
        <v>0</v>
      </c>
      <c r="D7" s="129"/>
    </row>
    <row r="8" spans="1:75" ht="16.5" hidden="1" x14ac:dyDescent="0.45">
      <c r="A8" t="s">
        <v>150</v>
      </c>
      <c r="B8">
        <f t="shared" si="0"/>
        <v>0</v>
      </c>
      <c r="D8" s="129"/>
    </row>
    <row r="9" spans="1:75" ht="16.5" hidden="1" x14ac:dyDescent="0.45">
      <c r="A9" t="s">
        <v>142</v>
      </c>
      <c r="B9">
        <f t="shared" si="0"/>
        <v>0</v>
      </c>
      <c r="D9" s="129"/>
    </row>
    <row r="10" spans="1:75" ht="16.5" hidden="1" x14ac:dyDescent="0.45">
      <c r="A10" t="s">
        <v>151</v>
      </c>
      <c r="B10">
        <f t="shared" si="0"/>
        <v>0</v>
      </c>
      <c r="D10" s="129"/>
    </row>
    <row r="11" spans="1:75" ht="16.5" hidden="1" x14ac:dyDescent="0.45">
      <c r="A11" t="s">
        <v>152</v>
      </c>
      <c r="B11">
        <f t="shared" si="0"/>
        <v>0</v>
      </c>
      <c r="D11" s="129"/>
    </row>
    <row r="12" spans="1:75" ht="16.5" x14ac:dyDescent="0.45">
      <c r="A12" t="s">
        <v>153</v>
      </c>
      <c r="B12">
        <f t="shared" si="0"/>
        <v>1</v>
      </c>
      <c r="D12" s="129"/>
    </row>
    <row r="13" spans="1:75" ht="16.5" hidden="1" x14ac:dyDescent="0.45">
      <c r="A13" t="s">
        <v>154</v>
      </c>
      <c r="B13">
        <f t="shared" si="0"/>
        <v>0</v>
      </c>
      <c r="D13" s="129"/>
    </row>
    <row r="14" spans="1:75" ht="16.5" hidden="1" x14ac:dyDescent="0.45">
      <c r="A14" t="s">
        <v>155</v>
      </c>
      <c r="B14">
        <f t="shared" si="0"/>
        <v>0</v>
      </c>
      <c r="D14" s="129"/>
    </row>
    <row r="15" spans="1:75" ht="16.5" hidden="1" x14ac:dyDescent="0.45">
      <c r="A15" t="s">
        <v>156</v>
      </c>
      <c r="B15">
        <f t="shared" si="0"/>
        <v>0</v>
      </c>
      <c r="D15" s="129"/>
    </row>
    <row r="16" spans="1:75" ht="16.5" hidden="1" x14ac:dyDescent="0.45">
      <c r="A16" t="s">
        <v>157</v>
      </c>
      <c r="B16">
        <f t="shared" si="0"/>
        <v>0</v>
      </c>
      <c r="D16" s="129"/>
    </row>
    <row r="17" spans="1:4" ht="16.5" hidden="1" x14ac:dyDescent="0.45">
      <c r="A17" t="s">
        <v>158</v>
      </c>
      <c r="B17">
        <f t="shared" si="0"/>
        <v>0</v>
      </c>
      <c r="D17" s="129"/>
    </row>
    <row r="18" spans="1:4" ht="16.5" hidden="1" x14ac:dyDescent="0.45">
      <c r="A18" t="s">
        <v>159</v>
      </c>
      <c r="B18">
        <f t="shared" si="0"/>
        <v>0</v>
      </c>
      <c r="D18" s="129"/>
    </row>
    <row r="19" spans="1:4" ht="16.5" hidden="1" x14ac:dyDescent="0.45">
      <c r="A19" t="s">
        <v>160</v>
      </c>
      <c r="B19">
        <f t="shared" si="0"/>
        <v>0</v>
      </c>
      <c r="D19" s="129"/>
    </row>
    <row r="20" spans="1:4" ht="16.5" hidden="1" x14ac:dyDescent="0.45">
      <c r="A20" t="s">
        <v>161</v>
      </c>
      <c r="B20">
        <f t="shared" si="0"/>
        <v>0</v>
      </c>
      <c r="D20" s="129"/>
    </row>
    <row r="21" spans="1:4" ht="16.5" hidden="1" x14ac:dyDescent="0.45">
      <c r="A21" t="s">
        <v>162</v>
      </c>
      <c r="B21">
        <f t="shared" si="0"/>
        <v>0</v>
      </c>
      <c r="D21" s="129"/>
    </row>
    <row r="22" spans="1:4" ht="16.5" hidden="1" x14ac:dyDescent="0.45">
      <c r="A22" t="s">
        <v>163</v>
      </c>
      <c r="B22">
        <f t="shared" si="0"/>
        <v>0</v>
      </c>
      <c r="D22" s="129"/>
    </row>
    <row r="23" spans="1:4" ht="16.5" hidden="1" x14ac:dyDescent="0.45">
      <c r="A23" t="s">
        <v>164</v>
      </c>
      <c r="B23">
        <f t="shared" si="0"/>
        <v>0</v>
      </c>
      <c r="D23" s="129"/>
    </row>
    <row r="24" spans="1:4" ht="16.5" hidden="1" x14ac:dyDescent="0.45">
      <c r="A24" t="s">
        <v>165</v>
      </c>
      <c r="B24">
        <f t="shared" si="0"/>
        <v>0</v>
      </c>
      <c r="D24" s="129"/>
    </row>
    <row r="25" spans="1:4" ht="16.5" hidden="1" x14ac:dyDescent="0.45">
      <c r="A25" t="s">
        <v>166</v>
      </c>
      <c r="B25">
        <f t="shared" si="0"/>
        <v>0</v>
      </c>
      <c r="D25" s="129"/>
    </row>
    <row r="26" spans="1:4" ht="16.5" hidden="1" x14ac:dyDescent="0.45">
      <c r="A26" t="s">
        <v>167</v>
      </c>
      <c r="B26">
        <f t="shared" si="0"/>
        <v>0</v>
      </c>
      <c r="D26" s="129"/>
    </row>
    <row r="27" spans="1:4" ht="16.5" hidden="1" x14ac:dyDescent="0.45">
      <c r="A27" t="s">
        <v>168</v>
      </c>
      <c r="B27">
        <f t="shared" si="0"/>
        <v>0</v>
      </c>
      <c r="D27" s="129"/>
    </row>
    <row r="28" spans="1:4" ht="16.5" hidden="1" x14ac:dyDescent="0.45">
      <c r="A28" t="s">
        <v>169</v>
      </c>
      <c r="B28">
        <f t="shared" si="0"/>
        <v>0</v>
      </c>
      <c r="D28" s="129"/>
    </row>
    <row r="29" spans="1:4" ht="16.5" hidden="1" x14ac:dyDescent="0.45">
      <c r="A29" t="s">
        <v>170</v>
      </c>
      <c r="B29">
        <f t="shared" si="0"/>
        <v>0</v>
      </c>
      <c r="D29" s="129"/>
    </row>
    <row r="30" spans="1:4" ht="16.5" hidden="1" x14ac:dyDescent="0.45">
      <c r="A30" t="s">
        <v>171</v>
      </c>
      <c r="B30">
        <f t="shared" si="0"/>
        <v>0</v>
      </c>
      <c r="D30" s="129"/>
    </row>
    <row r="31" spans="1:4" ht="16.5" hidden="1" x14ac:dyDescent="0.45">
      <c r="A31" t="s">
        <v>172</v>
      </c>
      <c r="B31">
        <f t="shared" si="0"/>
        <v>0</v>
      </c>
      <c r="D31" s="129"/>
    </row>
    <row r="32" spans="1:4" ht="16.5" hidden="1" x14ac:dyDescent="0.45">
      <c r="A32" t="s">
        <v>173</v>
      </c>
      <c r="B32">
        <f t="shared" ref="B32:B50" si="1">SIGN(SUBTOTAL(3,A32))</f>
        <v>0</v>
      </c>
      <c r="D32" s="129"/>
    </row>
    <row r="33" spans="1:4" ht="16.5" hidden="1" x14ac:dyDescent="0.45">
      <c r="A33" t="s">
        <v>174</v>
      </c>
      <c r="B33">
        <f t="shared" si="1"/>
        <v>0</v>
      </c>
      <c r="D33" s="129"/>
    </row>
    <row r="34" spans="1:4" ht="16.5" hidden="1" x14ac:dyDescent="0.45">
      <c r="A34" t="s">
        <v>175</v>
      </c>
      <c r="B34">
        <f t="shared" si="1"/>
        <v>0</v>
      </c>
      <c r="D34" s="129"/>
    </row>
    <row r="35" spans="1:4" ht="16.5" hidden="1" x14ac:dyDescent="0.45">
      <c r="A35" t="s">
        <v>176</v>
      </c>
      <c r="B35">
        <f t="shared" si="1"/>
        <v>0</v>
      </c>
      <c r="D35" s="129"/>
    </row>
    <row r="36" spans="1:4" ht="16.5" hidden="1" x14ac:dyDescent="0.45">
      <c r="A36" t="s">
        <v>177</v>
      </c>
      <c r="B36">
        <f t="shared" si="1"/>
        <v>0</v>
      </c>
      <c r="D36" s="129"/>
    </row>
    <row r="37" spans="1:4" ht="16.5" x14ac:dyDescent="0.45">
      <c r="A37" t="s">
        <v>178</v>
      </c>
      <c r="B37">
        <f t="shared" si="1"/>
        <v>1</v>
      </c>
      <c r="D37" s="129"/>
    </row>
    <row r="38" spans="1:4" ht="16.5" hidden="1" x14ac:dyDescent="0.45">
      <c r="A38" t="s">
        <v>179</v>
      </c>
      <c r="B38">
        <f t="shared" si="1"/>
        <v>0</v>
      </c>
      <c r="D38" s="129"/>
    </row>
    <row r="39" spans="1:4" ht="16.5" hidden="1" x14ac:dyDescent="0.45">
      <c r="A39" t="s">
        <v>180</v>
      </c>
      <c r="B39">
        <f t="shared" si="1"/>
        <v>0</v>
      </c>
      <c r="D39" s="129"/>
    </row>
    <row r="40" spans="1:4" ht="16.5" hidden="1" x14ac:dyDescent="0.45">
      <c r="A40" t="s">
        <v>181</v>
      </c>
      <c r="B40">
        <f t="shared" si="1"/>
        <v>0</v>
      </c>
      <c r="D40" s="129"/>
    </row>
    <row r="41" spans="1:4" ht="16.5" hidden="1" x14ac:dyDescent="0.45">
      <c r="A41" t="s">
        <v>182</v>
      </c>
      <c r="B41">
        <f t="shared" si="1"/>
        <v>0</v>
      </c>
      <c r="D41" s="129"/>
    </row>
    <row r="42" spans="1:4" ht="16.5" hidden="1" x14ac:dyDescent="0.45">
      <c r="A42" t="s">
        <v>183</v>
      </c>
      <c r="B42">
        <f t="shared" si="1"/>
        <v>0</v>
      </c>
      <c r="D42" s="129"/>
    </row>
    <row r="43" spans="1:4" ht="16.5" hidden="1" x14ac:dyDescent="0.45">
      <c r="A43" t="s">
        <v>184</v>
      </c>
      <c r="B43">
        <f t="shared" si="1"/>
        <v>0</v>
      </c>
      <c r="D43" s="129"/>
    </row>
    <row r="44" spans="1:4" ht="16.5" hidden="1" x14ac:dyDescent="0.45">
      <c r="A44" t="s">
        <v>185</v>
      </c>
      <c r="B44">
        <f t="shared" si="1"/>
        <v>0</v>
      </c>
      <c r="D44" s="129"/>
    </row>
    <row r="45" spans="1:4" ht="16.5" hidden="1" x14ac:dyDescent="0.45">
      <c r="A45" t="s">
        <v>186</v>
      </c>
      <c r="B45">
        <f t="shared" si="1"/>
        <v>0</v>
      </c>
      <c r="D45" s="129"/>
    </row>
    <row r="46" spans="1:4" ht="16.5" hidden="1" x14ac:dyDescent="0.45">
      <c r="A46" t="s">
        <v>187</v>
      </c>
      <c r="B46">
        <f t="shared" si="1"/>
        <v>0</v>
      </c>
      <c r="D46" s="129"/>
    </row>
    <row r="47" spans="1:4" ht="16.5" x14ac:dyDescent="0.45">
      <c r="A47" t="s">
        <v>188</v>
      </c>
      <c r="B47">
        <f t="shared" si="1"/>
        <v>1</v>
      </c>
      <c r="D47" s="129"/>
    </row>
    <row r="48" spans="1:4" ht="16.5" hidden="1" x14ac:dyDescent="0.45">
      <c r="A48" t="s">
        <v>189</v>
      </c>
      <c r="B48">
        <f t="shared" si="1"/>
        <v>0</v>
      </c>
      <c r="D48" s="129"/>
    </row>
    <row r="49" spans="1:4" ht="16.5" hidden="1" x14ac:dyDescent="0.45">
      <c r="A49" t="s">
        <v>190</v>
      </c>
      <c r="B49">
        <f t="shared" si="1"/>
        <v>0</v>
      </c>
      <c r="D49" s="129"/>
    </row>
    <row r="50" spans="1:4" ht="16.5" hidden="1" x14ac:dyDescent="0.45">
      <c r="A50" t="s">
        <v>191</v>
      </c>
      <c r="B50">
        <f t="shared" si="1"/>
        <v>0</v>
      </c>
      <c r="D50" s="129"/>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2B6CB-C5D7-481E-8BA1-E59C1C5C806E}">
  <sheetPr>
    <tabColor theme="8" tint="0.59999389629810485"/>
  </sheetPr>
  <dimension ref="A1:BX157"/>
  <sheetViews>
    <sheetView topLeftCell="A158" zoomScale="85" zoomScaleNormal="85" workbookViewId="0">
      <selection activeCell="D167" sqref="D167"/>
    </sheetView>
  </sheetViews>
  <sheetFormatPr defaultRowHeight="14.5" x14ac:dyDescent="0.35"/>
  <cols>
    <col min="1" max="1" width="23.81640625" bestFit="1" customWidth="1"/>
    <col min="2" max="2" width="22.54296875" customWidth="1"/>
    <col min="3" max="3" width="12.1796875" customWidth="1"/>
    <col min="4" max="4" width="20.81640625" bestFit="1" customWidth="1"/>
    <col min="5" max="5" width="15.1796875" bestFit="1" customWidth="1"/>
    <col min="6" max="6" width="20.81640625" style="82" customWidth="1"/>
    <col min="7" max="10" width="20.81640625" customWidth="1"/>
    <col min="11" max="11" width="10.54296875" customWidth="1"/>
    <col min="12" max="12" width="11.81640625" customWidth="1"/>
    <col min="13" max="13" width="16.453125" customWidth="1"/>
    <col min="14" max="14" width="12.81640625" customWidth="1"/>
    <col min="15" max="15" width="13.453125" customWidth="1"/>
    <col min="16" max="16" width="7.54296875" customWidth="1"/>
    <col min="17" max="17" width="14.453125" customWidth="1"/>
    <col min="18" max="18" width="16" bestFit="1" customWidth="1"/>
    <col min="19" max="19" width="19.81640625" bestFit="1" customWidth="1"/>
    <col min="20" max="20" width="15.1796875" bestFit="1" customWidth="1"/>
  </cols>
  <sheetData>
    <row r="1" spans="1:76" s="102" customFormat="1" ht="41.25" customHeight="1" x14ac:dyDescent="0.35">
      <c r="A1" s="97" t="s">
        <v>309</v>
      </c>
      <c r="B1" s="97" t="s">
        <v>251</v>
      </c>
      <c r="C1" s="97" t="s">
        <v>28</v>
      </c>
      <c r="D1" s="97" t="s">
        <v>304</v>
      </c>
      <c r="E1" s="97" t="s">
        <v>308</v>
      </c>
      <c r="F1" s="98" t="s">
        <v>317</v>
      </c>
      <c r="G1" s="99" t="s">
        <v>237</v>
      </c>
      <c r="H1" s="99" t="s">
        <v>240</v>
      </c>
      <c r="I1" s="99" t="s">
        <v>1587</v>
      </c>
      <c r="J1" s="99" t="s">
        <v>239</v>
      </c>
      <c r="K1" s="99" t="s">
        <v>238</v>
      </c>
      <c r="L1" s="100" t="s">
        <v>25</v>
      </c>
      <c r="M1" s="100" t="s">
        <v>35</v>
      </c>
      <c r="N1" s="100" t="s">
        <v>31</v>
      </c>
      <c r="O1" s="101" t="s">
        <v>24</v>
      </c>
      <c r="P1" s="100" t="s">
        <v>36</v>
      </c>
      <c r="Q1" s="101" t="s">
        <v>44</v>
      </c>
      <c r="R1" s="101" t="s">
        <v>194</v>
      </c>
      <c r="S1" s="101" t="s">
        <v>45</v>
      </c>
    </row>
    <row r="2" spans="1:76" hidden="1" x14ac:dyDescent="0.35">
      <c r="A2" t="s">
        <v>284</v>
      </c>
      <c r="B2" t="s">
        <v>285</v>
      </c>
      <c r="C2" t="s">
        <v>5</v>
      </c>
      <c r="D2" s="80" t="s">
        <v>305</v>
      </c>
      <c r="E2" t="s">
        <v>1569</v>
      </c>
      <c r="F2" s="82">
        <f t="shared" ref="F2:F33" si="0">SIGN(SUBTOTAL(3,A2))</f>
        <v>0</v>
      </c>
      <c r="G2">
        <v>1</v>
      </c>
      <c r="H2" t="s">
        <v>14</v>
      </c>
      <c r="I2" t="s">
        <v>318</v>
      </c>
      <c r="J2">
        <v>15.60532807536244</v>
      </c>
      <c r="K2" t="s">
        <v>1570</v>
      </c>
      <c r="L2" t="s">
        <v>19</v>
      </c>
      <c r="M2" t="s">
        <v>1573</v>
      </c>
      <c r="N2" t="s">
        <v>319</v>
      </c>
      <c r="O2" s="81">
        <v>2031398.4971612808</v>
      </c>
      <c r="P2" t="s">
        <v>14</v>
      </c>
      <c r="Q2" s="81">
        <f>SAF_Cand_Refinery[[#This Row],[Max Amount]]*0.5</f>
        <v>1015699.2485806404</v>
      </c>
      <c r="R2" s="81">
        <f>SAF_Cand_Refinery[[#This Row],[Max Amount]]*0.1</f>
        <v>203139.84971612808</v>
      </c>
      <c r="S2" s="81">
        <v>108566609.03999999</v>
      </c>
      <c r="BX2" t="s">
        <v>1614</v>
      </c>
    </row>
    <row r="3" spans="1:76" hidden="1" x14ac:dyDescent="0.35">
      <c r="A3" t="s">
        <v>284</v>
      </c>
      <c r="B3" t="s">
        <v>285</v>
      </c>
      <c r="C3" t="s">
        <v>5</v>
      </c>
      <c r="D3" s="80" t="s">
        <v>305</v>
      </c>
      <c r="E3" t="s">
        <v>314</v>
      </c>
      <c r="F3" s="82">
        <f t="shared" si="0"/>
        <v>0</v>
      </c>
      <c r="G3">
        <v>1</v>
      </c>
      <c r="H3" t="s">
        <v>14</v>
      </c>
      <c r="I3" t="s">
        <v>318</v>
      </c>
      <c r="J3">
        <v>15.60532807536244</v>
      </c>
      <c r="K3" t="s">
        <v>1570</v>
      </c>
      <c r="L3" t="s">
        <v>19</v>
      </c>
      <c r="M3" t="s">
        <v>1573</v>
      </c>
      <c r="N3" t="s">
        <v>319</v>
      </c>
      <c r="O3" s="81">
        <v>677132.83238709357</v>
      </c>
      <c r="P3" t="s">
        <v>14</v>
      </c>
      <c r="Q3" s="81">
        <f>SAF_Cand_Refinery[[#This Row],[Max Amount]]*0.5</f>
        <v>338566.41619354679</v>
      </c>
      <c r="R3" s="81">
        <f>SAF_Cand_Refinery[[#This Row],[Max Amount]]*0.1</f>
        <v>67713.283238709366</v>
      </c>
      <c r="S3" s="81">
        <v>91155661.800000012</v>
      </c>
    </row>
    <row r="4" spans="1:76" hidden="1" x14ac:dyDescent="0.35">
      <c r="A4" t="s">
        <v>284</v>
      </c>
      <c r="B4" t="s">
        <v>285</v>
      </c>
      <c r="C4" t="s">
        <v>5</v>
      </c>
      <c r="D4" s="80" t="s">
        <v>307</v>
      </c>
      <c r="E4" t="s">
        <v>1569</v>
      </c>
      <c r="F4" s="82">
        <f t="shared" si="0"/>
        <v>0</v>
      </c>
      <c r="G4">
        <v>1</v>
      </c>
      <c r="H4" t="s">
        <v>14</v>
      </c>
      <c r="I4" t="s">
        <v>318</v>
      </c>
      <c r="J4">
        <v>26.333991127174112</v>
      </c>
      <c r="K4" t="s">
        <v>1570</v>
      </c>
      <c r="L4" t="s">
        <v>19</v>
      </c>
      <c r="M4" t="s">
        <v>1577</v>
      </c>
      <c r="N4" t="s">
        <v>319</v>
      </c>
      <c r="O4" s="81">
        <v>1805687.5530322497</v>
      </c>
      <c r="P4" t="s">
        <v>14</v>
      </c>
      <c r="Q4" s="81">
        <f>SAF_Cand_Refinery[[#This Row],[Max Amount]]*0.5</f>
        <v>902843.77651612484</v>
      </c>
      <c r="R4" s="81">
        <f>SAF_Cand_Refinery[[#This Row],[Max Amount]]*0.1</f>
        <v>180568.75530322499</v>
      </c>
      <c r="S4" s="81">
        <v>77989532.280000001</v>
      </c>
    </row>
    <row r="5" spans="1:76" hidden="1" x14ac:dyDescent="0.35">
      <c r="A5" t="s">
        <v>284</v>
      </c>
      <c r="B5" t="s">
        <v>285</v>
      </c>
      <c r="C5" t="s">
        <v>5</v>
      </c>
      <c r="D5" s="80" t="s">
        <v>307</v>
      </c>
      <c r="E5" t="s">
        <v>314</v>
      </c>
      <c r="F5" s="82">
        <f t="shared" si="0"/>
        <v>0</v>
      </c>
      <c r="G5">
        <v>1</v>
      </c>
      <c r="H5" t="s">
        <v>14</v>
      </c>
      <c r="I5" t="s">
        <v>318</v>
      </c>
      <c r="J5">
        <v>23.407992113043658</v>
      </c>
      <c r="K5" t="s">
        <v>1570</v>
      </c>
      <c r="L5" t="s">
        <v>19</v>
      </c>
      <c r="M5" t="s">
        <v>1577</v>
      </c>
      <c r="N5" t="s">
        <v>319</v>
      </c>
      <c r="O5" s="81">
        <v>451421.88825806242</v>
      </c>
      <c r="P5" t="s">
        <v>14</v>
      </c>
      <c r="Q5" s="81">
        <f>SAF_Cand_Refinery[[#This Row],[Max Amount]]*0.5</f>
        <v>225710.94412903121</v>
      </c>
      <c r="R5" s="81">
        <f>SAF_Cand_Refinery[[#This Row],[Max Amount]]*0.1</f>
        <v>45142.188825806246</v>
      </c>
      <c r="S5" s="81">
        <v>44534613</v>
      </c>
    </row>
    <row r="6" spans="1:76" hidden="1" x14ac:dyDescent="0.35">
      <c r="A6" t="s">
        <v>284</v>
      </c>
      <c r="B6" t="s">
        <v>288</v>
      </c>
      <c r="C6" t="s">
        <v>5</v>
      </c>
      <c r="D6" s="80" t="s">
        <v>305</v>
      </c>
      <c r="E6" t="s">
        <v>1569</v>
      </c>
      <c r="F6" s="82">
        <f t="shared" si="0"/>
        <v>0</v>
      </c>
      <c r="G6">
        <v>1</v>
      </c>
      <c r="H6" t="s">
        <v>14</v>
      </c>
      <c r="I6" t="s">
        <v>318</v>
      </c>
      <c r="J6">
        <v>15.60532807536244</v>
      </c>
      <c r="K6" t="s">
        <v>1570</v>
      </c>
      <c r="L6" t="s">
        <v>19</v>
      </c>
      <c r="M6" t="s">
        <v>1573</v>
      </c>
      <c r="N6" t="s">
        <v>319</v>
      </c>
      <c r="O6" s="81">
        <v>2031398.4971612808</v>
      </c>
      <c r="P6" t="s">
        <v>14</v>
      </c>
      <c r="Q6" s="81">
        <f>SAF_Cand_Refinery[[#This Row],[Max Amount]]*0.5</f>
        <v>1015699.2485806404</v>
      </c>
      <c r="R6" s="81">
        <f>SAF_Cand_Refinery[[#This Row],[Max Amount]]*0.1</f>
        <v>203139.84971612808</v>
      </c>
      <c r="S6" s="81">
        <v>108566609.03999999</v>
      </c>
    </row>
    <row r="7" spans="1:76" hidden="1" x14ac:dyDescent="0.35">
      <c r="A7" t="s">
        <v>284</v>
      </c>
      <c r="B7" t="s">
        <v>288</v>
      </c>
      <c r="C7" t="s">
        <v>5</v>
      </c>
      <c r="D7" s="80" t="s">
        <v>305</v>
      </c>
      <c r="E7" t="s">
        <v>314</v>
      </c>
      <c r="F7" s="82">
        <f t="shared" si="0"/>
        <v>0</v>
      </c>
      <c r="G7">
        <v>1</v>
      </c>
      <c r="H7" t="s">
        <v>14</v>
      </c>
      <c r="I7" t="s">
        <v>318</v>
      </c>
      <c r="J7">
        <v>15.60532807536244</v>
      </c>
      <c r="K7" t="s">
        <v>1570</v>
      </c>
      <c r="L7" t="s">
        <v>19</v>
      </c>
      <c r="M7" t="s">
        <v>1573</v>
      </c>
      <c r="N7" t="s">
        <v>319</v>
      </c>
      <c r="O7" s="81">
        <v>677132.83238709357</v>
      </c>
      <c r="P7" t="s">
        <v>14</v>
      </c>
      <c r="Q7" s="81">
        <f>SAF_Cand_Refinery[[#This Row],[Max Amount]]*0.5</f>
        <v>338566.41619354679</v>
      </c>
      <c r="R7" s="81">
        <f>SAF_Cand_Refinery[[#This Row],[Max Amount]]*0.1</f>
        <v>67713.283238709366</v>
      </c>
      <c r="S7" s="81">
        <v>91155661.800000012</v>
      </c>
    </row>
    <row r="8" spans="1:76" hidden="1" x14ac:dyDescent="0.35">
      <c r="A8" t="s">
        <v>284</v>
      </c>
      <c r="B8" t="s">
        <v>288</v>
      </c>
      <c r="C8" t="s">
        <v>5</v>
      </c>
      <c r="D8" s="80" t="s">
        <v>307</v>
      </c>
      <c r="E8" t="s">
        <v>1569</v>
      </c>
      <c r="F8" s="82">
        <f t="shared" si="0"/>
        <v>0</v>
      </c>
      <c r="G8">
        <v>1</v>
      </c>
      <c r="H8" t="s">
        <v>14</v>
      </c>
      <c r="I8" t="s">
        <v>318</v>
      </c>
      <c r="J8">
        <v>26.333991127174112</v>
      </c>
      <c r="K8" t="s">
        <v>1570</v>
      </c>
      <c r="L8" t="s">
        <v>19</v>
      </c>
      <c r="M8" t="s">
        <v>1577</v>
      </c>
      <c r="N8" t="s">
        <v>319</v>
      </c>
      <c r="O8" s="81">
        <v>1805687.5530322497</v>
      </c>
      <c r="P8" t="s">
        <v>14</v>
      </c>
      <c r="Q8" s="81">
        <f>SAF_Cand_Refinery[[#This Row],[Max Amount]]*0.5</f>
        <v>902843.77651612484</v>
      </c>
      <c r="R8" s="81">
        <f>SAF_Cand_Refinery[[#This Row],[Max Amount]]*0.1</f>
        <v>180568.75530322499</v>
      </c>
      <c r="S8" s="81">
        <v>77989532.280000001</v>
      </c>
    </row>
    <row r="9" spans="1:76" hidden="1" x14ac:dyDescent="0.35">
      <c r="A9" t="s">
        <v>284</v>
      </c>
      <c r="B9" t="s">
        <v>288</v>
      </c>
      <c r="C9" t="s">
        <v>5</v>
      </c>
      <c r="D9" s="80" t="s">
        <v>307</v>
      </c>
      <c r="E9" t="s">
        <v>314</v>
      </c>
      <c r="F9" s="82">
        <f t="shared" si="0"/>
        <v>0</v>
      </c>
      <c r="G9">
        <v>1</v>
      </c>
      <c r="H9" t="s">
        <v>14</v>
      </c>
      <c r="I9" t="s">
        <v>318</v>
      </c>
      <c r="J9">
        <v>23.407992113043658</v>
      </c>
      <c r="K9" t="s">
        <v>1570</v>
      </c>
      <c r="L9" t="s">
        <v>19</v>
      </c>
      <c r="M9" t="s">
        <v>1577</v>
      </c>
      <c r="N9" t="s">
        <v>319</v>
      </c>
      <c r="O9" s="81">
        <v>451421.88825806242</v>
      </c>
      <c r="P9" t="s">
        <v>14</v>
      </c>
      <c r="Q9" s="81">
        <f>SAF_Cand_Refinery[[#This Row],[Max Amount]]*0.5</f>
        <v>225710.94412903121</v>
      </c>
      <c r="R9" s="81">
        <f>SAF_Cand_Refinery[[#This Row],[Max Amount]]*0.1</f>
        <v>45142.188825806246</v>
      </c>
      <c r="S9" s="81">
        <v>44534613</v>
      </c>
    </row>
    <row r="10" spans="1:76" hidden="1" x14ac:dyDescent="0.35">
      <c r="A10" t="s">
        <v>271</v>
      </c>
      <c r="B10" t="s">
        <v>273</v>
      </c>
      <c r="C10" t="s">
        <v>5</v>
      </c>
      <c r="D10" s="80" t="s">
        <v>305</v>
      </c>
      <c r="E10" t="s">
        <v>1569</v>
      </c>
      <c r="F10" s="82">
        <f t="shared" si="0"/>
        <v>0</v>
      </c>
      <c r="G10">
        <v>1</v>
      </c>
      <c r="H10" t="s">
        <v>14</v>
      </c>
      <c r="I10" t="s">
        <v>318</v>
      </c>
      <c r="J10">
        <v>15.60532807536244</v>
      </c>
      <c r="K10" t="s">
        <v>1570</v>
      </c>
      <c r="L10" t="s">
        <v>19</v>
      </c>
      <c r="M10" t="s">
        <v>1573</v>
      </c>
      <c r="N10" t="s">
        <v>319</v>
      </c>
      <c r="O10" s="81">
        <v>2031398.4971612808</v>
      </c>
      <c r="P10" t="s">
        <v>14</v>
      </c>
      <c r="Q10" s="81">
        <f>SAF_Cand_Refinery[[#This Row],[Max Amount]]*0.5</f>
        <v>1015699.2485806404</v>
      </c>
      <c r="R10" s="81">
        <f>SAF_Cand_Refinery[[#This Row],[Max Amount]]*0.1</f>
        <v>203139.84971612808</v>
      </c>
      <c r="S10" s="81">
        <v>108566609.03999999</v>
      </c>
    </row>
    <row r="11" spans="1:76" hidden="1" x14ac:dyDescent="0.35">
      <c r="A11" t="s">
        <v>271</v>
      </c>
      <c r="B11" t="s">
        <v>273</v>
      </c>
      <c r="C11" t="s">
        <v>5</v>
      </c>
      <c r="D11" s="80" t="s">
        <v>305</v>
      </c>
      <c r="E11" t="s">
        <v>314</v>
      </c>
      <c r="F11" s="82">
        <f t="shared" si="0"/>
        <v>0</v>
      </c>
      <c r="G11">
        <v>1</v>
      </c>
      <c r="H11" t="s">
        <v>14</v>
      </c>
      <c r="I11" t="s">
        <v>318</v>
      </c>
      <c r="J11">
        <v>15.60532807536244</v>
      </c>
      <c r="K11" t="s">
        <v>1570</v>
      </c>
      <c r="L11" t="s">
        <v>19</v>
      </c>
      <c r="M11" t="s">
        <v>1573</v>
      </c>
      <c r="N11" t="s">
        <v>319</v>
      </c>
      <c r="O11" s="81">
        <v>677132.83238709357</v>
      </c>
      <c r="P11" t="s">
        <v>14</v>
      </c>
      <c r="Q11" s="81">
        <f>SAF_Cand_Refinery[[#This Row],[Max Amount]]*0.5</f>
        <v>338566.41619354679</v>
      </c>
      <c r="R11" s="81">
        <f>SAF_Cand_Refinery[[#This Row],[Max Amount]]*0.1</f>
        <v>67713.283238709366</v>
      </c>
      <c r="S11" s="81">
        <v>91155661.800000012</v>
      </c>
    </row>
    <row r="12" spans="1:76" hidden="1" x14ac:dyDescent="0.35">
      <c r="A12" t="s">
        <v>271</v>
      </c>
      <c r="B12" t="s">
        <v>273</v>
      </c>
      <c r="C12" t="s">
        <v>5</v>
      </c>
      <c r="D12" s="80" t="s">
        <v>307</v>
      </c>
      <c r="E12" t="s">
        <v>1569</v>
      </c>
      <c r="F12" s="82">
        <f t="shared" si="0"/>
        <v>0</v>
      </c>
      <c r="G12">
        <v>1</v>
      </c>
      <c r="H12" t="s">
        <v>14</v>
      </c>
      <c r="I12" t="s">
        <v>318</v>
      </c>
      <c r="J12">
        <v>26.333991127174112</v>
      </c>
      <c r="K12" t="s">
        <v>1570</v>
      </c>
      <c r="L12" t="s">
        <v>19</v>
      </c>
      <c r="M12" t="s">
        <v>1577</v>
      </c>
      <c r="N12" t="s">
        <v>319</v>
      </c>
      <c r="O12" s="81">
        <v>1805687.5530322497</v>
      </c>
      <c r="P12" t="s">
        <v>14</v>
      </c>
      <c r="Q12" s="81">
        <f>SAF_Cand_Refinery[[#This Row],[Max Amount]]*0.5</f>
        <v>902843.77651612484</v>
      </c>
      <c r="R12" s="81">
        <f>SAF_Cand_Refinery[[#This Row],[Max Amount]]*0.1</f>
        <v>180568.75530322499</v>
      </c>
      <c r="S12" s="81">
        <v>77989532.280000001</v>
      </c>
    </row>
    <row r="13" spans="1:76" hidden="1" x14ac:dyDescent="0.35">
      <c r="A13" t="s">
        <v>271</v>
      </c>
      <c r="B13" t="s">
        <v>273</v>
      </c>
      <c r="C13" t="s">
        <v>5</v>
      </c>
      <c r="D13" s="80" t="s">
        <v>307</v>
      </c>
      <c r="E13" t="s">
        <v>314</v>
      </c>
      <c r="F13" s="82">
        <f t="shared" si="0"/>
        <v>0</v>
      </c>
      <c r="G13">
        <v>1</v>
      </c>
      <c r="H13" t="s">
        <v>14</v>
      </c>
      <c r="I13" t="s">
        <v>318</v>
      </c>
      <c r="J13">
        <v>23.407992113043658</v>
      </c>
      <c r="K13" t="s">
        <v>1570</v>
      </c>
      <c r="L13" t="s">
        <v>19</v>
      </c>
      <c r="M13" t="s">
        <v>1577</v>
      </c>
      <c r="N13" t="s">
        <v>319</v>
      </c>
      <c r="O13" s="81">
        <v>451421.88825806242</v>
      </c>
      <c r="P13" t="s">
        <v>14</v>
      </c>
      <c r="Q13" s="81">
        <f>SAF_Cand_Refinery[[#This Row],[Max Amount]]*0.5</f>
        <v>225710.94412903121</v>
      </c>
      <c r="R13" s="81">
        <f>SAF_Cand_Refinery[[#This Row],[Max Amount]]*0.1</f>
        <v>45142.188825806246</v>
      </c>
      <c r="S13" s="81">
        <v>44534613</v>
      </c>
    </row>
    <row r="14" spans="1:76" hidden="1" x14ac:dyDescent="0.35">
      <c r="A14" t="s">
        <v>271</v>
      </c>
      <c r="B14" t="s">
        <v>272</v>
      </c>
      <c r="C14" t="s">
        <v>5</v>
      </c>
      <c r="D14" s="80" t="s">
        <v>305</v>
      </c>
      <c r="E14" t="s">
        <v>1569</v>
      </c>
      <c r="F14" s="82">
        <f t="shared" si="0"/>
        <v>0</v>
      </c>
      <c r="G14">
        <v>1</v>
      </c>
      <c r="H14" t="s">
        <v>14</v>
      </c>
      <c r="I14" t="s">
        <v>318</v>
      </c>
      <c r="J14">
        <v>15.60532807536244</v>
      </c>
      <c r="K14" t="s">
        <v>1570</v>
      </c>
      <c r="L14" t="s">
        <v>19</v>
      </c>
      <c r="M14" t="s">
        <v>1573</v>
      </c>
      <c r="N14" t="s">
        <v>319</v>
      </c>
      <c r="O14" s="81">
        <v>2031398.4971612808</v>
      </c>
      <c r="P14" t="s">
        <v>14</v>
      </c>
      <c r="Q14" s="81">
        <f>SAF_Cand_Refinery[[#This Row],[Max Amount]]*0.5</f>
        <v>1015699.2485806404</v>
      </c>
      <c r="R14" s="81">
        <f>SAF_Cand_Refinery[[#This Row],[Max Amount]]*0.1</f>
        <v>203139.84971612808</v>
      </c>
      <c r="S14" s="81">
        <v>108566609.03999999</v>
      </c>
    </row>
    <row r="15" spans="1:76" hidden="1" x14ac:dyDescent="0.35">
      <c r="A15" t="s">
        <v>271</v>
      </c>
      <c r="B15" t="s">
        <v>272</v>
      </c>
      <c r="C15" t="s">
        <v>5</v>
      </c>
      <c r="D15" s="80" t="s">
        <v>305</v>
      </c>
      <c r="E15" t="s">
        <v>314</v>
      </c>
      <c r="F15" s="82">
        <f t="shared" si="0"/>
        <v>0</v>
      </c>
      <c r="G15">
        <v>1</v>
      </c>
      <c r="H15" t="s">
        <v>14</v>
      </c>
      <c r="I15" t="s">
        <v>318</v>
      </c>
      <c r="J15">
        <v>15.60532807536244</v>
      </c>
      <c r="K15" t="s">
        <v>1570</v>
      </c>
      <c r="L15" t="s">
        <v>19</v>
      </c>
      <c r="M15" t="s">
        <v>1573</v>
      </c>
      <c r="N15" t="s">
        <v>319</v>
      </c>
      <c r="O15" s="81">
        <v>677132.83238709357</v>
      </c>
      <c r="P15" t="s">
        <v>14</v>
      </c>
      <c r="Q15" s="81">
        <f>SAF_Cand_Refinery[[#This Row],[Max Amount]]*0.5</f>
        <v>338566.41619354679</v>
      </c>
      <c r="R15" s="81">
        <f>SAF_Cand_Refinery[[#This Row],[Max Amount]]*0.1</f>
        <v>67713.283238709366</v>
      </c>
      <c r="S15" s="81">
        <v>91155661.800000012</v>
      </c>
    </row>
    <row r="16" spans="1:76" hidden="1" x14ac:dyDescent="0.35">
      <c r="A16" t="s">
        <v>271</v>
      </c>
      <c r="B16" t="s">
        <v>272</v>
      </c>
      <c r="C16" t="s">
        <v>5</v>
      </c>
      <c r="D16" s="80" t="s">
        <v>307</v>
      </c>
      <c r="E16" t="s">
        <v>1569</v>
      </c>
      <c r="F16" s="82">
        <f t="shared" si="0"/>
        <v>0</v>
      </c>
      <c r="G16">
        <v>1</v>
      </c>
      <c r="H16" t="s">
        <v>14</v>
      </c>
      <c r="I16" t="s">
        <v>318</v>
      </c>
      <c r="J16">
        <v>26.333991127174112</v>
      </c>
      <c r="K16" t="s">
        <v>1570</v>
      </c>
      <c r="L16" t="s">
        <v>19</v>
      </c>
      <c r="M16" t="s">
        <v>1577</v>
      </c>
      <c r="N16" t="s">
        <v>319</v>
      </c>
      <c r="O16" s="81">
        <v>1805687.5530322497</v>
      </c>
      <c r="P16" t="s">
        <v>14</v>
      </c>
      <c r="Q16" s="81">
        <f>SAF_Cand_Refinery[[#This Row],[Max Amount]]*0.5</f>
        <v>902843.77651612484</v>
      </c>
      <c r="R16" s="81">
        <f>SAF_Cand_Refinery[[#This Row],[Max Amount]]*0.1</f>
        <v>180568.75530322499</v>
      </c>
      <c r="S16" s="81">
        <v>77989532.280000001</v>
      </c>
    </row>
    <row r="17" spans="1:19" hidden="1" x14ac:dyDescent="0.35">
      <c r="A17" t="s">
        <v>271</v>
      </c>
      <c r="B17" t="s">
        <v>272</v>
      </c>
      <c r="C17" t="s">
        <v>5</v>
      </c>
      <c r="D17" s="80" t="s">
        <v>307</v>
      </c>
      <c r="E17" t="s">
        <v>314</v>
      </c>
      <c r="F17" s="82">
        <f t="shared" si="0"/>
        <v>0</v>
      </c>
      <c r="G17">
        <v>1</v>
      </c>
      <c r="H17" t="s">
        <v>14</v>
      </c>
      <c r="I17" t="s">
        <v>318</v>
      </c>
      <c r="J17">
        <v>23.407992113043658</v>
      </c>
      <c r="K17" t="s">
        <v>1570</v>
      </c>
      <c r="L17" t="s">
        <v>19</v>
      </c>
      <c r="M17" t="s">
        <v>1577</v>
      </c>
      <c r="N17" t="s">
        <v>319</v>
      </c>
      <c r="O17" s="81">
        <v>451421.88825806242</v>
      </c>
      <c r="P17" t="s">
        <v>14</v>
      </c>
      <c r="Q17" s="81">
        <f>SAF_Cand_Refinery[[#This Row],[Max Amount]]*0.5</f>
        <v>225710.94412903121</v>
      </c>
      <c r="R17" s="81">
        <f>SAF_Cand_Refinery[[#This Row],[Max Amount]]*0.1</f>
        <v>45142.188825806246</v>
      </c>
      <c r="S17" s="81">
        <v>44534613</v>
      </c>
    </row>
    <row r="18" spans="1:19" hidden="1" x14ac:dyDescent="0.35">
      <c r="A18" t="s">
        <v>271</v>
      </c>
      <c r="B18" t="s">
        <v>283</v>
      </c>
      <c r="C18" t="s">
        <v>5</v>
      </c>
      <c r="D18" s="80" t="s">
        <v>305</v>
      </c>
      <c r="E18" t="s">
        <v>1569</v>
      </c>
      <c r="F18" s="82">
        <f t="shared" si="0"/>
        <v>0</v>
      </c>
      <c r="G18">
        <v>1</v>
      </c>
      <c r="H18" t="s">
        <v>14</v>
      </c>
      <c r="I18" t="s">
        <v>318</v>
      </c>
      <c r="J18">
        <v>15.60532807536244</v>
      </c>
      <c r="K18" t="s">
        <v>1570</v>
      </c>
      <c r="L18" t="s">
        <v>19</v>
      </c>
      <c r="M18" t="s">
        <v>1573</v>
      </c>
      <c r="N18" t="s">
        <v>319</v>
      </c>
      <c r="O18" s="81">
        <v>2031398.4971612808</v>
      </c>
      <c r="P18" t="s">
        <v>14</v>
      </c>
      <c r="Q18" s="81">
        <f>SAF_Cand_Refinery[[#This Row],[Max Amount]]*0.5</f>
        <v>1015699.2485806404</v>
      </c>
      <c r="R18" s="81">
        <f>SAF_Cand_Refinery[[#This Row],[Max Amount]]*0.1</f>
        <v>203139.84971612808</v>
      </c>
      <c r="S18" s="81">
        <v>108566609.03999999</v>
      </c>
    </row>
    <row r="19" spans="1:19" hidden="1" x14ac:dyDescent="0.35">
      <c r="A19" t="s">
        <v>271</v>
      </c>
      <c r="B19" t="s">
        <v>283</v>
      </c>
      <c r="C19" t="s">
        <v>5</v>
      </c>
      <c r="D19" s="80" t="s">
        <v>305</v>
      </c>
      <c r="E19" t="s">
        <v>314</v>
      </c>
      <c r="F19" s="82">
        <f t="shared" si="0"/>
        <v>0</v>
      </c>
      <c r="G19">
        <v>1</v>
      </c>
      <c r="H19" t="s">
        <v>14</v>
      </c>
      <c r="I19" t="s">
        <v>318</v>
      </c>
      <c r="J19">
        <v>15.60532807536244</v>
      </c>
      <c r="K19" t="s">
        <v>1570</v>
      </c>
      <c r="L19" t="s">
        <v>19</v>
      </c>
      <c r="M19" t="s">
        <v>1573</v>
      </c>
      <c r="N19" t="s">
        <v>319</v>
      </c>
      <c r="O19" s="81">
        <v>677132.83238709357</v>
      </c>
      <c r="P19" t="s">
        <v>14</v>
      </c>
      <c r="Q19" s="81">
        <f>SAF_Cand_Refinery[[#This Row],[Max Amount]]*0.5</f>
        <v>338566.41619354679</v>
      </c>
      <c r="R19" s="81">
        <f>SAF_Cand_Refinery[[#This Row],[Max Amount]]*0.1</f>
        <v>67713.283238709366</v>
      </c>
      <c r="S19" s="81">
        <v>91155661.800000012</v>
      </c>
    </row>
    <row r="20" spans="1:19" hidden="1" x14ac:dyDescent="0.35">
      <c r="A20" t="s">
        <v>271</v>
      </c>
      <c r="B20" t="s">
        <v>283</v>
      </c>
      <c r="C20" t="s">
        <v>5</v>
      </c>
      <c r="D20" s="80" t="s">
        <v>307</v>
      </c>
      <c r="E20" t="s">
        <v>1569</v>
      </c>
      <c r="F20" s="82">
        <f t="shared" si="0"/>
        <v>0</v>
      </c>
      <c r="G20">
        <v>1</v>
      </c>
      <c r="H20" t="s">
        <v>14</v>
      </c>
      <c r="I20" t="s">
        <v>318</v>
      </c>
      <c r="J20">
        <v>26.333991127174112</v>
      </c>
      <c r="K20" t="s">
        <v>1570</v>
      </c>
      <c r="L20" t="s">
        <v>19</v>
      </c>
      <c r="M20" t="s">
        <v>1577</v>
      </c>
      <c r="N20" t="s">
        <v>319</v>
      </c>
      <c r="O20" s="81">
        <v>1805687.5530322497</v>
      </c>
      <c r="P20" t="s">
        <v>14</v>
      </c>
      <c r="Q20" s="81">
        <f>SAF_Cand_Refinery[[#This Row],[Max Amount]]*0.5</f>
        <v>902843.77651612484</v>
      </c>
      <c r="R20" s="81">
        <f>SAF_Cand_Refinery[[#This Row],[Max Amount]]*0.1</f>
        <v>180568.75530322499</v>
      </c>
      <c r="S20" s="81">
        <v>77989532.280000001</v>
      </c>
    </row>
    <row r="21" spans="1:19" hidden="1" x14ac:dyDescent="0.35">
      <c r="A21" t="s">
        <v>271</v>
      </c>
      <c r="B21" t="s">
        <v>283</v>
      </c>
      <c r="C21" t="s">
        <v>5</v>
      </c>
      <c r="D21" s="80" t="s">
        <v>307</v>
      </c>
      <c r="E21" t="s">
        <v>314</v>
      </c>
      <c r="F21" s="82">
        <f t="shared" si="0"/>
        <v>0</v>
      </c>
      <c r="G21">
        <v>1</v>
      </c>
      <c r="H21" t="s">
        <v>14</v>
      </c>
      <c r="I21" t="s">
        <v>318</v>
      </c>
      <c r="J21">
        <v>23.407992113043658</v>
      </c>
      <c r="K21" t="s">
        <v>1570</v>
      </c>
      <c r="L21" t="s">
        <v>19</v>
      </c>
      <c r="M21" t="s">
        <v>1577</v>
      </c>
      <c r="N21" t="s">
        <v>319</v>
      </c>
      <c r="O21" s="81">
        <v>451421.88825806242</v>
      </c>
      <c r="P21" t="s">
        <v>14</v>
      </c>
      <c r="Q21" s="81">
        <f>SAF_Cand_Refinery[[#This Row],[Max Amount]]*0.5</f>
        <v>225710.94412903121</v>
      </c>
      <c r="R21" s="81">
        <f>SAF_Cand_Refinery[[#This Row],[Max Amount]]*0.1</f>
        <v>45142.188825806246</v>
      </c>
      <c r="S21" s="81">
        <v>44534613</v>
      </c>
    </row>
    <row r="22" spans="1:19" hidden="1" x14ac:dyDescent="0.35">
      <c r="A22" t="s">
        <v>271</v>
      </c>
      <c r="B22" t="s">
        <v>274</v>
      </c>
      <c r="C22" t="s">
        <v>5</v>
      </c>
      <c r="D22" s="80" t="s">
        <v>305</v>
      </c>
      <c r="E22" t="s">
        <v>1569</v>
      </c>
      <c r="F22" s="82">
        <f t="shared" si="0"/>
        <v>0</v>
      </c>
      <c r="G22">
        <v>1</v>
      </c>
      <c r="H22" t="s">
        <v>14</v>
      </c>
      <c r="I22" t="s">
        <v>318</v>
      </c>
      <c r="J22">
        <v>15.60532807536244</v>
      </c>
      <c r="K22" t="s">
        <v>1570</v>
      </c>
      <c r="L22" t="s">
        <v>19</v>
      </c>
      <c r="M22" t="s">
        <v>1573</v>
      </c>
      <c r="N22" t="s">
        <v>319</v>
      </c>
      <c r="O22" s="81">
        <v>2031398.4971612808</v>
      </c>
      <c r="P22" t="s">
        <v>14</v>
      </c>
      <c r="Q22" s="81">
        <f>SAF_Cand_Refinery[[#This Row],[Max Amount]]*0.5</f>
        <v>1015699.2485806404</v>
      </c>
      <c r="R22" s="81">
        <f>SAF_Cand_Refinery[[#This Row],[Max Amount]]*0.1</f>
        <v>203139.84971612808</v>
      </c>
      <c r="S22" s="81">
        <v>108566609.03999999</v>
      </c>
    </row>
    <row r="23" spans="1:19" hidden="1" x14ac:dyDescent="0.35">
      <c r="A23" t="s">
        <v>271</v>
      </c>
      <c r="B23" t="s">
        <v>274</v>
      </c>
      <c r="C23" t="s">
        <v>5</v>
      </c>
      <c r="D23" s="80" t="s">
        <v>305</v>
      </c>
      <c r="E23" t="s">
        <v>314</v>
      </c>
      <c r="F23" s="82">
        <f t="shared" si="0"/>
        <v>0</v>
      </c>
      <c r="G23">
        <v>1</v>
      </c>
      <c r="H23" t="s">
        <v>14</v>
      </c>
      <c r="I23" t="s">
        <v>318</v>
      </c>
      <c r="J23">
        <v>15.60532807536244</v>
      </c>
      <c r="K23" t="s">
        <v>1570</v>
      </c>
      <c r="L23" t="s">
        <v>19</v>
      </c>
      <c r="M23" t="s">
        <v>1573</v>
      </c>
      <c r="N23" t="s">
        <v>319</v>
      </c>
      <c r="O23" s="81">
        <v>677132.83238709357</v>
      </c>
      <c r="P23" t="s">
        <v>14</v>
      </c>
      <c r="Q23" s="81">
        <f>SAF_Cand_Refinery[[#This Row],[Max Amount]]*0.5</f>
        <v>338566.41619354679</v>
      </c>
      <c r="R23" s="81">
        <f>SAF_Cand_Refinery[[#This Row],[Max Amount]]*0.1</f>
        <v>67713.283238709366</v>
      </c>
      <c r="S23" s="81">
        <v>91155661.800000012</v>
      </c>
    </row>
    <row r="24" spans="1:19" hidden="1" x14ac:dyDescent="0.35">
      <c r="A24" t="s">
        <v>271</v>
      </c>
      <c r="B24" t="s">
        <v>274</v>
      </c>
      <c r="C24" t="s">
        <v>5</v>
      </c>
      <c r="D24" s="80" t="s">
        <v>307</v>
      </c>
      <c r="E24" t="s">
        <v>1569</v>
      </c>
      <c r="F24" s="82">
        <f t="shared" si="0"/>
        <v>0</v>
      </c>
      <c r="G24">
        <v>1</v>
      </c>
      <c r="H24" t="s">
        <v>14</v>
      </c>
      <c r="I24" t="s">
        <v>318</v>
      </c>
      <c r="J24">
        <v>26.333991127174112</v>
      </c>
      <c r="K24" t="s">
        <v>1570</v>
      </c>
      <c r="L24" t="s">
        <v>19</v>
      </c>
      <c r="M24" t="s">
        <v>1577</v>
      </c>
      <c r="N24" t="s">
        <v>319</v>
      </c>
      <c r="O24" s="81">
        <v>1805687.5530322497</v>
      </c>
      <c r="P24" t="s">
        <v>14</v>
      </c>
      <c r="Q24" s="81">
        <f>SAF_Cand_Refinery[[#This Row],[Max Amount]]*0.5</f>
        <v>902843.77651612484</v>
      </c>
      <c r="R24" s="81">
        <f>SAF_Cand_Refinery[[#This Row],[Max Amount]]*0.1</f>
        <v>180568.75530322499</v>
      </c>
      <c r="S24" s="81">
        <v>77989532.280000001</v>
      </c>
    </row>
    <row r="25" spans="1:19" hidden="1" x14ac:dyDescent="0.35">
      <c r="A25" t="s">
        <v>271</v>
      </c>
      <c r="B25" t="s">
        <v>274</v>
      </c>
      <c r="C25" t="s">
        <v>5</v>
      </c>
      <c r="D25" s="80" t="s">
        <v>307</v>
      </c>
      <c r="E25" t="s">
        <v>314</v>
      </c>
      <c r="F25" s="82">
        <f t="shared" si="0"/>
        <v>0</v>
      </c>
      <c r="G25">
        <v>1</v>
      </c>
      <c r="H25" t="s">
        <v>14</v>
      </c>
      <c r="I25" t="s">
        <v>318</v>
      </c>
      <c r="J25">
        <v>23.407992113043658</v>
      </c>
      <c r="K25" t="s">
        <v>1570</v>
      </c>
      <c r="L25" t="s">
        <v>19</v>
      </c>
      <c r="M25" t="s">
        <v>1577</v>
      </c>
      <c r="N25" t="s">
        <v>319</v>
      </c>
      <c r="O25" s="81">
        <v>451421.88825806242</v>
      </c>
      <c r="P25" t="s">
        <v>14</v>
      </c>
      <c r="Q25" s="81">
        <f>SAF_Cand_Refinery[[#This Row],[Max Amount]]*0.5</f>
        <v>225710.94412903121</v>
      </c>
      <c r="R25" s="81">
        <f>SAF_Cand_Refinery[[#This Row],[Max Amount]]*0.1</f>
        <v>45142.188825806246</v>
      </c>
      <c r="S25" s="81">
        <v>44534613</v>
      </c>
    </row>
    <row r="26" spans="1:19" hidden="1" x14ac:dyDescent="0.35">
      <c r="A26" t="s">
        <v>271</v>
      </c>
      <c r="B26" t="s">
        <v>287</v>
      </c>
      <c r="C26" t="s">
        <v>5</v>
      </c>
      <c r="D26" s="80" t="s">
        <v>305</v>
      </c>
      <c r="E26" t="s">
        <v>1569</v>
      </c>
      <c r="F26" s="82">
        <f t="shared" si="0"/>
        <v>0</v>
      </c>
      <c r="G26">
        <v>1</v>
      </c>
      <c r="H26" t="s">
        <v>14</v>
      </c>
      <c r="I26" t="s">
        <v>318</v>
      </c>
      <c r="J26">
        <v>15.60532807536244</v>
      </c>
      <c r="K26" t="s">
        <v>1570</v>
      </c>
      <c r="L26" t="s">
        <v>19</v>
      </c>
      <c r="M26" t="s">
        <v>1573</v>
      </c>
      <c r="N26" t="s">
        <v>319</v>
      </c>
      <c r="O26" s="81">
        <v>2031398.4971612808</v>
      </c>
      <c r="P26" t="s">
        <v>14</v>
      </c>
      <c r="Q26" s="81">
        <f>SAF_Cand_Refinery[[#This Row],[Max Amount]]*0.5</f>
        <v>1015699.2485806404</v>
      </c>
      <c r="R26" s="81">
        <f>SAF_Cand_Refinery[[#This Row],[Max Amount]]*0.1</f>
        <v>203139.84971612808</v>
      </c>
      <c r="S26" s="81">
        <v>108566609.03999999</v>
      </c>
    </row>
    <row r="27" spans="1:19" hidden="1" x14ac:dyDescent="0.35">
      <c r="A27" t="s">
        <v>271</v>
      </c>
      <c r="B27" t="s">
        <v>287</v>
      </c>
      <c r="C27" t="s">
        <v>5</v>
      </c>
      <c r="D27" s="80" t="s">
        <v>305</v>
      </c>
      <c r="E27" t="s">
        <v>314</v>
      </c>
      <c r="F27" s="82">
        <f t="shared" si="0"/>
        <v>0</v>
      </c>
      <c r="G27">
        <v>1</v>
      </c>
      <c r="H27" t="s">
        <v>14</v>
      </c>
      <c r="I27" t="s">
        <v>318</v>
      </c>
      <c r="J27">
        <v>15.60532807536244</v>
      </c>
      <c r="K27" t="s">
        <v>1570</v>
      </c>
      <c r="L27" t="s">
        <v>19</v>
      </c>
      <c r="M27" t="s">
        <v>1573</v>
      </c>
      <c r="N27" t="s">
        <v>319</v>
      </c>
      <c r="O27" s="81">
        <v>677132.83238709357</v>
      </c>
      <c r="P27" t="s">
        <v>14</v>
      </c>
      <c r="Q27" s="81">
        <f>SAF_Cand_Refinery[[#This Row],[Max Amount]]*0.5</f>
        <v>338566.41619354679</v>
      </c>
      <c r="R27" s="81">
        <f>SAF_Cand_Refinery[[#This Row],[Max Amount]]*0.1</f>
        <v>67713.283238709366</v>
      </c>
      <c r="S27" s="81">
        <v>91155661.800000012</v>
      </c>
    </row>
    <row r="28" spans="1:19" hidden="1" x14ac:dyDescent="0.35">
      <c r="A28" t="s">
        <v>271</v>
      </c>
      <c r="B28" t="s">
        <v>287</v>
      </c>
      <c r="C28" t="s">
        <v>5</v>
      </c>
      <c r="D28" s="80" t="s">
        <v>307</v>
      </c>
      <c r="E28" t="s">
        <v>1569</v>
      </c>
      <c r="F28" s="82">
        <f t="shared" si="0"/>
        <v>0</v>
      </c>
      <c r="G28">
        <v>1</v>
      </c>
      <c r="H28" t="s">
        <v>14</v>
      </c>
      <c r="I28" t="s">
        <v>318</v>
      </c>
      <c r="J28">
        <v>26.333991127174112</v>
      </c>
      <c r="K28" t="s">
        <v>1570</v>
      </c>
      <c r="L28" t="s">
        <v>19</v>
      </c>
      <c r="M28" t="s">
        <v>1577</v>
      </c>
      <c r="N28" t="s">
        <v>319</v>
      </c>
      <c r="O28" s="81">
        <v>1805687.5530322497</v>
      </c>
      <c r="P28" t="s">
        <v>14</v>
      </c>
      <c r="Q28" s="81">
        <f>SAF_Cand_Refinery[[#This Row],[Max Amount]]*0.5</f>
        <v>902843.77651612484</v>
      </c>
      <c r="R28" s="81">
        <f>SAF_Cand_Refinery[[#This Row],[Max Amount]]*0.1</f>
        <v>180568.75530322499</v>
      </c>
      <c r="S28" s="81">
        <v>77989532.280000001</v>
      </c>
    </row>
    <row r="29" spans="1:19" hidden="1" x14ac:dyDescent="0.35">
      <c r="A29" t="s">
        <v>271</v>
      </c>
      <c r="B29" t="s">
        <v>287</v>
      </c>
      <c r="C29" t="s">
        <v>5</v>
      </c>
      <c r="D29" s="80" t="s">
        <v>307</v>
      </c>
      <c r="E29" t="s">
        <v>314</v>
      </c>
      <c r="F29" s="82">
        <f t="shared" si="0"/>
        <v>0</v>
      </c>
      <c r="G29">
        <v>1</v>
      </c>
      <c r="H29" t="s">
        <v>14</v>
      </c>
      <c r="I29" t="s">
        <v>318</v>
      </c>
      <c r="J29">
        <v>23.407992113043658</v>
      </c>
      <c r="K29" t="s">
        <v>1570</v>
      </c>
      <c r="L29" t="s">
        <v>19</v>
      </c>
      <c r="M29" t="s">
        <v>1577</v>
      </c>
      <c r="N29" t="s">
        <v>319</v>
      </c>
      <c r="O29" s="81">
        <v>451421.88825806242</v>
      </c>
      <c r="P29" t="s">
        <v>14</v>
      </c>
      <c r="Q29" s="81">
        <f>SAF_Cand_Refinery[[#This Row],[Max Amount]]*0.5</f>
        <v>225710.94412903121</v>
      </c>
      <c r="R29" s="81">
        <f>SAF_Cand_Refinery[[#This Row],[Max Amount]]*0.1</f>
        <v>45142.188825806246</v>
      </c>
      <c r="S29" s="81">
        <v>44534613</v>
      </c>
    </row>
    <row r="30" spans="1:19" hidden="1" x14ac:dyDescent="0.35">
      <c r="A30" t="s">
        <v>271</v>
      </c>
      <c r="B30" t="s">
        <v>282</v>
      </c>
      <c r="C30" t="s">
        <v>5</v>
      </c>
      <c r="D30" s="80" t="s">
        <v>305</v>
      </c>
      <c r="E30" t="s">
        <v>1569</v>
      </c>
      <c r="F30" s="82">
        <f t="shared" si="0"/>
        <v>0</v>
      </c>
      <c r="G30">
        <v>1</v>
      </c>
      <c r="H30" t="s">
        <v>14</v>
      </c>
      <c r="I30" t="s">
        <v>318</v>
      </c>
      <c r="J30">
        <v>15.60532807536244</v>
      </c>
      <c r="K30" t="s">
        <v>1570</v>
      </c>
      <c r="L30" t="s">
        <v>19</v>
      </c>
      <c r="M30" t="s">
        <v>1573</v>
      </c>
      <c r="N30" t="s">
        <v>319</v>
      </c>
      <c r="O30" s="81">
        <v>2031398.4971612808</v>
      </c>
      <c r="P30" t="s">
        <v>14</v>
      </c>
      <c r="Q30" s="81">
        <f>SAF_Cand_Refinery[[#This Row],[Max Amount]]*0.5</f>
        <v>1015699.2485806404</v>
      </c>
      <c r="R30" s="81">
        <f>SAF_Cand_Refinery[[#This Row],[Max Amount]]*0.1</f>
        <v>203139.84971612808</v>
      </c>
      <c r="S30" s="81">
        <v>108566609.03999999</v>
      </c>
    </row>
    <row r="31" spans="1:19" hidden="1" x14ac:dyDescent="0.35">
      <c r="A31" t="s">
        <v>271</v>
      </c>
      <c r="B31" t="s">
        <v>282</v>
      </c>
      <c r="C31" t="s">
        <v>5</v>
      </c>
      <c r="D31" s="80" t="s">
        <v>305</v>
      </c>
      <c r="E31" t="s">
        <v>314</v>
      </c>
      <c r="F31" s="82">
        <f t="shared" si="0"/>
        <v>0</v>
      </c>
      <c r="G31">
        <v>1</v>
      </c>
      <c r="H31" t="s">
        <v>14</v>
      </c>
      <c r="I31" t="s">
        <v>318</v>
      </c>
      <c r="J31">
        <v>15.60532807536244</v>
      </c>
      <c r="K31" t="s">
        <v>1570</v>
      </c>
      <c r="L31" t="s">
        <v>19</v>
      </c>
      <c r="M31" t="s">
        <v>1573</v>
      </c>
      <c r="N31" t="s">
        <v>319</v>
      </c>
      <c r="O31" s="81">
        <v>677132.83238709357</v>
      </c>
      <c r="P31" t="s">
        <v>14</v>
      </c>
      <c r="Q31" s="81">
        <f>SAF_Cand_Refinery[[#This Row],[Max Amount]]*0.5</f>
        <v>338566.41619354679</v>
      </c>
      <c r="R31" s="81">
        <f>SAF_Cand_Refinery[[#This Row],[Max Amount]]*0.1</f>
        <v>67713.283238709366</v>
      </c>
      <c r="S31" s="81">
        <v>91155661.800000012</v>
      </c>
    </row>
    <row r="32" spans="1:19" hidden="1" x14ac:dyDescent="0.35">
      <c r="A32" t="s">
        <v>271</v>
      </c>
      <c r="B32" t="s">
        <v>282</v>
      </c>
      <c r="C32" t="s">
        <v>5</v>
      </c>
      <c r="D32" s="80" t="s">
        <v>307</v>
      </c>
      <c r="E32" t="s">
        <v>1569</v>
      </c>
      <c r="F32" s="82">
        <f t="shared" si="0"/>
        <v>0</v>
      </c>
      <c r="G32">
        <v>1</v>
      </c>
      <c r="H32" t="s">
        <v>14</v>
      </c>
      <c r="I32" t="s">
        <v>318</v>
      </c>
      <c r="J32">
        <v>26.333991127174112</v>
      </c>
      <c r="K32" t="s">
        <v>1570</v>
      </c>
      <c r="L32" t="s">
        <v>19</v>
      </c>
      <c r="M32" t="s">
        <v>1577</v>
      </c>
      <c r="N32" t="s">
        <v>319</v>
      </c>
      <c r="O32" s="81">
        <v>1805687.5530322497</v>
      </c>
      <c r="P32" t="s">
        <v>14</v>
      </c>
      <c r="Q32" s="81">
        <f>SAF_Cand_Refinery[[#This Row],[Max Amount]]*0.5</f>
        <v>902843.77651612484</v>
      </c>
      <c r="R32" s="81">
        <f>SAF_Cand_Refinery[[#This Row],[Max Amount]]*0.1</f>
        <v>180568.75530322499</v>
      </c>
      <c r="S32" s="81">
        <v>77989532.280000001</v>
      </c>
    </row>
    <row r="33" spans="1:19" hidden="1" x14ac:dyDescent="0.35">
      <c r="A33" t="s">
        <v>271</v>
      </c>
      <c r="B33" t="s">
        <v>282</v>
      </c>
      <c r="C33" t="s">
        <v>5</v>
      </c>
      <c r="D33" s="80" t="s">
        <v>307</v>
      </c>
      <c r="E33" t="s">
        <v>314</v>
      </c>
      <c r="F33" s="82">
        <f t="shared" si="0"/>
        <v>0</v>
      </c>
      <c r="G33">
        <v>1</v>
      </c>
      <c r="H33" t="s">
        <v>14</v>
      </c>
      <c r="I33" t="s">
        <v>318</v>
      </c>
      <c r="J33">
        <v>23.407992113043658</v>
      </c>
      <c r="K33" t="s">
        <v>1570</v>
      </c>
      <c r="L33" t="s">
        <v>19</v>
      </c>
      <c r="M33" t="s">
        <v>1577</v>
      </c>
      <c r="N33" t="s">
        <v>319</v>
      </c>
      <c r="O33" s="81">
        <v>451421.88825806242</v>
      </c>
      <c r="P33" t="s">
        <v>14</v>
      </c>
      <c r="Q33" s="81">
        <f>SAF_Cand_Refinery[[#This Row],[Max Amount]]*0.5</f>
        <v>225710.94412903121</v>
      </c>
      <c r="R33" s="81">
        <f>SAF_Cand_Refinery[[#This Row],[Max Amount]]*0.1</f>
        <v>45142.188825806246</v>
      </c>
      <c r="S33" s="81">
        <v>44534613</v>
      </c>
    </row>
    <row r="34" spans="1:19" hidden="1" x14ac:dyDescent="0.35">
      <c r="A34" t="s">
        <v>271</v>
      </c>
      <c r="B34" t="s">
        <v>286</v>
      </c>
      <c r="C34" t="s">
        <v>5</v>
      </c>
      <c r="D34" s="80" t="s">
        <v>305</v>
      </c>
      <c r="E34" t="s">
        <v>1569</v>
      </c>
      <c r="F34" s="82">
        <f t="shared" ref="F34:F65" si="1">SIGN(SUBTOTAL(3,A34))</f>
        <v>0</v>
      </c>
      <c r="G34">
        <v>1</v>
      </c>
      <c r="H34" t="s">
        <v>14</v>
      </c>
      <c r="I34" t="s">
        <v>318</v>
      </c>
      <c r="J34">
        <v>15.60532807536244</v>
      </c>
      <c r="K34" t="s">
        <v>1570</v>
      </c>
      <c r="L34" t="s">
        <v>19</v>
      </c>
      <c r="M34" t="s">
        <v>1573</v>
      </c>
      <c r="N34" t="s">
        <v>319</v>
      </c>
      <c r="O34" s="81">
        <v>2031398.4971612808</v>
      </c>
      <c r="P34" t="s">
        <v>14</v>
      </c>
      <c r="Q34" s="81">
        <f>SAF_Cand_Refinery[[#This Row],[Max Amount]]*0.5</f>
        <v>1015699.2485806404</v>
      </c>
      <c r="R34" s="81">
        <f>SAF_Cand_Refinery[[#This Row],[Max Amount]]*0.1</f>
        <v>203139.84971612808</v>
      </c>
      <c r="S34" s="81">
        <v>108566609.03999999</v>
      </c>
    </row>
    <row r="35" spans="1:19" hidden="1" x14ac:dyDescent="0.35">
      <c r="A35" t="s">
        <v>271</v>
      </c>
      <c r="B35" t="s">
        <v>286</v>
      </c>
      <c r="C35" t="s">
        <v>5</v>
      </c>
      <c r="D35" s="80" t="s">
        <v>305</v>
      </c>
      <c r="E35" t="s">
        <v>314</v>
      </c>
      <c r="F35" s="82">
        <f t="shared" si="1"/>
        <v>0</v>
      </c>
      <c r="G35">
        <v>1</v>
      </c>
      <c r="H35" t="s">
        <v>14</v>
      </c>
      <c r="I35" t="s">
        <v>318</v>
      </c>
      <c r="J35">
        <v>15.60532807536244</v>
      </c>
      <c r="K35" t="s">
        <v>1570</v>
      </c>
      <c r="L35" t="s">
        <v>19</v>
      </c>
      <c r="M35" t="s">
        <v>1573</v>
      </c>
      <c r="N35" t="s">
        <v>319</v>
      </c>
      <c r="O35" s="81">
        <v>677132.83238709357</v>
      </c>
      <c r="P35" t="s">
        <v>14</v>
      </c>
      <c r="Q35" s="81">
        <f>SAF_Cand_Refinery[[#This Row],[Max Amount]]*0.5</f>
        <v>338566.41619354679</v>
      </c>
      <c r="R35" s="81">
        <f>SAF_Cand_Refinery[[#This Row],[Max Amount]]*0.1</f>
        <v>67713.283238709366</v>
      </c>
      <c r="S35" s="81">
        <v>91155661.800000012</v>
      </c>
    </row>
    <row r="36" spans="1:19" hidden="1" x14ac:dyDescent="0.35">
      <c r="A36" t="s">
        <v>271</v>
      </c>
      <c r="B36" t="s">
        <v>286</v>
      </c>
      <c r="C36" t="s">
        <v>5</v>
      </c>
      <c r="D36" s="80" t="s">
        <v>307</v>
      </c>
      <c r="E36" t="s">
        <v>1569</v>
      </c>
      <c r="F36" s="82">
        <f t="shared" si="1"/>
        <v>0</v>
      </c>
      <c r="G36">
        <v>1</v>
      </c>
      <c r="H36" t="s">
        <v>14</v>
      </c>
      <c r="I36" t="s">
        <v>318</v>
      </c>
      <c r="J36">
        <v>26.333991127174112</v>
      </c>
      <c r="K36" t="s">
        <v>1570</v>
      </c>
      <c r="L36" t="s">
        <v>19</v>
      </c>
      <c r="M36" t="s">
        <v>1577</v>
      </c>
      <c r="N36" t="s">
        <v>319</v>
      </c>
      <c r="O36" s="81">
        <v>1805687.5530322497</v>
      </c>
      <c r="P36" t="s">
        <v>14</v>
      </c>
      <c r="Q36" s="81">
        <f>SAF_Cand_Refinery[[#This Row],[Max Amount]]*0.5</f>
        <v>902843.77651612484</v>
      </c>
      <c r="R36" s="81">
        <f>SAF_Cand_Refinery[[#This Row],[Max Amount]]*0.1</f>
        <v>180568.75530322499</v>
      </c>
      <c r="S36" s="81">
        <v>77989532.280000001</v>
      </c>
    </row>
    <row r="37" spans="1:19" hidden="1" x14ac:dyDescent="0.35">
      <c r="A37" t="s">
        <v>271</v>
      </c>
      <c r="B37" t="s">
        <v>286</v>
      </c>
      <c r="C37" t="s">
        <v>5</v>
      </c>
      <c r="D37" s="80" t="s">
        <v>307</v>
      </c>
      <c r="E37" t="s">
        <v>314</v>
      </c>
      <c r="F37" s="82">
        <f t="shared" si="1"/>
        <v>0</v>
      </c>
      <c r="G37">
        <v>1</v>
      </c>
      <c r="H37" t="s">
        <v>14</v>
      </c>
      <c r="I37" t="s">
        <v>318</v>
      </c>
      <c r="J37">
        <v>23.407992113043658</v>
      </c>
      <c r="K37" t="s">
        <v>1570</v>
      </c>
      <c r="L37" t="s">
        <v>19</v>
      </c>
      <c r="M37" t="s">
        <v>1577</v>
      </c>
      <c r="N37" t="s">
        <v>319</v>
      </c>
      <c r="O37" s="81">
        <v>451421.88825806242</v>
      </c>
      <c r="P37" t="s">
        <v>14</v>
      </c>
      <c r="Q37" s="81">
        <f>SAF_Cand_Refinery[[#This Row],[Max Amount]]*0.5</f>
        <v>225710.94412903121</v>
      </c>
      <c r="R37" s="81">
        <f>SAF_Cand_Refinery[[#This Row],[Max Amount]]*0.1</f>
        <v>45142.188825806246</v>
      </c>
      <c r="S37" s="81">
        <v>44534613</v>
      </c>
    </row>
    <row r="38" spans="1:19" hidden="1" x14ac:dyDescent="0.35">
      <c r="A38" t="s">
        <v>271</v>
      </c>
      <c r="B38" t="s">
        <v>281</v>
      </c>
      <c r="C38" t="s">
        <v>5</v>
      </c>
      <c r="D38" s="80" t="s">
        <v>305</v>
      </c>
      <c r="E38" t="s">
        <v>1569</v>
      </c>
      <c r="F38" s="82">
        <f t="shared" si="1"/>
        <v>0</v>
      </c>
      <c r="G38">
        <v>1</v>
      </c>
      <c r="H38" t="s">
        <v>14</v>
      </c>
      <c r="I38" t="s">
        <v>318</v>
      </c>
      <c r="J38">
        <v>15.60532807536244</v>
      </c>
      <c r="K38" t="s">
        <v>1570</v>
      </c>
      <c r="L38" t="s">
        <v>19</v>
      </c>
      <c r="M38" t="s">
        <v>1573</v>
      </c>
      <c r="N38" t="s">
        <v>319</v>
      </c>
      <c r="O38" s="81">
        <v>2031398.4971612808</v>
      </c>
      <c r="P38" t="s">
        <v>14</v>
      </c>
      <c r="Q38" s="81">
        <f>SAF_Cand_Refinery[[#This Row],[Max Amount]]*0.5</f>
        <v>1015699.2485806404</v>
      </c>
      <c r="R38" s="81">
        <f>SAF_Cand_Refinery[[#This Row],[Max Amount]]*0.1</f>
        <v>203139.84971612808</v>
      </c>
      <c r="S38" s="81">
        <v>108566609.03999999</v>
      </c>
    </row>
    <row r="39" spans="1:19" hidden="1" x14ac:dyDescent="0.35">
      <c r="A39" t="s">
        <v>271</v>
      </c>
      <c r="B39" t="s">
        <v>281</v>
      </c>
      <c r="C39" t="s">
        <v>5</v>
      </c>
      <c r="D39" s="80" t="s">
        <v>305</v>
      </c>
      <c r="E39" t="s">
        <v>314</v>
      </c>
      <c r="F39" s="82">
        <f t="shared" si="1"/>
        <v>0</v>
      </c>
      <c r="G39">
        <v>1</v>
      </c>
      <c r="H39" t="s">
        <v>14</v>
      </c>
      <c r="I39" t="s">
        <v>318</v>
      </c>
      <c r="J39">
        <v>15.60532807536244</v>
      </c>
      <c r="K39" t="s">
        <v>1570</v>
      </c>
      <c r="L39" t="s">
        <v>19</v>
      </c>
      <c r="M39" t="s">
        <v>1573</v>
      </c>
      <c r="N39" t="s">
        <v>319</v>
      </c>
      <c r="O39" s="81">
        <v>677132.83238709357</v>
      </c>
      <c r="P39" t="s">
        <v>14</v>
      </c>
      <c r="Q39" s="81">
        <f>SAF_Cand_Refinery[[#This Row],[Max Amount]]*0.5</f>
        <v>338566.41619354679</v>
      </c>
      <c r="R39" s="81">
        <f>SAF_Cand_Refinery[[#This Row],[Max Amount]]*0.1</f>
        <v>67713.283238709366</v>
      </c>
      <c r="S39" s="81">
        <v>91155661.800000012</v>
      </c>
    </row>
    <row r="40" spans="1:19" hidden="1" x14ac:dyDescent="0.35">
      <c r="A40" t="s">
        <v>271</v>
      </c>
      <c r="B40" t="s">
        <v>281</v>
      </c>
      <c r="C40" t="s">
        <v>5</v>
      </c>
      <c r="D40" s="80" t="s">
        <v>307</v>
      </c>
      <c r="E40" t="s">
        <v>1569</v>
      </c>
      <c r="F40" s="82">
        <f t="shared" si="1"/>
        <v>0</v>
      </c>
      <c r="G40">
        <v>1</v>
      </c>
      <c r="H40" t="s">
        <v>14</v>
      </c>
      <c r="I40" t="s">
        <v>318</v>
      </c>
      <c r="J40">
        <v>26.333991127174112</v>
      </c>
      <c r="K40" t="s">
        <v>1570</v>
      </c>
      <c r="L40" t="s">
        <v>19</v>
      </c>
      <c r="M40" t="s">
        <v>1577</v>
      </c>
      <c r="N40" t="s">
        <v>319</v>
      </c>
      <c r="O40" s="81">
        <v>1805687.5530322497</v>
      </c>
      <c r="P40" t="s">
        <v>14</v>
      </c>
      <c r="Q40" s="81">
        <f>SAF_Cand_Refinery[[#This Row],[Max Amount]]*0.5</f>
        <v>902843.77651612484</v>
      </c>
      <c r="R40" s="81">
        <f>SAF_Cand_Refinery[[#This Row],[Max Amount]]*0.1</f>
        <v>180568.75530322499</v>
      </c>
      <c r="S40" s="81">
        <v>77989532.280000001</v>
      </c>
    </row>
    <row r="41" spans="1:19" hidden="1" x14ac:dyDescent="0.35">
      <c r="A41" t="s">
        <v>271</v>
      </c>
      <c r="B41" t="s">
        <v>281</v>
      </c>
      <c r="C41" t="s">
        <v>5</v>
      </c>
      <c r="D41" s="80" t="s">
        <v>307</v>
      </c>
      <c r="E41" t="s">
        <v>314</v>
      </c>
      <c r="F41" s="82">
        <f t="shared" si="1"/>
        <v>0</v>
      </c>
      <c r="G41">
        <v>1</v>
      </c>
      <c r="H41" t="s">
        <v>14</v>
      </c>
      <c r="I41" t="s">
        <v>318</v>
      </c>
      <c r="J41">
        <v>23.407992113043658</v>
      </c>
      <c r="K41" t="s">
        <v>1570</v>
      </c>
      <c r="L41" t="s">
        <v>19</v>
      </c>
      <c r="M41" t="s">
        <v>1577</v>
      </c>
      <c r="N41" t="s">
        <v>319</v>
      </c>
      <c r="O41" s="81">
        <v>451421.88825806242</v>
      </c>
      <c r="P41" t="s">
        <v>14</v>
      </c>
      <c r="Q41" s="81">
        <f>SAF_Cand_Refinery[[#This Row],[Max Amount]]*0.5</f>
        <v>225710.94412903121</v>
      </c>
      <c r="R41" s="81">
        <f>SAF_Cand_Refinery[[#This Row],[Max Amount]]*0.1</f>
        <v>45142.188825806246</v>
      </c>
      <c r="S41" s="81">
        <v>44534613</v>
      </c>
    </row>
    <row r="42" spans="1:19" hidden="1" x14ac:dyDescent="0.35">
      <c r="A42" t="s">
        <v>271</v>
      </c>
      <c r="B42" t="s">
        <v>276</v>
      </c>
      <c r="C42" t="s">
        <v>5</v>
      </c>
      <c r="D42" s="80" t="s">
        <v>305</v>
      </c>
      <c r="E42" t="s">
        <v>1569</v>
      </c>
      <c r="F42" s="82">
        <f t="shared" si="1"/>
        <v>0</v>
      </c>
      <c r="G42">
        <v>1</v>
      </c>
      <c r="H42" t="s">
        <v>14</v>
      </c>
      <c r="I42" t="s">
        <v>318</v>
      </c>
      <c r="J42">
        <v>15.60532807536244</v>
      </c>
      <c r="K42" t="s">
        <v>1570</v>
      </c>
      <c r="L42" t="s">
        <v>19</v>
      </c>
      <c r="M42" t="s">
        <v>1573</v>
      </c>
      <c r="N42" t="s">
        <v>319</v>
      </c>
      <c r="O42" s="81">
        <v>2031398.4971612808</v>
      </c>
      <c r="P42" t="s">
        <v>14</v>
      </c>
      <c r="Q42" s="81">
        <f>SAF_Cand_Refinery[[#This Row],[Max Amount]]*0.5</f>
        <v>1015699.2485806404</v>
      </c>
      <c r="R42" s="81">
        <f>SAF_Cand_Refinery[[#This Row],[Max Amount]]*0.1</f>
        <v>203139.84971612808</v>
      </c>
      <c r="S42" s="81">
        <v>108566609.03999999</v>
      </c>
    </row>
    <row r="43" spans="1:19" hidden="1" x14ac:dyDescent="0.35">
      <c r="A43" t="s">
        <v>271</v>
      </c>
      <c r="B43" t="s">
        <v>276</v>
      </c>
      <c r="C43" t="s">
        <v>5</v>
      </c>
      <c r="D43" s="80" t="s">
        <v>305</v>
      </c>
      <c r="E43" t="s">
        <v>314</v>
      </c>
      <c r="F43" s="82">
        <f t="shared" si="1"/>
        <v>0</v>
      </c>
      <c r="G43">
        <v>1</v>
      </c>
      <c r="H43" t="s">
        <v>14</v>
      </c>
      <c r="I43" t="s">
        <v>318</v>
      </c>
      <c r="J43">
        <v>15.60532807536244</v>
      </c>
      <c r="K43" t="s">
        <v>1570</v>
      </c>
      <c r="L43" t="s">
        <v>19</v>
      </c>
      <c r="M43" t="s">
        <v>1573</v>
      </c>
      <c r="N43" t="s">
        <v>319</v>
      </c>
      <c r="O43" s="81">
        <v>677132.83238709357</v>
      </c>
      <c r="P43" t="s">
        <v>14</v>
      </c>
      <c r="Q43" s="81">
        <f>SAF_Cand_Refinery[[#This Row],[Max Amount]]*0.5</f>
        <v>338566.41619354679</v>
      </c>
      <c r="R43" s="81">
        <f>SAF_Cand_Refinery[[#This Row],[Max Amount]]*0.1</f>
        <v>67713.283238709366</v>
      </c>
      <c r="S43" s="81">
        <v>91155661.800000012</v>
      </c>
    </row>
    <row r="44" spans="1:19" hidden="1" x14ac:dyDescent="0.35">
      <c r="A44" t="s">
        <v>271</v>
      </c>
      <c r="B44" t="s">
        <v>276</v>
      </c>
      <c r="C44" t="s">
        <v>5</v>
      </c>
      <c r="D44" s="80" t="s">
        <v>307</v>
      </c>
      <c r="E44" t="s">
        <v>1569</v>
      </c>
      <c r="F44" s="82">
        <f t="shared" si="1"/>
        <v>0</v>
      </c>
      <c r="G44">
        <v>1</v>
      </c>
      <c r="H44" t="s">
        <v>14</v>
      </c>
      <c r="I44" t="s">
        <v>318</v>
      </c>
      <c r="J44">
        <v>26.333991127174112</v>
      </c>
      <c r="K44" t="s">
        <v>1570</v>
      </c>
      <c r="L44" t="s">
        <v>19</v>
      </c>
      <c r="M44" t="s">
        <v>1577</v>
      </c>
      <c r="N44" t="s">
        <v>319</v>
      </c>
      <c r="O44" s="81">
        <v>1805687.5530322497</v>
      </c>
      <c r="P44" t="s">
        <v>14</v>
      </c>
      <c r="Q44" s="81">
        <f>SAF_Cand_Refinery[[#This Row],[Max Amount]]*0.5</f>
        <v>902843.77651612484</v>
      </c>
      <c r="R44" s="81">
        <f>SAF_Cand_Refinery[[#This Row],[Max Amount]]*0.1</f>
        <v>180568.75530322499</v>
      </c>
      <c r="S44" s="81">
        <v>77989532.280000001</v>
      </c>
    </row>
    <row r="45" spans="1:19" hidden="1" x14ac:dyDescent="0.35">
      <c r="A45" t="s">
        <v>271</v>
      </c>
      <c r="B45" t="s">
        <v>276</v>
      </c>
      <c r="C45" t="s">
        <v>5</v>
      </c>
      <c r="D45" s="80" t="s">
        <v>307</v>
      </c>
      <c r="E45" t="s">
        <v>314</v>
      </c>
      <c r="F45" s="82">
        <f t="shared" si="1"/>
        <v>0</v>
      </c>
      <c r="G45">
        <v>1</v>
      </c>
      <c r="H45" t="s">
        <v>14</v>
      </c>
      <c r="I45" t="s">
        <v>318</v>
      </c>
      <c r="J45">
        <v>23.407992113043658</v>
      </c>
      <c r="K45" t="s">
        <v>1570</v>
      </c>
      <c r="L45" t="s">
        <v>19</v>
      </c>
      <c r="M45" t="s">
        <v>1577</v>
      </c>
      <c r="N45" t="s">
        <v>319</v>
      </c>
      <c r="O45" s="81">
        <v>451421.88825806242</v>
      </c>
      <c r="P45" t="s">
        <v>14</v>
      </c>
      <c r="Q45" s="81">
        <f>SAF_Cand_Refinery[[#This Row],[Max Amount]]*0.5</f>
        <v>225710.94412903121</v>
      </c>
      <c r="R45" s="81">
        <f>SAF_Cand_Refinery[[#This Row],[Max Amount]]*0.1</f>
        <v>45142.188825806246</v>
      </c>
      <c r="S45" s="81">
        <v>44534613</v>
      </c>
    </row>
    <row r="46" spans="1:19" hidden="1" x14ac:dyDescent="0.35">
      <c r="A46" t="s">
        <v>271</v>
      </c>
      <c r="B46" t="s">
        <v>275</v>
      </c>
      <c r="C46" t="s">
        <v>5</v>
      </c>
      <c r="D46" s="80" t="s">
        <v>305</v>
      </c>
      <c r="E46" t="s">
        <v>1569</v>
      </c>
      <c r="F46" s="82">
        <f t="shared" si="1"/>
        <v>0</v>
      </c>
      <c r="G46">
        <v>1</v>
      </c>
      <c r="H46" t="s">
        <v>14</v>
      </c>
      <c r="I46" t="s">
        <v>318</v>
      </c>
      <c r="J46">
        <v>15.60532807536244</v>
      </c>
      <c r="K46" t="s">
        <v>1570</v>
      </c>
      <c r="L46" t="s">
        <v>19</v>
      </c>
      <c r="M46" t="s">
        <v>1573</v>
      </c>
      <c r="N46" t="s">
        <v>319</v>
      </c>
      <c r="O46" s="81">
        <v>2031398.4971612808</v>
      </c>
      <c r="P46" t="s">
        <v>14</v>
      </c>
      <c r="Q46" s="81">
        <f>SAF_Cand_Refinery[[#This Row],[Max Amount]]*0.5</f>
        <v>1015699.2485806404</v>
      </c>
      <c r="R46" s="81">
        <f>SAF_Cand_Refinery[[#This Row],[Max Amount]]*0.1</f>
        <v>203139.84971612808</v>
      </c>
      <c r="S46" s="81">
        <v>108566609.03999999</v>
      </c>
    </row>
    <row r="47" spans="1:19" hidden="1" x14ac:dyDescent="0.35">
      <c r="A47" t="s">
        <v>271</v>
      </c>
      <c r="B47" t="s">
        <v>275</v>
      </c>
      <c r="C47" t="s">
        <v>5</v>
      </c>
      <c r="D47" s="80" t="s">
        <v>305</v>
      </c>
      <c r="E47" t="s">
        <v>314</v>
      </c>
      <c r="F47" s="82">
        <f t="shared" si="1"/>
        <v>0</v>
      </c>
      <c r="G47">
        <v>1</v>
      </c>
      <c r="H47" t="s">
        <v>14</v>
      </c>
      <c r="I47" t="s">
        <v>318</v>
      </c>
      <c r="J47">
        <v>15.60532807536244</v>
      </c>
      <c r="K47" t="s">
        <v>1570</v>
      </c>
      <c r="L47" t="s">
        <v>19</v>
      </c>
      <c r="M47" t="s">
        <v>1573</v>
      </c>
      <c r="N47" t="s">
        <v>319</v>
      </c>
      <c r="O47" s="81">
        <v>677132.83238709357</v>
      </c>
      <c r="P47" t="s">
        <v>14</v>
      </c>
      <c r="Q47" s="81">
        <f>SAF_Cand_Refinery[[#This Row],[Max Amount]]*0.5</f>
        <v>338566.41619354679</v>
      </c>
      <c r="R47" s="81">
        <f>SAF_Cand_Refinery[[#This Row],[Max Amount]]*0.1</f>
        <v>67713.283238709366</v>
      </c>
      <c r="S47" s="81">
        <v>91155661.800000012</v>
      </c>
    </row>
    <row r="48" spans="1:19" hidden="1" x14ac:dyDescent="0.35">
      <c r="A48" t="s">
        <v>271</v>
      </c>
      <c r="B48" t="s">
        <v>275</v>
      </c>
      <c r="C48" t="s">
        <v>5</v>
      </c>
      <c r="D48" s="80" t="s">
        <v>307</v>
      </c>
      <c r="E48" t="s">
        <v>1569</v>
      </c>
      <c r="F48" s="82">
        <f t="shared" si="1"/>
        <v>0</v>
      </c>
      <c r="G48">
        <v>1</v>
      </c>
      <c r="H48" t="s">
        <v>14</v>
      </c>
      <c r="I48" t="s">
        <v>318</v>
      </c>
      <c r="J48">
        <v>26.333991127174112</v>
      </c>
      <c r="K48" t="s">
        <v>1570</v>
      </c>
      <c r="L48" t="s">
        <v>19</v>
      </c>
      <c r="M48" t="s">
        <v>1577</v>
      </c>
      <c r="N48" t="s">
        <v>319</v>
      </c>
      <c r="O48" s="81">
        <v>1805687.5530322497</v>
      </c>
      <c r="P48" t="s">
        <v>14</v>
      </c>
      <c r="Q48" s="81">
        <f>SAF_Cand_Refinery[[#This Row],[Max Amount]]*0.5</f>
        <v>902843.77651612484</v>
      </c>
      <c r="R48" s="81">
        <f>SAF_Cand_Refinery[[#This Row],[Max Amount]]*0.1</f>
        <v>180568.75530322499</v>
      </c>
      <c r="S48" s="81">
        <v>77989532.280000001</v>
      </c>
    </row>
    <row r="49" spans="1:19" hidden="1" x14ac:dyDescent="0.35">
      <c r="A49" t="s">
        <v>271</v>
      </c>
      <c r="B49" t="s">
        <v>275</v>
      </c>
      <c r="C49" t="s">
        <v>5</v>
      </c>
      <c r="D49" s="80" t="s">
        <v>307</v>
      </c>
      <c r="E49" t="s">
        <v>314</v>
      </c>
      <c r="F49" s="82">
        <f t="shared" si="1"/>
        <v>0</v>
      </c>
      <c r="G49">
        <v>1</v>
      </c>
      <c r="H49" t="s">
        <v>14</v>
      </c>
      <c r="I49" t="s">
        <v>318</v>
      </c>
      <c r="J49">
        <v>23.407992113043658</v>
      </c>
      <c r="K49" t="s">
        <v>1570</v>
      </c>
      <c r="L49" t="s">
        <v>19</v>
      </c>
      <c r="M49" t="s">
        <v>1577</v>
      </c>
      <c r="N49" t="s">
        <v>319</v>
      </c>
      <c r="O49" s="81">
        <v>451421.88825806242</v>
      </c>
      <c r="P49" t="s">
        <v>14</v>
      </c>
      <c r="Q49" s="81">
        <f>SAF_Cand_Refinery[[#This Row],[Max Amount]]*0.5</f>
        <v>225710.94412903121</v>
      </c>
      <c r="R49" s="81">
        <f>SAF_Cand_Refinery[[#This Row],[Max Amount]]*0.1</f>
        <v>45142.188825806246</v>
      </c>
      <c r="S49" s="81">
        <v>44534613</v>
      </c>
    </row>
    <row r="50" spans="1:19" hidden="1" x14ac:dyDescent="0.35">
      <c r="A50" t="s">
        <v>269</v>
      </c>
      <c r="B50" t="s">
        <v>270</v>
      </c>
      <c r="C50" t="s">
        <v>5</v>
      </c>
      <c r="D50" s="80" t="s">
        <v>305</v>
      </c>
      <c r="E50" t="s">
        <v>1569</v>
      </c>
      <c r="F50" s="82">
        <f t="shared" si="1"/>
        <v>0</v>
      </c>
      <c r="G50">
        <v>1</v>
      </c>
      <c r="H50" t="s">
        <v>14</v>
      </c>
      <c r="I50" t="s">
        <v>318</v>
      </c>
      <c r="J50">
        <v>20.063993239751706</v>
      </c>
      <c r="K50" t="s">
        <v>1570</v>
      </c>
      <c r="L50" t="s">
        <v>19</v>
      </c>
      <c r="M50" t="s">
        <v>1572</v>
      </c>
      <c r="N50" t="s">
        <v>319</v>
      </c>
      <c r="O50" s="81">
        <v>2106635.4785376247</v>
      </c>
      <c r="P50" t="s">
        <v>14</v>
      </c>
      <c r="Q50" s="81">
        <f>SAF_Cand_Refinery[[#This Row],[Max Amount]]*0.5</f>
        <v>1053317.7392688124</v>
      </c>
      <c r="R50" s="81">
        <f>SAF_Cand_Refinery[[#This Row],[Max Amount]]*0.1</f>
        <v>210663.54785376249</v>
      </c>
      <c r="S50" s="81">
        <v>116408730</v>
      </c>
    </row>
    <row r="51" spans="1:19" hidden="1" x14ac:dyDescent="0.35">
      <c r="A51" t="s">
        <v>269</v>
      </c>
      <c r="B51" t="s">
        <v>270</v>
      </c>
      <c r="C51" t="s">
        <v>5</v>
      </c>
      <c r="D51" s="80" t="s">
        <v>305</v>
      </c>
      <c r="E51" t="s">
        <v>314</v>
      </c>
      <c r="F51" s="82">
        <f t="shared" si="1"/>
        <v>0</v>
      </c>
      <c r="G51">
        <v>1</v>
      </c>
      <c r="H51" t="s">
        <v>14</v>
      </c>
      <c r="I51" t="s">
        <v>318</v>
      </c>
      <c r="J51">
        <v>20.063993239751706</v>
      </c>
      <c r="K51" t="s">
        <v>1570</v>
      </c>
      <c r="L51" t="s">
        <v>19</v>
      </c>
      <c r="M51" t="s">
        <v>1572</v>
      </c>
      <c r="N51" t="s">
        <v>319</v>
      </c>
      <c r="O51" s="81">
        <v>526658.86963440618</v>
      </c>
      <c r="P51" t="s">
        <v>14</v>
      </c>
      <c r="Q51" s="81">
        <f>SAF_Cand_Refinery[[#This Row],[Max Amount]]*0.5</f>
        <v>263329.43481720309</v>
      </c>
      <c r="R51" s="81">
        <f>SAF_Cand_Refinery[[#This Row],[Max Amount]]*0.1</f>
        <v>52665.886963440622</v>
      </c>
      <c r="S51" s="81">
        <v>78277316.519999996</v>
      </c>
    </row>
    <row r="52" spans="1:19" hidden="1" x14ac:dyDescent="0.35">
      <c r="A52" t="s">
        <v>269</v>
      </c>
      <c r="B52" t="s">
        <v>270</v>
      </c>
      <c r="C52" t="s">
        <v>5</v>
      </c>
      <c r="D52" s="80" t="s">
        <v>307</v>
      </c>
      <c r="E52" t="s">
        <v>1569</v>
      </c>
      <c r="F52" s="82">
        <f t="shared" si="1"/>
        <v>0</v>
      </c>
      <c r="G52">
        <v>1</v>
      </c>
      <c r="H52" t="s">
        <v>14</v>
      </c>
      <c r="I52" t="s">
        <v>318</v>
      </c>
      <c r="J52">
        <v>28.841990282143083</v>
      </c>
      <c r="K52" t="s">
        <v>1570</v>
      </c>
      <c r="L52" t="s">
        <v>19</v>
      </c>
      <c r="M52" t="s">
        <v>1576</v>
      </c>
      <c r="N52" t="s">
        <v>319</v>
      </c>
      <c r="O52" s="81">
        <v>1648671.2440729232</v>
      </c>
      <c r="P52" t="s">
        <v>14</v>
      </c>
      <c r="Q52" s="81">
        <f>SAF_Cand_Refinery[[#This Row],[Max Amount]]*0.5</f>
        <v>824335.6220364616</v>
      </c>
      <c r="R52" s="81">
        <f>SAF_Cand_Refinery[[#This Row],[Max Amount]]*0.1</f>
        <v>164867.12440729234</v>
      </c>
      <c r="S52" s="81">
        <v>74680013.400000006</v>
      </c>
    </row>
    <row r="53" spans="1:19" hidden="1" x14ac:dyDescent="0.35">
      <c r="A53" t="s">
        <v>269</v>
      </c>
      <c r="B53" t="s">
        <v>270</v>
      </c>
      <c r="C53" t="s">
        <v>5</v>
      </c>
      <c r="D53" s="80" t="s">
        <v>307</v>
      </c>
      <c r="E53" t="s">
        <v>314</v>
      </c>
      <c r="F53" s="82">
        <f t="shared" si="1"/>
        <v>0</v>
      </c>
      <c r="G53">
        <v>1</v>
      </c>
      <c r="H53" t="s">
        <v>14</v>
      </c>
      <c r="I53" t="s">
        <v>318</v>
      </c>
      <c r="J53">
        <v>25.637324695238295</v>
      </c>
      <c r="K53" t="s">
        <v>1570</v>
      </c>
      <c r="L53" t="s">
        <v>19</v>
      </c>
      <c r="M53" t="s">
        <v>1576</v>
      </c>
      <c r="N53" t="s">
        <v>319</v>
      </c>
      <c r="O53" s="81">
        <v>412167.81101823086</v>
      </c>
      <c r="P53" t="s">
        <v>14</v>
      </c>
      <c r="Q53" s="81">
        <f>SAF_Cand_Refinery[[#This Row],[Max Amount]]*0.5</f>
        <v>206083.90550911543</v>
      </c>
      <c r="R53" s="81">
        <f>SAF_Cand_Refinery[[#This Row],[Max Amount]]*0.1</f>
        <v>41216.781101823086</v>
      </c>
      <c r="S53" s="81">
        <v>42735961.439999998</v>
      </c>
    </row>
    <row r="54" spans="1:19" x14ac:dyDescent="0.35">
      <c r="A54" t="s">
        <v>289</v>
      </c>
      <c r="B54" t="s">
        <v>290</v>
      </c>
      <c r="C54" t="s">
        <v>5</v>
      </c>
      <c r="D54" s="80" t="s">
        <v>306</v>
      </c>
      <c r="E54" t="s">
        <v>1569</v>
      </c>
      <c r="F54" s="82">
        <f t="shared" si="1"/>
        <v>1</v>
      </c>
      <c r="G54">
        <v>1</v>
      </c>
      <c r="H54" t="s">
        <v>14</v>
      </c>
      <c r="I54" t="s">
        <v>318</v>
      </c>
      <c r="J54">
        <v>127.21129047148131</v>
      </c>
      <c r="K54" t="s">
        <v>1570</v>
      </c>
      <c r="L54" t="s">
        <v>19</v>
      </c>
      <c r="M54" t="s">
        <v>1574</v>
      </c>
      <c r="N54" t="s">
        <v>319</v>
      </c>
      <c r="O54" s="81">
        <v>1142151.7654722061</v>
      </c>
      <c r="P54" t="s">
        <v>14</v>
      </c>
      <c r="Q54" s="81">
        <f>SAF_Cand_Refinery[[#This Row],[Max Amount]]*0.5</f>
        <v>571075.88273610303</v>
      </c>
      <c r="R54" s="81">
        <f>SAF_Cand_Refinery[[#This Row],[Max Amount]]*0.1</f>
        <v>114215.17654722062</v>
      </c>
      <c r="S54" s="81">
        <v>32231836.200000003</v>
      </c>
    </row>
    <row r="55" spans="1:19" x14ac:dyDescent="0.35">
      <c r="A55" t="s">
        <v>289</v>
      </c>
      <c r="B55" t="s">
        <v>291</v>
      </c>
      <c r="C55" t="s">
        <v>5</v>
      </c>
      <c r="D55" s="80" t="s">
        <v>306</v>
      </c>
      <c r="E55" t="s">
        <v>1569</v>
      </c>
      <c r="F55" s="82">
        <f t="shared" si="1"/>
        <v>1</v>
      </c>
      <c r="G55">
        <v>1</v>
      </c>
      <c r="H55" t="s">
        <v>14</v>
      </c>
      <c r="I55" t="s">
        <v>318</v>
      </c>
      <c r="J55">
        <v>127.21129047148131</v>
      </c>
      <c r="K55" t="s">
        <v>1570</v>
      </c>
      <c r="L55" t="s">
        <v>19</v>
      </c>
      <c r="M55" t="s">
        <v>1574</v>
      </c>
      <c r="N55" t="s">
        <v>319</v>
      </c>
      <c r="O55" s="81">
        <v>1142151.7654722061</v>
      </c>
      <c r="P55" t="s">
        <v>14</v>
      </c>
      <c r="Q55" s="81">
        <f>SAF_Cand_Refinery[[#This Row],[Max Amount]]*0.5</f>
        <v>571075.88273610303</v>
      </c>
      <c r="R55" s="81">
        <f>SAF_Cand_Refinery[[#This Row],[Max Amount]]*0.1</f>
        <v>114215.17654722062</v>
      </c>
      <c r="S55" s="81">
        <v>32231836.200000003</v>
      </c>
    </row>
    <row r="56" spans="1:19" x14ac:dyDescent="0.35">
      <c r="A56" t="s">
        <v>289</v>
      </c>
      <c r="B56" t="s">
        <v>292</v>
      </c>
      <c r="C56" t="s">
        <v>5</v>
      </c>
      <c r="D56" s="80" t="s">
        <v>306</v>
      </c>
      <c r="E56" t="s">
        <v>1569</v>
      </c>
      <c r="F56" s="82">
        <f t="shared" si="1"/>
        <v>1</v>
      </c>
      <c r="G56">
        <v>1</v>
      </c>
      <c r="H56" t="s">
        <v>14</v>
      </c>
      <c r="I56" t="s">
        <v>318</v>
      </c>
      <c r="J56">
        <v>127.21129047148131</v>
      </c>
      <c r="K56" t="s">
        <v>1570</v>
      </c>
      <c r="L56" t="s">
        <v>19</v>
      </c>
      <c r="M56" t="s">
        <v>1574</v>
      </c>
      <c r="N56" t="s">
        <v>319</v>
      </c>
      <c r="O56" s="81">
        <v>1142151.7654722061</v>
      </c>
      <c r="P56" t="s">
        <v>14</v>
      </c>
      <c r="Q56" s="81">
        <f>SAF_Cand_Refinery[[#This Row],[Max Amount]]*0.5</f>
        <v>571075.88273610303</v>
      </c>
      <c r="R56" s="81">
        <f>SAF_Cand_Refinery[[#This Row],[Max Amount]]*0.1</f>
        <v>114215.17654722062</v>
      </c>
      <c r="S56" s="81">
        <v>32231836.200000003</v>
      </c>
    </row>
    <row r="57" spans="1:19" hidden="1" x14ac:dyDescent="0.35">
      <c r="A57" t="s">
        <v>265</v>
      </c>
      <c r="B57" t="s">
        <v>266</v>
      </c>
      <c r="C57" t="s">
        <v>5</v>
      </c>
      <c r="D57" s="80" t="s">
        <v>305</v>
      </c>
      <c r="E57" t="s">
        <v>1569</v>
      </c>
      <c r="F57" s="82">
        <f t="shared" si="1"/>
        <v>0</v>
      </c>
      <c r="G57">
        <v>1</v>
      </c>
      <c r="H57" t="s">
        <v>14</v>
      </c>
      <c r="I57" t="s">
        <v>318</v>
      </c>
      <c r="J57">
        <v>20.063993239751706</v>
      </c>
      <c r="K57" t="s">
        <v>1570</v>
      </c>
      <c r="L57" t="s">
        <v>19</v>
      </c>
      <c r="M57" t="s">
        <v>1572</v>
      </c>
      <c r="N57" t="s">
        <v>319</v>
      </c>
      <c r="O57" s="81">
        <v>2106635.4785376247</v>
      </c>
      <c r="P57" t="s">
        <v>14</v>
      </c>
      <c r="Q57" s="81">
        <f>SAF_Cand_Refinery[[#This Row],[Max Amount]]*0.5</f>
        <v>1053317.7392688124</v>
      </c>
      <c r="R57" s="81">
        <f>SAF_Cand_Refinery[[#This Row],[Max Amount]]*0.1</f>
        <v>210663.54785376249</v>
      </c>
      <c r="S57" s="81">
        <v>116408730</v>
      </c>
    </row>
    <row r="58" spans="1:19" hidden="1" x14ac:dyDescent="0.35">
      <c r="A58" t="s">
        <v>265</v>
      </c>
      <c r="B58" t="s">
        <v>266</v>
      </c>
      <c r="C58" t="s">
        <v>5</v>
      </c>
      <c r="D58" s="80" t="s">
        <v>305</v>
      </c>
      <c r="E58" t="s">
        <v>314</v>
      </c>
      <c r="F58" s="82">
        <f t="shared" si="1"/>
        <v>0</v>
      </c>
      <c r="G58">
        <v>1</v>
      </c>
      <c r="H58" t="s">
        <v>14</v>
      </c>
      <c r="I58" t="s">
        <v>318</v>
      </c>
      <c r="J58">
        <v>20.063993239751706</v>
      </c>
      <c r="K58" t="s">
        <v>1570</v>
      </c>
      <c r="L58" t="s">
        <v>19</v>
      </c>
      <c r="M58" t="s">
        <v>1572</v>
      </c>
      <c r="N58" t="s">
        <v>319</v>
      </c>
      <c r="O58" s="81">
        <v>526658.86963440618</v>
      </c>
      <c r="P58" t="s">
        <v>14</v>
      </c>
      <c r="Q58" s="81">
        <f>SAF_Cand_Refinery[[#This Row],[Max Amount]]*0.5</f>
        <v>263329.43481720309</v>
      </c>
      <c r="R58" s="81">
        <f>SAF_Cand_Refinery[[#This Row],[Max Amount]]*0.1</f>
        <v>52665.886963440622</v>
      </c>
      <c r="S58" s="81">
        <v>78277316.519999996</v>
      </c>
    </row>
    <row r="59" spans="1:19" hidden="1" x14ac:dyDescent="0.35">
      <c r="A59" t="s">
        <v>265</v>
      </c>
      <c r="B59" t="s">
        <v>266</v>
      </c>
      <c r="C59" t="s">
        <v>5</v>
      </c>
      <c r="D59" s="80" t="s">
        <v>307</v>
      </c>
      <c r="E59" t="s">
        <v>1569</v>
      </c>
      <c r="F59" s="82">
        <f t="shared" si="1"/>
        <v>0</v>
      </c>
      <c r="G59">
        <v>1</v>
      </c>
      <c r="H59" t="s">
        <v>14</v>
      </c>
      <c r="I59" t="s">
        <v>318</v>
      </c>
      <c r="J59">
        <v>28.841990282143083</v>
      </c>
      <c r="K59" t="s">
        <v>1570</v>
      </c>
      <c r="L59" t="s">
        <v>19</v>
      </c>
      <c r="M59" t="s">
        <v>1576</v>
      </c>
      <c r="N59" t="s">
        <v>319</v>
      </c>
      <c r="O59" s="81">
        <v>1648671.2440729232</v>
      </c>
      <c r="P59" t="s">
        <v>14</v>
      </c>
      <c r="Q59" s="81">
        <f>SAF_Cand_Refinery[[#This Row],[Max Amount]]*0.5</f>
        <v>824335.6220364616</v>
      </c>
      <c r="R59" s="81">
        <f>SAF_Cand_Refinery[[#This Row],[Max Amount]]*0.1</f>
        <v>164867.12440729234</v>
      </c>
      <c r="S59" s="81">
        <v>74680013.400000006</v>
      </c>
    </row>
    <row r="60" spans="1:19" hidden="1" x14ac:dyDescent="0.35">
      <c r="A60" t="s">
        <v>265</v>
      </c>
      <c r="B60" t="s">
        <v>266</v>
      </c>
      <c r="C60" t="s">
        <v>5</v>
      </c>
      <c r="D60" s="80" t="s">
        <v>307</v>
      </c>
      <c r="E60" t="s">
        <v>314</v>
      </c>
      <c r="F60" s="82">
        <f t="shared" si="1"/>
        <v>0</v>
      </c>
      <c r="G60">
        <v>1</v>
      </c>
      <c r="H60" t="s">
        <v>14</v>
      </c>
      <c r="I60" t="s">
        <v>318</v>
      </c>
      <c r="J60">
        <v>25.637324695238295</v>
      </c>
      <c r="K60" t="s">
        <v>1570</v>
      </c>
      <c r="L60" t="s">
        <v>19</v>
      </c>
      <c r="M60" t="s">
        <v>1576</v>
      </c>
      <c r="N60" t="s">
        <v>319</v>
      </c>
      <c r="O60" s="81">
        <v>412167.81101823086</v>
      </c>
      <c r="P60" t="s">
        <v>14</v>
      </c>
      <c r="Q60" s="81">
        <f>SAF_Cand_Refinery[[#This Row],[Max Amount]]*0.5</f>
        <v>206083.90550911543</v>
      </c>
      <c r="R60" s="81">
        <f>SAF_Cand_Refinery[[#This Row],[Max Amount]]*0.1</f>
        <v>41216.781101823086</v>
      </c>
      <c r="S60" s="81">
        <v>42735961.439999998</v>
      </c>
    </row>
    <row r="61" spans="1:19" hidden="1" x14ac:dyDescent="0.35">
      <c r="A61" t="s">
        <v>265</v>
      </c>
      <c r="B61" t="s">
        <v>267</v>
      </c>
      <c r="C61" t="s">
        <v>5</v>
      </c>
      <c r="D61" s="80" t="s">
        <v>305</v>
      </c>
      <c r="E61" t="s">
        <v>1569</v>
      </c>
      <c r="F61" s="82">
        <f t="shared" si="1"/>
        <v>0</v>
      </c>
      <c r="G61">
        <v>1</v>
      </c>
      <c r="H61" t="s">
        <v>14</v>
      </c>
      <c r="I61" t="s">
        <v>318</v>
      </c>
      <c r="J61">
        <v>20.063993239751706</v>
      </c>
      <c r="K61" t="s">
        <v>1570</v>
      </c>
      <c r="L61" t="s">
        <v>19</v>
      </c>
      <c r="M61" t="s">
        <v>1572</v>
      </c>
      <c r="N61" t="s">
        <v>319</v>
      </c>
      <c r="O61" s="81">
        <v>2106635.4785376247</v>
      </c>
      <c r="P61" t="s">
        <v>14</v>
      </c>
      <c r="Q61" s="81">
        <f>SAF_Cand_Refinery[[#This Row],[Max Amount]]*0.5</f>
        <v>1053317.7392688124</v>
      </c>
      <c r="R61" s="81">
        <f>SAF_Cand_Refinery[[#This Row],[Max Amount]]*0.1</f>
        <v>210663.54785376249</v>
      </c>
      <c r="S61" s="81">
        <v>116408730</v>
      </c>
    </row>
    <row r="62" spans="1:19" hidden="1" x14ac:dyDescent="0.35">
      <c r="A62" t="s">
        <v>265</v>
      </c>
      <c r="B62" t="s">
        <v>267</v>
      </c>
      <c r="C62" t="s">
        <v>5</v>
      </c>
      <c r="D62" s="80" t="s">
        <v>305</v>
      </c>
      <c r="E62" t="s">
        <v>314</v>
      </c>
      <c r="F62" s="82">
        <f t="shared" si="1"/>
        <v>0</v>
      </c>
      <c r="G62">
        <v>1</v>
      </c>
      <c r="H62" t="s">
        <v>14</v>
      </c>
      <c r="I62" t="s">
        <v>318</v>
      </c>
      <c r="J62">
        <v>20.063993239751706</v>
      </c>
      <c r="K62" t="s">
        <v>1570</v>
      </c>
      <c r="L62" t="s">
        <v>19</v>
      </c>
      <c r="M62" t="s">
        <v>1572</v>
      </c>
      <c r="N62" t="s">
        <v>319</v>
      </c>
      <c r="O62" s="81">
        <v>526658.86963440618</v>
      </c>
      <c r="P62" t="s">
        <v>14</v>
      </c>
      <c r="Q62" s="81">
        <f>SAF_Cand_Refinery[[#This Row],[Max Amount]]*0.5</f>
        <v>263329.43481720309</v>
      </c>
      <c r="R62" s="81">
        <f>SAF_Cand_Refinery[[#This Row],[Max Amount]]*0.1</f>
        <v>52665.886963440622</v>
      </c>
      <c r="S62" s="81">
        <v>78277316.519999996</v>
      </c>
    </row>
    <row r="63" spans="1:19" hidden="1" x14ac:dyDescent="0.35">
      <c r="A63" t="s">
        <v>265</v>
      </c>
      <c r="B63" t="s">
        <v>267</v>
      </c>
      <c r="C63" t="s">
        <v>5</v>
      </c>
      <c r="D63" s="80" t="s">
        <v>307</v>
      </c>
      <c r="E63" t="s">
        <v>1569</v>
      </c>
      <c r="F63" s="82">
        <f t="shared" si="1"/>
        <v>0</v>
      </c>
      <c r="G63">
        <v>1</v>
      </c>
      <c r="H63" t="s">
        <v>14</v>
      </c>
      <c r="I63" t="s">
        <v>318</v>
      </c>
      <c r="J63">
        <v>28.841990282143083</v>
      </c>
      <c r="K63" t="s">
        <v>1570</v>
      </c>
      <c r="L63" t="s">
        <v>19</v>
      </c>
      <c r="M63" t="s">
        <v>1576</v>
      </c>
      <c r="N63" t="s">
        <v>319</v>
      </c>
      <c r="O63" s="81">
        <v>1648671.2440729232</v>
      </c>
      <c r="P63" t="s">
        <v>14</v>
      </c>
      <c r="Q63" s="81">
        <f>SAF_Cand_Refinery[[#This Row],[Max Amount]]*0.5</f>
        <v>824335.6220364616</v>
      </c>
      <c r="R63" s="81">
        <f>SAF_Cand_Refinery[[#This Row],[Max Amount]]*0.1</f>
        <v>164867.12440729234</v>
      </c>
      <c r="S63" s="81">
        <v>74680013.400000006</v>
      </c>
    </row>
    <row r="64" spans="1:19" hidden="1" x14ac:dyDescent="0.35">
      <c r="A64" t="s">
        <v>265</v>
      </c>
      <c r="B64" t="s">
        <v>267</v>
      </c>
      <c r="C64" t="s">
        <v>5</v>
      </c>
      <c r="D64" s="80" t="s">
        <v>307</v>
      </c>
      <c r="E64" t="s">
        <v>314</v>
      </c>
      <c r="F64" s="82">
        <f t="shared" si="1"/>
        <v>0</v>
      </c>
      <c r="G64">
        <v>1</v>
      </c>
      <c r="H64" t="s">
        <v>14</v>
      </c>
      <c r="I64" t="s">
        <v>318</v>
      </c>
      <c r="J64">
        <v>25.637324695238295</v>
      </c>
      <c r="K64" t="s">
        <v>1570</v>
      </c>
      <c r="L64" t="s">
        <v>19</v>
      </c>
      <c r="M64" t="s">
        <v>1576</v>
      </c>
      <c r="N64" t="s">
        <v>319</v>
      </c>
      <c r="O64" s="81">
        <v>412167.81101823086</v>
      </c>
      <c r="P64" t="s">
        <v>14</v>
      </c>
      <c r="Q64" s="81">
        <f>SAF_Cand_Refinery[[#This Row],[Max Amount]]*0.5</f>
        <v>206083.90550911543</v>
      </c>
      <c r="R64" s="81">
        <f>SAF_Cand_Refinery[[#This Row],[Max Amount]]*0.1</f>
        <v>41216.781101823086</v>
      </c>
      <c r="S64" s="81">
        <v>42735961.439999998</v>
      </c>
    </row>
    <row r="65" spans="1:19" hidden="1" x14ac:dyDescent="0.35">
      <c r="A65" t="s">
        <v>277</v>
      </c>
      <c r="B65" t="s">
        <v>279</v>
      </c>
      <c r="C65" t="s">
        <v>5</v>
      </c>
      <c r="D65" s="80" t="s">
        <v>306</v>
      </c>
      <c r="E65" t="s">
        <v>1569</v>
      </c>
      <c r="F65" s="82">
        <f t="shared" si="1"/>
        <v>0</v>
      </c>
      <c r="G65">
        <v>1</v>
      </c>
      <c r="H65" t="s">
        <v>14</v>
      </c>
      <c r="I65" t="s">
        <v>318</v>
      </c>
      <c r="J65">
        <v>127.21129047148131</v>
      </c>
      <c r="K65" t="s">
        <v>1570</v>
      </c>
      <c r="L65" t="s">
        <v>19</v>
      </c>
      <c r="M65" t="s">
        <v>1575</v>
      </c>
      <c r="N65" t="s">
        <v>319</v>
      </c>
      <c r="O65" s="81">
        <v>1142151.7654722061</v>
      </c>
      <c r="P65" t="s">
        <v>14</v>
      </c>
      <c r="Q65" s="81">
        <f>SAF_Cand_Refinery[[#This Row],[Max Amount]]*0.5</f>
        <v>571075.88273610303</v>
      </c>
      <c r="R65" s="81">
        <f>SAF_Cand_Refinery[[#This Row],[Max Amount]]*0.1</f>
        <v>114215.17654722062</v>
      </c>
      <c r="S65" s="81">
        <v>32807404.68</v>
      </c>
    </row>
    <row r="66" spans="1:19" hidden="1" x14ac:dyDescent="0.35">
      <c r="A66" t="s">
        <v>277</v>
      </c>
      <c r="B66" t="s">
        <v>280</v>
      </c>
      <c r="C66" t="s">
        <v>5</v>
      </c>
      <c r="D66" s="80" t="s">
        <v>306</v>
      </c>
      <c r="E66" t="s">
        <v>1569</v>
      </c>
      <c r="F66" s="82">
        <f t="shared" ref="F66:F97" si="2">SIGN(SUBTOTAL(3,A66))</f>
        <v>0</v>
      </c>
      <c r="G66">
        <v>1</v>
      </c>
      <c r="H66" t="s">
        <v>14</v>
      </c>
      <c r="I66" t="s">
        <v>318</v>
      </c>
      <c r="J66">
        <v>127.21129047148131</v>
      </c>
      <c r="K66" t="s">
        <v>1570</v>
      </c>
      <c r="L66" t="s">
        <v>19</v>
      </c>
      <c r="M66" t="s">
        <v>1575</v>
      </c>
      <c r="N66" t="s">
        <v>319</v>
      </c>
      <c r="O66" s="81">
        <v>1142151.7654722061</v>
      </c>
      <c r="P66" t="s">
        <v>14</v>
      </c>
      <c r="Q66" s="81">
        <f>SAF_Cand_Refinery[[#This Row],[Max Amount]]*0.5</f>
        <v>571075.88273610303</v>
      </c>
      <c r="R66" s="81">
        <f>SAF_Cand_Refinery[[#This Row],[Max Amount]]*0.1</f>
        <v>114215.17654722062</v>
      </c>
      <c r="S66" s="81">
        <v>32807404.68</v>
      </c>
    </row>
    <row r="67" spans="1:19" hidden="1" x14ac:dyDescent="0.35">
      <c r="A67" t="s">
        <v>277</v>
      </c>
      <c r="B67" t="s">
        <v>278</v>
      </c>
      <c r="C67" t="s">
        <v>5</v>
      </c>
      <c r="D67" s="80" t="s">
        <v>306</v>
      </c>
      <c r="E67" t="s">
        <v>1569</v>
      </c>
      <c r="F67" s="82">
        <f t="shared" si="2"/>
        <v>0</v>
      </c>
      <c r="G67">
        <v>1</v>
      </c>
      <c r="H67" t="s">
        <v>14</v>
      </c>
      <c r="I67" t="s">
        <v>318</v>
      </c>
      <c r="J67">
        <v>127.21129047148131</v>
      </c>
      <c r="K67" t="s">
        <v>1570</v>
      </c>
      <c r="L67" t="s">
        <v>19</v>
      </c>
      <c r="M67" t="s">
        <v>1575</v>
      </c>
      <c r="N67" t="s">
        <v>319</v>
      </c>
      <c r="O67" s="81">
        <v>1142151.7654722061</v>
      </c>
      <c r="P67" t="s">
        <v>14</v>
      </c>
      <c r="Q67" s="81">
        <f>SAF_Cand_Refinery[[#This Row],[Max Amount]]*0.5</f>
        <v>571075.88273610303</v>
      </c>
      <c r="R67" s="81">
        <f>SAF_Cand_Refinery[[#This Row],[Max Amount]]*0.1</f>
        <v>114215.17654722062</v>
      </c>
      <c r="S67" s="81">
        <v>32807404.68</v>
      </c>
    </row>
    <row r="68" spans="1:19" hidden="1" x14ac:dyDescent="0.35">
      <c r="A68" t="s">
        <v>252</v>
      </c>
      <c r="B68" t="s">
        <v>253</v>
      </c>
      <c r="C68" t="s">
        <v>5</v>
      </c>
      <c r="D68" s="80" t="s">
        <v>305</v>
      </c>
      <c r="E68" t="s">
        <v>1569</v>
      </c>
      <c r="F68" s="82">
        <f t="shared" si="2"/>
        <v>0</v>
      </c>
      <c r="G68">
        <v>1</v>
      </c>
      <c r="H68" t="s">
        <v>14</v>
      </c>
      <c r="I68" t="s">
        <v>318</v>
      </c>
      <c r="J68">
        <v>20.063993239751706</v>
      </c>
      <c r="K68" t="s">
        <v>1570</v>
      </c>
      <c r="L68" t="s">
        <v>19</v>
      </c>
      <c r="M68" t="s">
        <v>1572</v>
      </c>
      <c r="N68" t="s">
        <v>319</v>
      </c>
      <c r="O68" s="81">
        <v>2106635.4785376247</v>
      </c>
      <c r="P68" t="s">
        <v>14</v>
      </c>
      <c r="Q68" s="81">
        <f>SAF_Cand_Refinery[[#This Row],[Max Amount]]*0.5</f>
        <v>1053317.7392688124</v>
      </c>
      <c r="R68" s="81">
        <f>SAF_Cand_Refinery[[#This Row],[Max Amount]]*0.1</f>
        <v>210663.54785376249</v>
      </c>
      <c r="S68" s="81">
        <v>116408730</v>
      </c>
    </row>
    <row r="69" spans="1:19" hidden="1" x14ac:dyDescent="0.35">
      <c r="A69" t="s">
        <v>252</v>
      </c>
      <c r="B69" t="s">
        <v>253</v>
      </c>
      <c r="C69" t="s">
        <v>5</v>
      </c>
      <c r="D69" s="80" t="s">
        <v>305</v>
      </c>
      <c r="E69" t="s">
        <v>314</v>
      </c>
      <c r="F69" s="82">
        <f t="shared" si="2"/>
        <v>0</v>
      </c>
      <c r="G69">
        <v>1</v>
      </c>
      <c r="H69" t="s">
        <v>14</v>
      </c>
      <c r="I69" t="s">
        <v>318</v>
      </c>
      <c r="J69">
        <v>20.063993239751706</v>
      </c>
      <c r="K69" t="s">
        <v>1570</v>
      </c>
      <c r="L69" t="s">
        <v>19</v>
      </c>
      <c r="M69" t="s">
        <v>1572</v>
      </c>
      <c r="N69" t="s">
        <v>319</v>
      </c>
      <c r="O69" s="81">
        <v>526658.86963440618</v>
      </c>
      <c r="P69" t="s">
        <v>14</v>
      </c>
      <c r="Q69" s="81">
        <f>SAF_Cand_Refinery[[#This Row],[Max Amount]]*0.5</f>
        <v>263329.43481720309</v>
      </c>
      <c r="R69" s="81">
        <f>SAF_Cand_Refinery[[#This Row],[Max Amount]]*0.1</f>
        <v>52665.886963440622</v>
      </c>
      <c r="S69" s="81">
        <v>78277316.519999996</v>
      </c>
    </row>
    <row r="70" spans="1:19" hidden="1" x14ac:dyDescent="0.35">
      <c r="A70" t="s">
        <v>252</v>
      </c>
      <c r="B70" t="s">
        <v>253</v>
      </c>
      <c r="C70" t="s">
        <v>5</v>
      </c>
      <c r="D70" s="80" t="s">
        <v>307</v>
      </c>
      <c r="E70" t="s">
        <v>1569</v>
      </c>
      <c r="F70" s="82">
        <f t="shared" si="2"/>
        <v>0</v>
      </c>
      <c r="G70">
        <v>1</v>
      </c>
      <c r="H70" t="s">
        <v>14</v>
      </c>
      <c r="I70" t="s">
        <v>318</v>
      </c>
      <c r="J70">
        <v>28.841990282143083</v>
      </c>
      <c r="K70" t="s">
        <v>1570</v>
      </c>
      <c r="L70" t="s">
        <v>19</v>
      </c>
      <c r="M70" t="s">
        <v>1576</v>
      </c>
      <c r="N70" t="s">
        <v>319</v>
      </c>
      <c r="O70" s="81">
        <v>1648671.2440729232</v>
      </c>
      <c r="P70" t="s">
        <v>14</v>
      </c>
      <c r="Q70" s="81">
        <f>SAF_Cand_Refinery[[#This Row],[Max Amount]]*0.5</f>
        <v>824335.6220364616</v>
      </c>
      <c r="R70" s="81">
        <f>SAF_Cand_Refinery[[#This Row],[Max Amount]]*0.1</f>
        <v>164867.12440729234</v>
      </c>
      <c r="S70" s="81">
        <v>74680013.400000006</v>
      </c>
    </row>
    <row r="71" spans="1:19" hidden="1" x14ac:dyDescent="0.35">
      <c r="A71" t="s">
        <v>252</v>
      </c>
      <c r="B71" t="s">
        <v>253</v>
      </c>
      <c r="C71" t="s">
        <v>5</v>
      </c>
      <c r="D71" s="80" t="s">
        <v>307</v>
      </c>
      <c r="E71" t="s">
        <v>314</v>
      </c>
      <c r="F71" s="82">
        <f t="shared" si="2"/>
        <v>0</v>
      </c>
      <c r="G71">
        <v>1</v>
      </c>
      <c r="H71" t="s">
        <v>14</v>
      </c>
      <c r="I71" t="s">
        <v>318</v>
      </c>
      <c r="J71">
        <v>25.637324695238295</v>
      </c>
      <c r="K71" t="s">
        <v>1570</v>
      </c>
      <c r="L71" t="s">
        <v>19</v>
      </c>
      <c r="M71" t="s">
        <v>1576</v>
      </c>
      <c r="N71" t="s">
        <v>319</v>
      </c>
      <c r="O71" s="81">
        <v>412167.81101823086</v>
      </c>
      <c r="P71" t="s">
        <v>14</v>
      </c>
      <c r="Q71" s="81">
        <f>SAF_Cand_Refinery[[#This Row],[Max Amount]]*0.5</f>
        <v>206083.90550911543</v>
      </c>
      <c r="R71" s="81">
        <f>SAF_Cand_Refinery[[#This Row],[Max Amount]]*0.1</f>
        <v>41216.781101823086</v>
      </c>
      <c r="S71" s="81">
        <v>42735961.439999998</v>
      </c>
    </row>
    <row r="72" spans="1:19" hidden="1" x14ac:dyDescent="0.35">
      <c r="A72" t="s">
        <v>252</v>
      </c>
      <c r="B72" t="s">
        <v>256</v>
      </c>
      <c r="C72" t="s">
        <v>5</v>
      </c>
      <c r="D72" s="80" t="s">
        <v>305</v>
      </c>
      <c r="E72" t="s">
        <v>1569</v>
      </c>
      <c r="F72" s="82">
        <f t="shared" si="2"/>
        <v>0</v>
      </c>
      <c r="G72">
        <v>1</v>
      </c>
      <c r="H72" t="s">
        <v>14</v>
      </c>
      <c r="I72" t="s">
        <v>318</v>
      </c>
      <c r="J72">
        <v>20.063993239751706</v>
      </c>
      <c r="K72" t="s">
        <v>1570</v>
      </c>
      <c r="L72" t="s">
        <v>19</v>
      </c>
      <c r="M72" t="s">
        <v>1572</v>
      </c>
      <c r="N72" t="s">
        <v>319</v>
      </c>
      <c r="O72" s="81">
        <v>2106635.4785376247</v>
      </c>
      <c r="P72" t="s">
        <v>14</v>
      </c>
      <c r="Q72" s="81">
        <f>SAF_Cand_Refinery[[#This Row],[Max Amount]]*0.5</f>
        <v>1053317.7392688124</v>
      </c>
      <c r="R72" s="81">
        <f>SAF_Cand_Refinery[[#This Row],[Max Amount]]*0.1</f>
        <v>210663.54785376249</v>
      </c>
      <c r="S72" s="81">
        <v>116408730</v>
      </c>
    </row>
    <row r="73" spans="1:19" hidden="1" x14ac:dyDescent="0.35">
      <c r="A73" t="s">
        <v>252</v>
      </c>
      <c r="B73" t="s">
        <v>256</v>
      </c>
      <c r="C73" t="s">
        <v>5</v>
      </c>
      <c r="D73" s="80" t="s">
        <v>305</v>
      </c>
      <c r="E73" t="s">
        <v>314</v>
      </c>
      <c r="F73" s="82">
        <f t="shared" si="2"/>
        <v>0</v>
      </c>
      <c r="G73">
        <v>1</v>
      </c>
      <c r="H73" t="s">
        <v>14</v>
      </c>
      <c r="I73" t="s">
        <v>318</v>
      </c>
      <c r="J73">
        <v>20.063993239751706</v>
      </c>
      <c r="K73" t="s">
        <v>1570</v>
      </c>
      <c r="L73" t="s">
        <v>19</v>
      </c>
      <c r="M73" t="s">
        <v>1572</v>
      </c>
      <c r="N73" t="s">
        <v>319</v>
      </c>
      <c r="O73" s="81">
        <v>526658.86963440618</v>
      </c>
      <c r="P73" t="s">
        <v>14</v>
      </c>
      <c r="Q73" s="81">
        <f>SAF_Cand_Refinery[[#This Row],[Max Amount]]*0.5</f>
        <v>263329.43481720309</v>
      </c>
      <c r="R73" s="81">
        <f>SAF_Cand_Refinery[[#This Row],[Max Amount]]*0.1</f>
        <v>52665.886963440622</v>
      </c>
      <c r="S73" s="81">
        <v>78277316.519999996</v>
      </c>
    </row>
    <row r="74" spans="1:19" hidden="1" x14ac:dyDescent="0.35">
      <c r="A74" t="s">
        <v>252</v>
      </c>
      <c r="B74" t="s">
        <v>256</v>
      </c>
      <c r="C74" t="s">
        <v>5</v>
      </c>
      <c r="D74" s="80" t="s">
        <v>307</v>
      </c>
      <c r="E74" t="s">
        <v>1569</v>
      </c>
      <c r="F74" s="82">
        <f t="shared" si="2"/>
        <v>0</v>
      </c>
      <c r="G74">
        <v>1</v>
      </c>
      <c r="H74" t="s">
        <v>14</v>
      </c>
      <c r="I74" t="s">
        <v>318</v>
      </c>
      <c r="J74">
        <v>28.841990282143083</v>
      </c>
      <c r="K74" t="s">
        <v>1570</v>
      </c>
      <c r="L74" t="s">
        <v>19</v>
      </c>
      <c r="M74" t="s">
        <v>1576</v>
      </c>
      <c r="N74" t="s">
        <v>319</v>
      </c>
      <c r="O74" s="81">
        <v>1648671.2440729232</v>
      </c>
      <c r="P74" t="s">
        <v>14</v>
      </c>
      <c r="Q74" s="81">
        <f>SAF_Cand_Refinery[[#This Row],[Max Amount]]*0.5</f>
        <v>824335.6220364616</v>
      </c>
      <c r="R74" s="81">
        <f>SAF_Cand_Refinery[[#This Row],[Max Amount]]*0.1</f>
        <v>164867.12440729234</v>
      </c>
      <c r="S74" s="81">
        <v>74680013.400000006</v>
      </c>
    </row>
    <row r="75" spans="1:19" hidden="1" x14ac:dyDescent="0.35">
      <c r="A75" t="s">
        <v>252</v>
      </c>
      <c r="B75" t="s">
        <v>256</v>
      </c>
      <c r="C75" t="s">
        <v>5</v>
      </c>
      <c r="D75" s="80" t="s">
        <v>307</v>
      </c>
      <c r="E75" t="s">
        <v>314</v>
      </c>
      <c r="F75" s="82">
        <f t="shared" si="2"/>
        <v>0</v>
      </c>
      <c r="G75">
        <v>1</v>
      </c>
      <c r="H75" t="s">
        <v>14</v>
      </c>
      <c r="I75" t="s">
        <v>318</v>
      </c>
      <c r="J75">
        <v>25.637324695238295</v>
      </c>
      <c r="K75" t="s">
        <v>1570</v>
      </c>
      <c r="L75" t="s">
        <v>19</v>
      </c>
      <c r="M75" t="s">
        <v>1576</v>
      </c>
      <c r="N75" t="s">
        <v>319</v>
      </c>
      <c r="O75" s="81">
        <v>412167.81101823086</v>
      </c>
      <c r="P75" t="s">
        <v>14</v>
      </c>
      <c r="Q75" s="81">
        <f>SAF_Cand_Refinery[[#This Row],[Max Amount]]*0.5</f>
        <v>206083.90550911543</v>
      </c>
      <c r="R75" s="81">
        <f>SAF_Cand_Refinery[[#This Row],[Max Amount]]*0.1</f>
        <v>41216.781101823086</v>
      </c>
      <c r="S75" s="81">
        <v>42735961.439999998</v>
      </c>
    </row>
    <row r="76" spans="1:19" hidden="1" x14ac:dyDescent="0.35">
      <c r="A76" t="s">
        <v>252</v>
      </c>
      <c r="B76" t="s">
        <v>255</v>
      </c>
      <c r="C76" t="s">
        <v>5</v>
      </c>
      <c r="D76" s="80" t="s">
        <v>305</v>
      </c>
      <c r="E76" t="s">
        <v>1569</v>
      </c>
      <c r="F76" s="82">
        <f t="shared" si="2"/>
        <v>0</v>
      </c>
      <c r="G76">
        <v>1</v>
      </c>
      <c r="H76" t="s">
        <v>14</v>
      </c>
      <c r="I76" t="s">
        <v>318</v>
      </c>
      <c r="J76">
        <v>20.063993239751706</v>
      </c>
      <c r="K76" t="s">
        <v>1570</v>
      </c>
      <c r="L76" t="s">
        <v>19</v>
      </c>
      <c r="M76" t="s">
        <v>1572</v>
      </c>
      <c r="N76" t="s">
        <v>319</v>
      </c>
      <c r="O76" s="81">
        <v>2106635.4785376247</v>
      </c>
      <c r="P76" t="s">
        <v>14</v>
      </c>
      <c r="Q76" s="81">
        <f>SAF_Cand_Refinery[[#This Row],[Max Amount]]*0.5</f>
        <v>1053317.7392688124</v>
      </c>
      <c r="R76" s="81">
        <f>SAF_Cand_Refinery[[#This Row],[Max Amount]]*0.1</f>
        <v>210663.54785376249</v>
      </c>
      <c r="S76" s="81">
        <v>116408730</v>
      </c>
    </row>
    <row r="77" spans="1:19" hidden="1" x14ac:dyDescent="0.35">
      <c r="A77" t="s">
        <v>252</v>
      </c>
      <c r="B77" t="s">
        <v>255</v>
      </c>
      <c r="C77" t="s">
        <v>5</v>
      </c>
      <c r="D77" s="80" t="s">
        <v>305</v>
      </c>
      <c r="E77" t="s">
        <v>314</v>
      </c>
      <c r="F77" s="82">
        <f t="shared" si="2"/>
        <v>0</v>
      </c>
      <c r="G77">
        <v>1</v>
      </c>
      <c r="H77" t="s">
        <v>14</v>
      </c>
      <c r="I77" t="s">
        <v>318</v>
      </c>
      <c r="J77">
        <v>20.063993239751706</v>
      </c>
      <c r="K77" t="s">
        <v>1570</v>
      </c>
      <c r="L77" t="s">
        <v>19</v>
      </c>
      <c r="M77" t="s">
        <v>1572</v>
      </c>
      <c r="N77" t="s">
        <v>319</v>
      </c>
      <c r="O77" s="81">
        <v>526658.86963440618</v>
      </c>
      <c r="P77" t="s">
        <v>14</v>
      </c>
      <c r="Q77" s="81">
        <f>SAF_Cand_Refinery[[#This Row],[Max Amount]]*0.5</f>
        <v>263329.43481720309</v>
      </c>
      <c r="R77" s="81">
        <f>SAF_Cand_Refinery[[#This Row],[Max Amount]]*0.1</f>
        <v>52665.886963440622</v>
      </c>
      <c r="S77" s="81">
        <v>78277316.519999996</v>
      </c>
    </row>
    <row r="78" spans="1:19" hidden="1" x14ac:dyDescent="0.35">
      <c r="A78" t="s">
        <v>252</v>
      </c>
      <c r="B78" t="s">
        <v>255</v>
      </c>
      <c r="C78" t="s">
        <v>5</v>
      </c>
      <c r="D78" s="80" t="s">
        <v>307</v>
      </c>
      <c r="E78" t="s">
        <v>1569</v>
      </c>
      <c r="F78" s="82">
        <f t="shared" si="2"/>
        <v>0</v>
      </c>
      <c r="G78">
        <v>1</v>
      </c>
      <c r="H78" t="s">
        <v>14</v>
      </c>
      <c r="I78" t="s">
        <v>318</v>
      </c>
      <c r="J78">
        <v>28.841990282143083</v>
      </c>
      <c r="K78" t="s">
        <v>1570</v>
      </c>
      <c r="L78" t="s">
        <v>19</v>
      </c>
      <c r="M78" t="s">
        <v>1576</v>
      </c>
      <c r="N78" t="s">
        <v>319</v>
      </c>
      <c r="O78" s="81">
        <v>1648671.2440729232</v>
      </c>
      <c r="P78" t="s">
        <v>14</v>
      </c>
      <c r="Q78" s="81">
        <f>SAF_Cand_Refinery[[#This Row],[Max Amount]]*0.5</f>
        <v>824335.6220364616</v>
      </c>
      <c r="R78" s="81">
        <f>SAF_Cand_Refinery[[#This Row],[Max Amount]]*0.1</f>
        <v>164867.12440729234</v>
      </c>
      <c r="S78" s="81">
        <v>74680013.400000006</v>
      </c>
    </row>
    <row r="79" spans="1:19" hidden="1" x14ac:dyDescent="0.35">
      <c r="A79" t="s">
        <v>252</v>
      </c>
      <c r="B79" t="s">
        <v>255</v>
      </c>
      <c r="C79" t="s">
        <v>5</v>
      </c>
      <c r="D79" s="80" t="s">
        <v>307</v>
      </c>
      <c r="E79" t="s">
        <v>314</v>
      </c>
      <c r="F79" s="82">
        <f t="shared" si="2"/>
        <v>0</v>
      </c>
      <c r="G79">
        <v>1</v>
      </c>
      <c r="H79" t="s">
        <v>14</v>
      </c>
      <c r="I79" t="s">
        <v>318</v>
      </c>
      <c r="J79">
        <v>25.637324695238295</v>
      </c>
      <c r="K79" t="s">
        <v>1570</v>
      </c>
      <c r="L79" t="s">
        <v>19</v>
      </c>
      <c r="M79" t="s">
        <v>1576</v>
      </c>
      <c r="N79" t="s">
        <v>319</v>
      </c>
      <c r="O79" s="81">
        <v>412167.81101823086</v>
      </c>
      <c r="P79" t="s">
        <v>14</v>
      </c>
      <c r="Q79" s="81">
        <f>SAF_Cand_Refinery[[#This Row],[Max Amount]]*0.5</f>
        <v>206083.90550911543</v>
      </c>
      <c r="R79" s="81">
        <f>SAF_Cand_Refinery[[#This Row],[Max Amount]]*0.1</f>
        <v>41216.781101823086</v>
      </c>
      <c r="S79" s="81">
        <v>42735961.439999998</v>
      </c>
    </row>
    <row r="80" spans="1:19" hidden="1" x14ac:dyDescent="0.35">
      <c r="A80" t="s">
        <v>252</v>
      </c>
      <c r="B80" t="s">
        <v>257</v>
      </c>
      <c r="C80" t="s">
        <v>5</v>
      </c>
      <c r="D80" s="80" t="s">
        <v>305</v>
      </c>
      <c r="E80" t="s">
        <v>1569</v>
      </c>
      <c r="F80" s="82">
        <f t="shared" si="2"/>
        <v>0</v>
      </c>
      <c r="G80">
        <v>1</v>
      </c>
      <c r="H80" t="s">
        <v>14</v>
      </c>
      <c r="I80" t="s">
        <v>318</v>
      </c>
      <c r="J80">
        <v>20.063993239751706</v>
      </c>
      <c r="K80" t="s">
        <v>1570</v>
      </c>
      <c r="L80" t="s">
        <v>19</v>
      </c>
      <c r="M80" t="s">
        <v>1572</v>
      </c>
      <c r="N80" t="s">
        <v>319</v>
      </c>
      <c r="O80" s="81">
        <v>2106635.4785376247</v>
      </c>
      <c r="P80" t="s">
        <v>14</v>
      </c>
      <c r="Q80" s="81">
        <f>SAF_Cand_Refinery[[#This Row],[Max Amount]]*0.5</f>
        <v>1053317.7392688124</v>
      </c>
      <c r="R80" s="81">
        <f>SAF_Cand_Refinery[[#This Row],[Max Amount]]*0.1</f>
        <v>210663.54785376249</v>
      </c>
      <c r="S80" s="81">
        <v>116408730</v>
      </c>
    </row>
    <row r="81" spans="1:19" hidden="1" x14ac:dyDescent="0.35">
      <c r="A81" t="s">
        <v>252</v>
      </c>
      <c r="B81" t="s">
        <v>257</v>
      </c>
      <c r="C81" t="s">
        <v>5</v>
      </c>
      <c r="D81" s="80" t="s">
        <v>305</v>
      </c>
      <c r="E81" t="s">
        <v>314</v>
      </c>
      <c r="F81" s="82">
        <f t="shared" si="2"/>
        <v>0</v>
      </c>
      <c r="G81">
        <v>1</v>
      </c>
      <c r="H81" t="s">
        <v>14</v>
      </c>
      <c r="I81" t="s">
        <v>318</v>
      </c>
      <c r="J81">
        <v>20.063993239751706</v>
      </c>
      <c r="K81" t="s">
        <v>1570</v>
      </c>
      <c r="L81" t="s">
        <v>19</v>
      </c>
      <c r="M81" t="s">
        <v>1572</v>
      </c>
      <c r="N81" t="s">
        <v>319</v>
      </c>
      <c r="O81" s="81">
        <v>526658.86963440618</v>
      </c>
      <c r="P81" t="s">
        <v>14</v>
      </c>
      <c r="Q81" s="81">
        <f>SAF_Cand_Refinery[[#This Row],[Max Amount]]*0.5</f>
        <v>263329.43481720309</v>
      </c>
      <c r="R81" s="81">
        <f>SAF_Cand_Refinery[[#This Row],[Max Amount]]*0.1</f>
        <v>52665.886963440622</v>
      </c>
      <c r="S81" s="81">
        <v>78277316.519999996</v>
      </c>
    </row>
    <row r="82" spans="1:19" hidden="1" x14ac:dyDescent="0.35">
      <c r="A82" t="s">
        <v>252</v>
      </c>
      <c r="B82" t="s">
        <v>257</v>
      </c>
      <c r="C82" t="s">
        <v>5</v>
      </c>
      <c r="D82" s="80" t="s">
        <v>307</v>
      </c>
      <c r="E82" t="s">
        <v>1569</v>
      </c>
      <c r="F82" s="82">
        <f t="shared" si="2"/>
        <v>0</v>
      </c>
      <c r="G82">
        <v>1</v>
      </c>
      <c r="H82" t="s">
        <v>14</v>
      </c>
      <c r="I82" t="s">
        <v>318</v>
      </c>
      <c r="J82">
        <v>28.841990282143083</v>
      </c>
      <c r="K82" t="s">
        <v>1570</v>
      </c>
      <c r="L82" t="s">
        <v>19</v>
      </c>
      <c r="M82" t="s">
        <v>1576</v>
      </c>
      <c r="N82" t="s">
        <v>319</v>
      </c>
      <c r="O82" s="81">
        <v>1648671.2440729232</v>
      </c>
      <c r="P82" t="s">
        <v>14</v>
      </c>
      <c r="Q82" s="81">
        <f>SAF_Cand_Refinery[[#This Row],[Max Amount]]*0.5</f>
        <v>824335.6220364616</v>
      </c>
      <c r="R82" s="81">
        <f>SAF_Cand_Refinery[[#This Row],[Max Amount]]*0.1</f>
        <v>164867.12440729234</v>
      </c>
      <c r="S82" s="81">
        <v>74680013.400000006</v>
      </c>
    </row>
    <row r="83" spans="1:19" hidden="1" x14ac:dyDescent="0.35">
      <c r="A83" t="s">
        <v>252</v>
      </c>
      <c r="B83" t="s">
        <v>257</v>
      </c>
      <c r="C83" t="s">
        <v>5</v>
      </c>
      <c r="D83" s="80" t="s">
        <v>307</v>
      </c>
      <c r="E83" t="s">
        <v>314</v>
      </c>
      <c r="F83" s="82">
        <f t="shared" si="2"/>
        <v>0</v>
      </c>
      <c r="G83">
        <v>1</v>
      </c>
      <c r="H83" t="s">
        <v>14</v>
      </c>
      <c r="I83" t="s">
        <v>318</v>
      </c>
      <c r="J83">
        <v>25.637324695238295</v>
      </c>
      <c r="K83" t="s">
        <v>1570</v>
      </c>
      <c r="L83" t="s">
        <v>19</v>
      </c>
      <c r="M83" t="s">
        <v>1576</v>
      </c>
      <c r="N83" t="s">
        <v>319</v>
      </c>
      <c r="O83" s="81">
        <v>412167.81101823086</v>
      </c>
      <c r="P83" t="s">
        <v>14</v>
      </c>
      <c r="Q83" s="81">
        <f>SAF_Cand_Refinery[[#This Row],[Max Amount]]*0.5</f>
        <v>206083.90550911543</v>
      </c>
      <c r="R83" s="81">
        <f>SAF_Cand_Refinery[[#This Row],[Max Amount]]*0.1</f>
        <v>41216.781101823086</v>
      </c>
      <c r="S83" s="81">
        <v>42735961.439999998</v>
      </c>
    </row>
    <row r="84" spans="1:19" hidden="1" x14ac:dyDescent="0.35">
      <c r="A84" t="s">
        <v>252</v>
      </c>
      <c r="B84" t="s">
        <v>254</v>
      </c>
      <c r="C84" t="s">
        <v>5</v>
      </c>
      <c r="D84" s="80" t="s">
        <v>305</v>
      </c>
      <c r="E84" t="s">
        <v>1569</v>
      </c>
      <c r="F84" s="82">
        <f t="shared" si="2"/>
        <v>0</v>
      </c>
      <c r="G84">
        <v>1</v>
      </c>
      <c r="H84" t="s">
        <v>14</v>
      </c>
      <c r="I84" t="s">
        <v>318</v>
      </c>
      <c r="J84">
        <v>20.063993239751706</v>
      </c>
      <c r="K84" t="s">
        <v>1570</v>
      </c>
      <c r="L84" t="s">
        <v>19</v>
      </c>
      <c r="M84" t="s">
        <v>1572</v>
      </c>
      <c r="N84" t="s">
        <v>319</v>
      </c>
      <c r="O84" s="81">
        <v>2106635.4785376247</v>
      </c>
      <c r="P84" t="s">
        <v>14</v>
      </c>
      <c r="Q84" s="81">
        <f>SAF_Cand_Refinery[[#This Row],[Max Amount]]*0.5</f>
        <v>1053317.7392688124</v>
      </c>
      <c r="R84" s="81">
        <f>SAF_Cand_Refinery[[#This Row],[Max Amount]]*0.1</f>
        <v>210663.54785376249</v>
      </c>
      <c r="S84" s="81">
        <v>116408730</v>
      </c>
    </row>
    <row r="85" spans="1:19" hidden="1" x14ac:dyDescent="0.35">
      <c r="A85" t="s">
        <v>252</v>
      </c>
      <c r="B85" t="s">
        <v>254</v>
      </c>
      <c r="C85" t="s">
        <v>5</v>
      </c>
      <c r="D85" s="80" t="s">
        <v>305</v>
      </c>
      <c r="E85" t="s">
        <v>314</v>
      </c>
      <c r="F85" s="82">
        <f t="shared" si="2"/>
        <v>0</v>
      </c>
      <c r="G85">
        <v>1</v>
      </c>
      <c r="H85" t="s">
        <v>14</v>
      </c>
      <c r="I85" t="s">
        <v>318</v>
      </c>
      <c r="J85">
        <v>20.063993239751706</v>
      </c>
      <c r="K85" t="s">
        <v>1570</v>
      </c>
      <c r="L85" t="s">
        <v>19</v>
      </c>
      <c r="M85" t="s">
        <v>1572</v>
      </c>
      <c r="N85" t="s">
        <v>319</v>
      </c>
      <c r="O85" s="81">
        <v>526658.86963440618</v>
      </c>
      <c r="P85" t="s">
        <v>14</v>
      </c>
      <c r="Q85" s="81">
        <f>SAF_Cand_Refinery[[#This Row],[Max Amount]]*0.5</f>
        <v>263329.43481720309</v>
      </c>
      <c r="R85" s="81">
        <f>SAF_Cand_Refinery[[#This Row],[Max Amount]]*0.1</f>
        <v>52665.886963440622</v>
      </c>
      <c r="S85" s="81">
        <v>78277316.519999996</v>
      </c>
    </row>
    <row r="86" spans="1:19" hidden="1" x14ac:dyDescent="0.35">
      <c r="A86" t="s">
        <v>252</v>
      </c>
      <c r="B86" t="s">
        <v>254</v>
      </c>
      <c r="C86" t="s">
        <v>5</v>
      </c>
      <c r="D86" s="80" t="s">
        <v>307</v>
      </c>
      <c r="E86" t="s">
        <v>1569</v>
      </c>
      <c r="F86" s="82">
        <f t="shared" si="2"/>
        <v>0</v>
      </c>
      <c r="G86">
        <v>1</v>
      </c>
      <c r="H86" t="s">
        <v>14</v>
      </c>
      <c r="I86" t="s">
        <v>318</v>
      </c>
      <c r="J86">
        <v>28.841990282143083</v>
      </c>
      <c r="K86" t="s">
        <v>1570</v>
      </c>
      <c r="L86" t="s">
        <v>19</v>
      </c>
      <c r="M86" t="s">
        <v>1576</v>
      </c>
      <c r="N86" t="s">
        <v>319</v>
      </c>
      <c r="O86" s="81">
        <v>1648671.2440729232</v>
      </c>
      <c r="P86" t="s">
        <v>14</v>
      </c>
      <c r="Q86" s="81">
        <f>SAF_Cand_Refinery[[#This Row],[Max Amount]]*0.5</f>
        <v>824335.6220364616</v>
      </c>
      <c r="R86" s="81">
        <f>SAF_Cand_Refinery[[#This Row],[Max Amount]]*0.1</f>
        <v>164867.12440729234</v>
      </c>
      <c r="S86" s="81">
        <v>74680013.400000006</v>
      </c>
    </row>
    <row r="87" spans="1:19" hidden="1" x14ac:dyDescent="0.35">
      <c r="A87" t="s">
        <v>252</v>
      </c>
      <c r="B87" t="s">
        <v>254</v>
      </c>
      <c r="C87" t="s">
        <v>5</v>
      </c>
      <c r="D87" s="80" t="s">
        <v>307</v>
      </c>
      <c r="E87" t="s">
        <v>314</v>
      </c>
      <c r="F87" s="82">
        <f t="shared" si="2"/>
        <v>0</v>
      </c>
      <c r="G87">
        <v>1</v>
      </c>
      <c r="H87" t="s">
        <v>14</v>
      </c>
      <c r="I87" t="s">
        <v>318</v>
      </c>
      <c r="J87">
        <v>25.637324695238295</v>
      </c>
      <c r="K87" t="s">
        <v>1570</v>
      </c>
      <c r="L87" t="s">
        <v>19</v>
      </c>
      <c r="M87" t="s">
        <v>1576</v>
      </c>
      <c r="N87" t="s">
        <v>319</v>
      </c>
      <c r="O87" s="81">
        <v>412167.81101823086</v>
      </c>
      <c r="P87" t="s">
        <v>14</v>
      </c>
      <c r="Q87" s="81">
        <f>SAF_Cand_Refinery[[#This Row],[Max Amount]]*0.5</f>
        <v>206083.90550911543</v>
      </c>
      <c r="R87" s="81">
        <f>SAF_Cand_Refinery[[#This Row],[Max Amount]]*0.1</f>
        <v>41216.781101823086</v>
      </c>
      <c r="S87" s="81">
        <v>42735961.439999998</v>
      </c>
    </row>
    <row r="88" spans="1:19" hidden="1" x14ac:dyDescent="0.35">
      <c r="A88" t="s">
        <v>260</v>
      </c>
      <c r="B88" t="s">
        <v>261</v>
      </c>
      <c r="C88" t="s">
        <v>5</v>
      </c>
      <c r="D88" s="80" t="s">
        <v>305</v>
      </c>
      <c r="E88" t="s">
        <v>1569</v>
      </c>
      <c r="F88" s="82">
        <f t="shared" si="2"/>
        <v>0</v>
      </c>
      <c r="G88">
        <v>1</v>
      </c>
      <c r="H88" t="s">
        <v>14</v>
      </c>
      <c r="I88" t="s">
        <v>318</v>
      </c>
      <c r="J88">
        <v>20.063993239751706</v>
      </c>
      <c r="K88" t="s">
        <v>1570</v>
      </c>
      <c r="L88" t="s">
        <v>19</v>
      </c>
      <c r="M88" t="s">
        <v>1572</v>
      </c>
      <c r="N88" t="s">
        <v>319</v>
      </c>
      <c r="O88" s="81">
        <v>2106635.4785376247</v>
      </c>
      <c r="P88" t="s">
        <v>14</v>
      </c>
      <c r="Q88" s="81">
        <f>SAF_Cand_Refinery[[#This Row],[Max Amount]]*0.5</f>
        <v>1053317.7392688124</v>
      </c>
      <c r="R88" s="81">
        <f>SAF_Cand_Refinery[[#This Row],[Max Amount]]*0.1</f>
        <v>210663.54785376249</v>
      </c>
      <c r="S88" s="81">
        <v>116408730</v>
      </c>
    </row>
    <row r="89" spans="1:19" hidden="1" x14ac:dyDescent="0.35">
      <c r="A89" t="s">
        <v>260</v>
      </c>
      <c r="B89" t="s">
        <v>261</v>
      </c>
      <c r="C89" t="s">
        <v>5</v>
      </c>
      <c r="D89" s="80" t="s">
        <v>305</v>
      </c>
      <c r="E89" t="s">
        <v>314</v>
      </c>
      <c r="F89" s="82">
        <f t="shared" si="2"/>
        <v>0</v>
      </c>
      <c r="G89">
        <v>1</v>
      </c>
      <c r="H89" t="s">
        <v>14</v>
      </c>
      <c r="I89" t="s">
        <v>318</v>
      </c>
      <c r="J89">
        <v>20.063993239751706</v>
      </c>
      <c r="K89" t="s">
        <v>1570</v>
      </c>
      <c r="L89" t="s">
        <v>19</v>
      </c>
      <c r="M89" t="s">
        <v>1572</v>
      </c>
      <c r="N89" t="s">
        <v>319</v>
      </c>
      <c r="O89" s="81">
        <v>526658.86963440618</v>
      </c>
      <c r="P89" t="s">
        <v>14</v>
      </c>
      <c r="Q89" s="81">
        <f>SAF_Cand_Refinery[[#This Row],[Max Amount]]*0.5</f>
        <v>263329.43481720309</v>
      </c>
      <c r="R89" s="81">
        <f>SAF_Cand_Refinery[[#This Row],[Max Amount]]*0.1</f>
        <v>52665.886963440622</v>
      </c>
      <c r="S89" s="81">
        <v>78277316.519999996</v>
      </c>
    </row>
    <row r="90" spans="1:19" hidden="1" x14ac:dyDescent="0.35">
      <c r="A90" t="s">
        <v>260</v>
      </c>
      <c r="B90" t="s">
        <v>261</v>
      </c>
      <c r="C90" t="s">
        <v>5</v>
      </c>
      <c r="D90" s="80" t="s">
        <v>307</v>
      </c>
      <c r="E90" t="s">
        <v>1569</v>
      </c>
      <c r="F90" s="82">
        <f t="shared" si="2"/>
        <v>0</v>
      </c>
      <c r="G90">
        <v>1</v>
      </c>
      <c r="H90" t="s">
        <v>14</v>
      </c>
      <c r="I90" t="s">
        <v>318</v>
      </c>
      <c r="J90">
        <v>28.841990282143083</v>
      </c>
      <c r="K90" t="s">
        <v>1570</v>
      </c>
      <c r="L90" t="s">
        <v>19</v>
      </c>
      <c r="M90" t="s">
        <v>1576</v>
      </c>
      <c r="N90" t="s">
        <v>319</v>
      </c>
      <c r="O90" s="81">
        <v>1648671.2440729232</v>
      </c>
      <c r="P90" t="s">
        <v>14</v>
      </c>
      <c r="Q90" s="81">
        <f>SAF_Cand_Refinery[[#This Row],[Max Amount]]*0.5</f>
        <v>824335.6220364616</v>
      </c>
      <c r="R90" s="81">
        <f>SAF_Cand_Refinery[[#This Row],[Max Amount]]*0.1</f>
        <v>164867.12440729234</v>
      </c>
      <c r="S90" s="81">
        <v>74680013.400000006</v>
      </c>
    </row>
    <row r="91" spans="1:19" hidden="1" x14ac:dyDescent="0.35">
      <c r="A91" t="s">
        <v>260</v>
      </c>
      <c r="B91" t="s">
        <v>261</v>
      </c>
      <c r="C91" t="s">
        <v>5</v>
      </c>
      <c r="D91" s="80" t="s">
        <v>307</v>
      </c>
      <c r="E91" t="s">
        <v>314</v>
      </c>
      <c r="F91" s="82">
        <f t="shared" si="2"/>
        <v>0</v>
      </c>
      <c r="G91">
        <v>1</v>
      </c>
      <c r="H91" t="s">
        <v>14</v>
      </c>
      <c r="I91" t="s">
        <v>318</v>
      </c>
      <c r="J91">
        <v>25.637324695238295</v>
      </c>
      <c r="K91" t="s">
        <v>1570</v>
      </c>
      <c r="L91" t="s">
        <v>19</v>
      </c>
      <c r="M91" t="s">
        <v>1576</v>
      </c>
      <c r="N91" t="s">
        <v>319</v>
      </c>
      <c r="O91" s="81">
        <v>412167.81101823086</v>
      </c>
      <c r="P91" t="s">
        <v>14</v>
      </c>
      <c r="Q91" s="81">
        <f>SAF_Cand_Refinery[[#This Row],[Max Amount]]*0.5</f>
        <v>206083.90550911543</v>
      </c>
      <c r="R91" s="81">
        <f>SAF_Cand_Refinery[[#This Row],[Max Amount]]*0.1</f>
        <v>41216.781101823086</v>
      </c>
      <c r="S91" s="81">
        <v>42735961.439999998</v>
      </c>
    </row>
    <row r="92" spans="1:19" hidden="1" x14ac:dyDescent="0.35">
      <c r="A92" t="s">
        <v>293</v>
      </c>
      <c r="B92" t="s">
        <v>294</v>
      </c>
      <c r="C92" t="s">
        <v>5</v>
      </c>
      <c r="D92" s="80" t="s">
        <v>305</v>
      </c>
      <c r="E92" t="s">
        <v>1569</v>
      </c>
      <c r="F92" s="82">
        <f t="shared" si="2"/>
        <v>0</v>
      </c>
      <c r="G92">
        <v>1</v>
      </c>
      <c r="H92" t="s">
        <v>14</v>
      </c>
      <c r="I92" t="s">
        <v>318</v>
      </c>
      <c r="J92">
        <v>34.554655024016824</v>
      </c>
      <c r="K92" t="s">
        <v>1570</v>
      </c>
      <c r="L92" t="s">
        <v>19</v>
      </c>
      <c r="M92" t="s">
        <v>1571</v>
      </c>
      <c r="N92" t="s">
        <v>319</v>
      </c>
      <c r="O92" s="81">
        <v>1529009.6215192438</v>
      </c>
      <c r="P92" t="s">
        <v>14</v>
      </c>
      <c r="Q92" s="81">
        <f>SAF_Cand_Refinery[[#This Row],[Max Amount]]*0.5</f>
        <v>764504.81075962191</v>
      </c>
      <c r="R92" s="81">
        <f>SAF_Cand_Refinery[[#This Row],[Max Amount]]*0.1</f>
        <v>152900.96215192438</v>
      </c>
      <c r="S92" s="81">
        <v>102738978</v>
      </c>
    </row>
    <row r="93" spans="1:19" hidden="1" x14ac:dyDescent="0.35">
      <c r="A93" t="s">
        <v>293</v>
      </c>
      <c r="B93" t="s">
        <v>294</v>
      </c>
      <c r="C93" t="s">
        <v>5</v>
      </c>
      <c r="D93" s="80" t="s">
        <v>305</v>
      </c>
      <c r="E93" t="s">
        <v>314</v>
      </c>
      <c r="F93" s="82">
        <f t="shared" si="2"/>
        <v>0</v>
      </c>
      <c r="G93">
        <v>1</v>
      </c>
      <c r="H93" t="s">
        <v>14</v>
      </c>
      <c r="I93" t="s">
        <v>318</v>
      </c>
      <c r="J93">
        <v>34.554655024016824</v>
      </c>
      <c r="K93" t="s">
        <v>1570</v>
      </c>
      <c r="L93" t="s">
        <v>19</v>
      </c>
      <c r="M93" t="s">
        <v>1571</v>
      </c>
      <c r="N93" t="s">
        <v>319</v>
      </c>
      <c r="O93" s="81">
        <v>305801.92430384876</v>
      </c>
      <c r="P93" t="s">
        <v>14</v>
      </c>
      <c r="Q93" s="81">
        <f>SAF_Cand_Refinery[[#This Row],[Max Amount]]*0.5</f>
        <v>152900.96215192438</v>
      </c>
      <c r="R93" s="81">
        <f>SAF_Cand_Refinery[[#This Row],[Max Amount]]*0.1</f>
        <v>30580.192430384879</v>
      </c>
      <c r="S93" s="81">
        <v>58492149.239999995</v>
      </c>
    </row>
    <row r="94" spans="1:19" hidden="1" x14ac:dyDescent="0.35">
      <c r="A94" t="s">
        <v>293</v>
      </c>
      <c r="B94" t="s">
        <v>295</v>
      </c>
      <c r="C94" t="s">
        <v>5</v>
      </c>
      <c r="D94" s="80" t="s">
        <v>305</v>
      </c>
      <c r="E94" t="s">
        <v>1569</v>
      </c>
      <c r="F94" s="82">
        <f t="shared" si="2"/>
        <v>0</v>
      </c>
      <c r="G94">
        <v>1</v>
      </c>
      <c r="H94" t="s">
        <v>14</v>
      </c>
      <c r="I94" t="s">
        <v>318</v>
      </c>
      <c r="J94">
        <v>34.554655024016824</v>
      </c>
      <c r="K94" t="s">
        <v>1570</v>
      </c>
      <c r="L94" t="s">
        <v>19</v>
      </c>
      <c r="M94" t="s">
        <v>1571</v>
      </c>
      <c r="N94" t="s">
        <v>319</v>
      </c>
      <c r="O94" s="81">
        <v>1529009.6215192438</v>
      </c>
      <c r="P94" t="s">
        <v>14</v>
      </c>
      <c r="Q94" s="81">
        <f>SAF_Cand_Refinery[[#This Row],[Max Amount]]*0.5</f>
        <v>764504.81075962191</v>
      </c>
      <c r="R94" s="81">
        <f>SAF_Cand_Refinery[[#This Row],[Max Amount]]*0.1</f>
        <v>152900.96215192438</v>
      </c>
      <c r="S94" s="81">
        <v>102738978</v>
      </c>
    </row>
    <row r="95" spans="1:19" hidden="1" x14ac:dyDescent="0.35">
      <c r="A95" t="s">
        <v>293</v>
      </c>
      <c r="B95" t="s">
        <v>295</v>
      </c>
      <c r="C95" t="s">
        <v>5</v>
      </c>
      <c r="D95" s="80" t="s">
        <v>305</v>
      </c>
      <c r="E95" t="s">
        <v>314</v>
      </c>
      <c r="F95" s="82">
        <f t="shared" si="2"/>
        <v>0</v>
      </c>
      <c r="G95">
        <v>1</v>
      </c>
      <c r="H95" t="s">
        <v>14</v>
      </c>
      <c r="I95" t="s">
        <v>318</v>
      </c>
      <c r="J95">
        <v>34.554655024016824</v>
      </c>
      <c r="K95" t="s">
        <v>1570</v>
      </c>
      <c r="L95" t="s">
        <v>19</v>
      </c>
      <c r="M95" t="s">
        <v>1571</v>
      </c>
      <c r="N95" t="s">
        <v>319</v>
      </c>
      <c r="O95" s="81">
        <v>305801.92430384876</v>
      </c>
      <c r="P95" t="s">
        <v>14</v>
      </c>
      <c r="Q95" s="81">
        <f>SAF_Cand_Refinery[[#This Row],[Max Amount]]*0.5</f>
        <v>152900.96215192438</v>
      </c>
      <c r="R95" s="81">
        <f>SAF_Cand_Refinery[[#This Row],[Max Amount]]*0.1</f>
        <v>30580.192430384879</v>
      </c>
      <c r="S95" s="81">
        <v>58492149.239999995</v>
      </c>
    </row>
    <row r="96" spans="1:19" hidden="1" x14ac:dyDescent="0.35">
      <c r="A96" t="s">
        <v>293</v>
      </c>
      <c r="B96" t="s">
        <v>296</v>
      </c>
      <c r="C96" t="s">
        <v>5</v>
      </c>
      <c r="D96" s="80" t="s">
        <v>305</v>
      </c>
      <c r="E96" t="s">
        <v>1569</v>
      </c>
      <c r="F96" s="82">
        <f t="shared" si="2"/>
        <v>0</v>
      </c>
      <c r="G96">
        <v>1</v>
      </c>
      <c r="H96" t="s">
        <v>14</v>
      </c>
      <c r="I96" t="s">
        <v>318</v>
      </c>
      <c r="J96">
        <v>34.554655024016824</v>
      </c>
      <c r="K96" t="s">
        <v>1570</v>
      </c>
      <c r="L96" t="s">
        <v>19</v>
      </c>
      <c r="M96" t="s">
        <v>1571</v>
      </c>
      <c r="N96" t="s">
        <v>319</v>
      </c>
      <c r="O96" s="81">
        <v>1529009.6215192438</v>
      </c>
      <c r="P96" t="s">
        <v>14</v>
      </c>
      <c r="Q96" s="81">
        <f>SAF_Cand_Refinery[[#This Row],[Max Amount]]*0.5</f>
        <v>764504.81075962191</v>
      </c>
      <c r="R96" s="81">
        <f>SAF_Cand_Refinery[[#This Row],[Max Amount]]*0.1</f>
        <v>152900.96215192438</v>
      </c>
      <c r="S96" s="81">
        <v>102738978</v>
      </c>
    </row>
    <row r="97" spans="1:19" hidden="1" x14ac:dyDescent="0.35">
      <c r="A97" t="s">
        <v>293</v>
      </c>
      <c r="B97" t="s">
        <v>296</v>
      </c>
      <c r="C97" t="s">
        <v>5</v>
      </c>
      <c r="D97" s="80" t="s">
        <v>305</v>
      </c>
      <c r="E97" t="s">
        <v>314</v>
      </c>
      <c r="F97" s="82">
        <f t="shared" si="2"/>
        <v>0</v>
      </c>
      <c r="G97">
        <v>1</v>
      </c>
      <c r="H97" t="s">
        <v>14</v>
      </c>
      <c r="I97" t="s">
        <v>318</v>
      </c>
      <c r="J97">
        <v>34.554655024016824</v>
      </c>
      <c r="K97" t="s">
        <v>1570</v>
      </c>
      <c r="L97" t="s">
        <v>19</v>
      </c>
      <c r="M97" t="s">
        <v>1571</v>
      </c>
      <c r="N97" t="s">
        <v>319</v>
      </c>
      <c r="O97" s="81">
        <v>305801.92430384876</v>
      </c>
      <c r="P97" t="s">
        <v>14</v>
      </c>
      <c r="Q97" s="81">
        <f>SAF_Cand_Refinery[[#This Row],[Max Amount]]*0.5</f>
        <v>152900.96215192438</v>
      </c>
      <c r="R97" s="81">
        <f>SAF_Cand_Refinery[[#This Row],[Max Amount]]*0.1</f>
        <v>30580.192430384879</v>
      </c>
      <c r="S97" s="81">
        <v>58492149.239999995</v>
      </c>
    </row>
    <row r="98" spans="1:19" hidden="1" x14ac:dyDescent="0.35">
      <c r="A98" t="s">
        <v>293</v>
      </c>
      <c r="B98" t="s">
        <v>297</v>
      </c>
      <c r="C98" t="s">
        <v>5</v>
      </c>
      <c r="D98" s="80" t="s">
        <v>305</v>
      </c>
      <c r="E98" t="s">
        <v>1569</v>
      </c>
      <c r="F98" s="82">
        <f t="shared" ref="F98:F123" si="3">SIGN(SUBTOTAL(3,A98))</f>
        <v>0</v>
      </c>
      <c r="G98">
        <v>1</v>
      </c>
      <c r="H98" t="s">
        <v>14</v>
      </c>
      <c r="I98" t="s">
        <v>318</v>
      </c>
      <c r="J98">
        <v>34.554655024016824</v>
      </c>
      <c r="K98" t="s">
        <v>1570</v>
      </c>
      <c r="L98" t="s">
        <v>19</v>
      </c>
      <c r="M98" t="s">
        <v>1571</v>
      </c>
      <c r="N98" t="s">
        <v>319</v>
      </c>
      <c r="O98" s="81">
        <v>1529009.6215192438</v>
      </c>
      <c r="P98" t="s">
        <v>14</v>
      </c>
      <c r="Q98" s="81">
        <f>SAF_Cand_Refinery[[#This Row],[Max Amount]]*0.5</f>
        <v>764504.81075962191</v>
      </c>
      <c r="R98" s="81">
        <f>SAF_Cand_Refinery[[#This Row],[Max Amount]]*0.1</f>
        <v>152900.96215192438</v>
      </c>
      <c r="S98" s="81">
        <v>102738978</v>
      </c>
    </row>
    <row r="99" spans="1:19" hidden="1" x14ac:dyDescent="0.35">
      <c r="A99" t="s">
        <v>293</v>
      </c>
      <c r="B99" t="s">
        <v>297</v>
      </c>
      <c r="C99" t="s">
        <v>5</v>
      </c>
      <c r="D99" s="80" t="s">
        <v>305</v>
      </c>
      <c r="E99" t="s">
        <v>314</v>
      </c>
      <c r="F99" s="82">
        <f t="shared" si="3"/>
        <v>0</v>
      </c>
      <c r="G99">
        <v>1</v>
      </c>
      <c r="H99" t="s">
        <v>14</v>
      </c>
      <c r="I99" t="s">
        <v>318</v>
      </c>
      <c r="J99">
        <v>34.554655024016824</v>
      </c>
      <c r="K99" t="s">
        <v>1570</v>
      </c>
      <c r="L99" t="s">
        <v>19</v>
      </c>
      <c r="M99" t="s">
        <v>1571</v>
      </c>
      <c r="N99" t="s">
        <v>319</v>
      </c>
      <c r="O99" s="81">
        <v>305801.92430384876</v>
      </c>
      <c r="P99" t="s">
        <v>14</v>
      </c>
      <c r="Q99" s="81">
        <f>SAF_Cand_Refinery[[#This Row],[Max Amount]]*0.5</f>
        <v>152900.96215192438</v>
      </c>
      <c r="R99" s="81">
        <f>SAF_Cand_Refinery[[#This Row],[Max Amount]]*0.1</f>
        <v>30580.192430384879</v>
      </c>
      <c r="S99" s="81">
        <v>58492149.239999995</v>
      </c>
    </row>
    <row r="100" spans="1:19" hidden="1" x14ac:dyDescent="0.35">
      <c r="A100" t="s">
        <v>298</v>
      </c>
      <c r="B100" t="s">
        <v>299</v>
      </c>
      <c r="C100" t="s">
        <v>5</v>
      </c>
      <c r="D100" s="80" t="s">
        <v>305</v>
      </c>
      <c r="E100" t="s">
        <v>1569</v>
      </c>
      <c r="F100" s="82">
        <f t="shared" si="3"/>
        <v>0</v>
      </c>
      <c r="G100">
        <v>1</v>
      </c>
      <c r="H100" t="s">
        <v>14</v>
      </c>
      <c r="I100" t="s">
        <v>318</v>
      </c>
      <c r="J100">
        <v>34.554655024016824</v>
      </c>
      <c r="K100" t="s">
        <v>1570</v>
      </c>
      <c r="L100" t="s">
        <v>19</v>
      </c>
      <c r="M100" t="s">
        <v>1571</v>
      </c>
      <c r="N100" t="s">
        <v>319</v>
      </c>
      <c r="O100" s="81">
        <v>1529009.6215192438</v>
      </c>
      <c r="P100" t="s">
        <v>14</v>
      </c>
      <c r="Q100" s="81">
        <f>SAF_Cand_Refinery[[#This Row],[Max Amount]]*0.5</f>
        <v>764504.81075962191</v>
      </c>
      <c r="R100" s="81">
        <f>SAF_Cand_Refinery[[#This Row],[Max Amount]]*0.1</f>
        <v>152900.96215192438</v>
      </c>
      <c r="S100" s="81">
        <v>102738978</v>
      </c>
    </row>
    <row r="101" spans="1:19" hidden="1" x14ac:dyDescent="0.35">
      <c r="A101" t="s">
        <v>298</v>
      </c>
      <c r="B101" t="s">
        <v>299</v>
      </c>
      <c r="C101" t="s">
        <v>5</v>
      </c>
      <c r="D101" s="80" t="s">
        <v>305</v>
      </c>
      <c r="E101" t="s">
        <v>314</v>
      </c>
      <c r="F101" s="82">
        <f t="shared" si="3"/>
        <v>0</v>
      </c>
      <c r="G101">
        <v>1</v>
      </c>
      <c r="H101" t="s">
        <v>14</v>
      </c>
      <c r="I101" t="s">
        <v>318</v>
      </c>
      <c r="J101">
        <v>34.554655024016824</v>
      </c>
      <c r="K101" t="s">
        <v>1570</v>
      </c>
      <c r="L101" t="s">
        <v>19</v>
      </c>
      <c r="M101" t="s">
        <v>1571</v>
      </c>
      <c r="N101" t="s">
        <v>319</v>
      </c>
      <c r="O101" s="81">
        <v>305801.92430384876</v>
      </c>
      <c r="P101" t="s">
        <v>14</v>
      </c>
      <c r="Q101" s="81">
        <f>SAF_Cand_Refinery[[#This Row],[Max Amount]]*0.5</f>
        <v>152900.96215192438</v>
      </c>
      <c r="R101" s="81">
        <f>SAF_Cand_Refinery[[#This Row],[Max Amount]]*0.1</f>
        <v>30580.192430384879</v>
      </c>
      <c r="S101" s="81">
        <v>58492149.239999995</v>
      </c>
    </row>
    <row r="102" spans="1:19" hidden="1" x14ac:dyDescent="0.35">
      <c r="A102" t="s">
        <v>300</v>
      </c>
      <c r="B102" t="s">
        <v>301</v>
      </c>
      <c r="C102" t="s">
        <v>5</v>
      </c>
      <c r="D102" s="80" t="s">
        <v>305</v>
      </c>
      <c r="E102" t="s">
        <v>1569</v>
      </c>
      <c r="F102" s="82">
        <f t="shared" si="3"/>
        <v>0</v>
      </c>
      <c r="G102">
        <v>1</v>
      </c>
      <c r="H102" t="s">
        <v>14</v>
      </c>
      <c r="I102" t="s">
        <v>318</v>
      </c>
      <c r="J102">
        <v>34.554655024016824</v>
      </c>
      <c r="K102" t="s">
        <v>1570</v>
      </c>
      <c r="L102" t="s">
        <v>19</v>
      </c>
      <c r="M102" t="s">
        <v>1571</v>
      </c>
      <c r="N102" t="s">
        <v>319</v>
      </c>
      <c r="O102" s="81">
        <v>1529009.6215192438</v>
      </c>
      <c r="P102" t="s">
        <v>14</v>
      </c>
      <c r="Q102" s="81">
        <f>SAF_Cand_Refinery[[#This Row],[Max Amount]]*0.5</f>
        <v>764504.81075962191</v>
      </c>
      <c r="R102" s="81">
        <f>SAF_Cand_Refinery[[#This Row],[Max Amount]]*0.1</f>
        <v>152900.96215192438</v>
      </c>
      <c r="S102" s="81">
        <v>102738978</v>
      </c>
    </row>
    <row r="103" spans="1:19" hidden="1" x14ac:dyDescent="0.35">
      <c r="A103" t="s">
        <v>300</v>
      </c>
      <c r="B103" t="s">
        <v>301</v>
      </c>
      <c r="C103" t="s">
        <v>5</v>
      </c>
      <c r="D103" s="80" t="s">
        <v>305</v>
      </c>
      <c r="E103" t="s">
        <v>314</v>
      </c>
      <c r="F103" s="82">
        <f t="shared" si="3"/>
        <v>0</v>
      </c>
      <c r="G103">
        <v>1</v>
      </c>
      <c r="H103" t="s">
        <v>14</v>
      </c>
      <c r="I103" t="s">
        <v>318</v>
      </c>
      <c r="J103">
        <v>34.554655024016824</v>
      </c>
      <c r="K103" t="s">
        <v>1570</v>
      </c>
      <c r="L103" t="s">
        <v>19</v>
      </c>
      <c r="M103" t="s">
        <v>1571</v>
      </c>
      <c r="N103" t="s">
        <v>319</v>
      </c>
      <c r="O103" s="81">
        <v>305801.92430384876</v>
      </c>
      <c r="P103" t="s">
        <v>14</v>
      </c>
      <c r="Q103" s="81">
        <f>SAF_Cand_Refinery[[#This Row],[Max Amount]]*0.5</f>
        <v>152900.96215192438</v>
      </c>
      <c r="R103" s="81">
        <f>SAF_Cand_Refinery[[#This Row],[Max Amount]]*0.1</f>
        <v>30580.192430384879</v>
      </c>
      <c r="S103" s="81">
        <v>58492149.239999995</v>
      </c>
    </row>
    <row r="104" spans="1:19" hidden="1" x14ac:dyDescent="0.35">
      <c r="A104" t="s">
        <v>258</v>
      </c>
      <c r="B104" t="s">
        <v>259</v>
      </c>
      <c r="C104" t="s">
        <v>5</v>
      </c>
      <c r="D104" s="80" t="s">
        <v>305</v>
      </c>
      <c r="E104" t="s">
        <v>1569</v>
      </c>
      <c r="F104" s="82">
        <f t="shared" si="3"/>
        <v>0</v>
      </c>
      <c r="G104">
        <v>1</v>
      </c>
      <c r="H104" t="s">
        <v>14</v>
      </c>
      <c r="I104" t="s">
        <v>318</v>
      </c>
      <c r="J104">
        <v>20.063993239751706</v>
      </c>
      <c r="K104" t="s">
        <v>1570</v>
      </c>
      <c r="L104" t="s">
        <v>19</v>
      </c>
      <c r="M104" t="s">
        <v>1572</v>
      </c>
      <c r="N104" t="s">
        <v>319</v>
      </c>
      <c r="O104" s="81">
        <v>2106635.4785376247</v>
      </c>
      <c r="P104" t="s">
        <v>14</v>
      </c>
      <c r="Q104" s="81">
        <f>SAF_Cand_Refinery[[#This Row],[Max Amount]]*0.5</f>
        <v>1053317.7392688124</v>
      </c>
      <c r="R104" s="81">
        <f>SAF_Cand_Refinery[[#This Row],[Max Amount]]*0.1</f>
        <v>210663.54785376249</v>
      </c>
      <c r="S104" s="81">
        <v>116408730</v>
      </c>
    </row>
    <row r="105" spans="1:19" hidden="1" x14ac:dyDescent="0.35">
      <c r="A105" t="s">
        <v>258</v>
      </c>
      <c r="B105" t="s">
        <v>259</v>
      </c>
      <c r="C105" t="s">
        <v>5</v>
      </c>
      <c r="D105" s="80" t="s">
        <v>305</v>
      </c>
      <c r="E105" t="s">
        <v>314</v>
      </c>
      <c r="F105" s="82">
        <f t="shared" si="3"/>
        <v>0</v>
      </c>
      <c r="G105">
        <v>1</v>
      </c>
      <c r="H105" t="s">
        <v>14</v>
      </c>
      <c r="I105" t="s">
        <v>318</v>
      </c>
      <c r="J105">
        <v>20.063993239751706</v>
      </c>
      <c r="K105" t="s">
        <v>1570</v>
      </c>
      <c r="L105" t="s">
        <v>19</v>
      </c>
      <c r="M105" t="s">
        <v>1572</v>
      </c>
      <c r="N105" t="s">
        <v>319</v>
      </c>
      <c r="O105" s="81">
        <v>526658.86963440618</v>
      </c>
      <c r="P105" t="s">
        <v>14</v>
      </c>
      <c r="Q105" s="81">
        <f>SAF_Cand_Refinery[[#This Row],[Max Amount]]*0.5</f>
        <v>263329.43481720309</v>
      </c>
      <c r="R105" s="81">
        <f>SAF_Cand_Refinery[[#This Row],[Max Amount]]*0.1</f>
        <v>52665.886963440622</v>
      </c>
      <c r="S105" s="81">
        <v>78277316.519999996</v>
      </c>
    </row>
    <row r="106" spans="1:19" hidden="1" x14ac:dyDescent="0.35">
      <c r="A106" t="s">
        <v>258</v>
      </c>
      <c r="B106" t="s">
        <v>259</v>
      </c>
      <c r="C106" t="s">
        <v>5</v>
      </c>
      <c r="D106" s="80" t="s">
        <v>307</v>
      </c>
      <c r="E106" t="s">
        <v>1569</v>
      </c>
      <c r="F106" s="82">
        <f t="shared" si="3"/>
        <v>0</v>
      </c>
      <c r="G106">
        <v>1</v>
      </c>
      <c r="H106" t="s">
        <v>14</v>
      </c>
      <c r="I106" t="s">
        <v>318</v>
      </c>
      <c r="J106">
        <v>28.841990282143083</v>
      </c>
      <c r="K106" t="s">
        <v>1570</v>
      </c>
      <c r="L106" t="s">
        <v>19</v>
      </c>
      <c r="M106" t="s">
        <v>1576</v>
      </c>
      <c r="N106" t="s">
        <v>319</v>
      </c>
      <c r="O106" s="81">
        <v>1648671.2440729232</v>
      </c>
      <c r="P106" t="s">
        <v>14</v>
      </c>
      <c r="Q106" s="81">
        <f>SAF_Cand_Refinery[[#This Row],[Max Amount]]*0.5</f>
        <v>824335.6220364616</v>
      </c>
      <c r="R106" s="81">
        <f>SAF_Cand_Refinery[[#This Row],[Max Amount]]*0.1</f>
        <v>164867.12440729234</v>
      </c>
      <c r="S106" s="81">
        <v>74680013.400000006</v>
      </c>
    </row>
    <row r="107" spans="1:19" hidden="1" x14ac:dyDescent="0.35">
      <c r="A107" t="s">
        <v>258</v>
      </c>
      <c r="B107" t="s">
        <v>259</v>
      </c>
      <c r="C107" t="s">
        <v>5</v>
      </c>
      <c r="D107" s="80" t="s">
        <v>307</v>
      </c>
      <c r="E107" t="s">
        <v>314</v>
      </c>
      <c r="F107" s="82">
        <f t="shared" si="3"/>
        <v>0</v>
      </c>
      <c r="G107">
        <v>1</v>
      </c>
      <c r="H107" t="s">
        <v>14</v>
      </c>
      <c r="I107" t="s">
        <v>318</v>
      </c>
      <c r="J107">
        <v>25.637324695238295</v>
      </c>
      <c r="K107" t="s">
        <v>1570</v>
      </c>
      <c r="L107" t="s">
        <v>19</v>
      </c>
      <c r="M107" t="s">
        <v>1576</v>
      </c>
      <c r="N107" t="s">
        <v>319</v>
      </c>
      <c r="O107" s="81">
        <v>412167.81101823086</v>
      </c>
      <c r="P107" t="s">
        <v>14</v>
      </c>
      <c r="Q107" s="81">
        <f>SAF_Cand_Refinery[[#This Row],[Max Amount]]*0.5</f>
        <v>206083.90550911543</v>
      </c>
      <c r="R107" s="81">
        <f>SAF_Cand_Refinery[[#This Row],[Max Amount]]*0.1</f>
        <v>41216.781101823086</v>
      </c>
      <c r="S107" s="81">
        <v>42735961.439999998</v>
      </c>
    </row>
    <row r="108" spans="1:19" hidden="1" x14ac:dyDescent="0.35">
      <c r="A108" t="s">
        <v>258</v>
      </c>
      <c r="B108" t="s">
        <v>264</v>
      </c>
      <c r="C108" t="s">
        <v>5</v>
      </c>
      <c r="D108" s="80" t="s">
        <v>305</v>
      </c>
      <c r="E108" t="s">
        <v>1569</v>
      </c>
      <c r="F108" s="82">
        <f t="shared" si="3"/>
        <v>0</v>
      </c>
      <c r="G108">
        <v>1</v>
      </c>
      <c r="H108" t="s">
        <v>14</v>
      </c>
      <c r="I108" t="s">
        <v>318</v>
      </c>
      <c r="J108">
        <v>20.063993239751706</v>
      </c>
      <c r="K108" t="s">
        <v>1570</v>
      </c>
      <c r="L108" t="s">
        <v>19</v>
      </c>
      <c r="M108" t="s">
        <v>1572</v>
      </c>
      <c r="N108" t="s">
        <v>319</v>
      </c>
      <c r="O108" s="81">
        <v>2106635.4785376247</v>
      </c>
      <c r="P108" t="s">
        <v>14</v>
      </c>
      <c r="Q108" s="81">
        <f>SAF_Cand_Refinery[[#This Row],[Max Amount]]*0.5</f>
        <v>1053317.7392688124</v>
      </c>
      <c r="R108" s="81">
        <f>SAF_Cand_Refinery[[#This Row],[Max Amount]]*0.1</f>
        <v>210663.54785376249</v>
      </c>
      <c r="S108" s="81">
        <v>116408730</v>
      </c>
    </row>
    <row r="109" spans="1:19" hidden="1" x14ac:dyDescent="0.35">
      <c r="A109" t="s">
        <v>258</v>
      </c>
      <c r="B109" t="s">
        <v>264</v>
      </c>
      <c r="C109" t="s">
        <v>5</v>
      </c>
      <c r="D109" s="80" t="s">
        <v>305</v>
      </c>
      <c r="E109" t="s">
        <v>314</v>
      </c>
      <c r="F109" s="82">
        <f t="shared" si="3"/>
        <v>0</v>
      </c>
      <c r="G109">
        <v>1</v>
      </c>
      <c r="H109" t="s">
        <v>14</v>
      </c>
      <c r="I109" t="s">
        <v>318</v>
      </c>
      <c r="J109">
        <v>20.063993239751706</v>
      </c>
      <c r="K109" t="s">
        <v>1570</v>
      </c>
      <c r="L109" t="s">
        <v>19</v>
      </c>
      <c r="M109" t="s">
        <v>1572</v>
      </c>
      <c r="N109" t="s">
        <v>319</v>
      </c>
      <c r="O109" s="81">
        <v>526658.86963440618</v>
      </c>
      <c r="P109" t="s">
        <v>14</v>
      </c>
      <c r="Q109" s="81">
        <f>SAF_Cand_Refinery[[#This Row],[Max Amount]]*0.5</f>
        <v>263329.43481720309</v>
      </c>
      <c r="R109" s="81">
        <f>SAF_Cand_Refinery[[#This Row],[Max Amount]]*0.1</f>
        <v>52665.886963440622</v>
      </c>
      <c r="S109" s="81">
        <v>78277316.519999996</v>
      </c>
    </row>
    <row r="110" spans="1:19" hidden="1" x14ac:dyDescent="0.35">
      <c r="A110" t="s">
        <v>258</v>
      </c>
      <c r="B110" t="s">
        <v>264</v>
      </c>
      <c r="C110" t="s">
        <v>5</v>
      </c>
      <c r="D110" s="80" t="s">
        <v>307</v>
      </c>
      <c r="E110" t="s">
        <v>1569</v>
      </c>
      <c r="F110" s="82">
        <f t="shared" si="3"/>
        <v>0</v>
      </c>
      <c r="G110">
        <v>1</v>
      </c>
      <c r="H110" t="s">
        <v>14</v>
      </c>
      <c r="I110" t="s">
        <v>318</v>
      </c>
      <c r="J110">
        <v>28.841990282143083</v>
      </c>
      <c r="K110" t="s">
        <v>1570</v>
      </c>
      <c r="L110" t="s">
        <v>19</v>
      </c>
      <c r="M110" t="s">
        <v>1576</v>
      </c>
      <c r="N110" t="s">
        <v>319</v>
      </c>
      <c r="O110" s="81">
        <v>1648671.2440729232</v>
      </c>
      <c r="P110" t="s">
        <v>14</v>
      </c>
      <c r="Q110" s="81">
        <f>SAF_Cand_Refinery[[#This Row],[Max Amount]]*0.5</f>
        <v>824335.6220364616</v>
      </c>
      <c r="R110" s="81">
        <f>SAF_Cand_Refinery[[#This Row],[Max Amount]]*0.1</f>
        <v>164867.12440729234</v>
      </c>
      <c r="S110" s="81">
        <v>74680013.400000006</v>
      </c>
    </row>
    <row r="111" spans="1:19" hidden="1" x14ac:dyDescent="0.35">
      <c r="A111" t="s">
        <v>258</v>
      </c>
      <c r="B111" t="s">
        <v>264</v>
      </c>
      <c r="C111" t="s">
        <v>5</v>
      </c>
      <c r="D111" s="80" t="s">
        <v>307</v>
      </c>
      <c r="E111" t="s">
        <v>314</v>
      </c>
      <c r="F111" s="82">
        <f t="shared" si="3"/>
        <v>0</v>
      </c>
      <c r="G111">
        <v>1</v>
      </c>
      <c r="H111" t="s">
        <v>14</v>
      </c>
      <c r="I111" t="s">
        <v>318</v>
      </c>
      <c r="J111">
        <v>25.637324695238295</v>
      </c>
      <c r="K111" t="s">
        <v>1570</v>
      </c>
      <c r="L111" t="s">
        <v>19</v>
      </c>
      <c r="M111" t="s">
        <v>1576</v>
      </c>
      <c r="N111" t="s">
        <v>319</v>
      </c>
      <c r="O111" s="81">
        <v>412167.81101823086</v>
      </c>
      <c r="P111" t="s">
        <v>14</v>
      </c>
      <c r="Q111" s="81">
        <f>SAF_Cand_Refinery[[#This Row],[Max Amount]]*0.5</f>
        <v>206083.90550911543</v>
      </c>
      <c r="R111" s="81">
        <f>SAF_Cand_Refinery[[#This Row],[Max Amount]]*0.1</f>
        <v>41216.781101823086</v>
      </c>
      <c r="S111" s="81">
        <v>42735961.439999998</v>
      </c>
    </row>
    <row r="112" spans="1:19" hidden="1" x14ac:dyDescent="0.35">
      <c r="A112" t="s">
        <v>258</v>
      </c>
      <c r="B112" t="s">
        <v>268</v>
      </c>
      <c r="C112" t="s">
        <v>5</v>
      </c>
      <c r="D112" s="80" t="s">
        <v>305</v>
      </c>
      <c r="E112" t="s">
        <v>1569</v>
      </c>
      <c r="F112" s="82">
        <f t="shared" si="3"/>
        <v>0</v>
      </c>
      <c r="G112">
        <v>1</v>
      </c>
      <c r="H112" t="s">
        <v>14</v>
      </c>
      <c r="I112" t="s">
        <v>318</v>
      </c>
      <c r="J112">
        <v>20.063993239751706</v>
      </c>
      <c r="K112" t="s">
        <v>1570</v>
      </c>
      <c r="L112" t="s">
        <v>19</v>
      </c>
      <c r="M112" t="s">
        <v>1572</v>
      </c>
      <c r="N112" t="s">
        <v>319</v>
      </c>
      <c r="O112" s="81">
        <v>2106635.4785376247</v>
      </c>
      <c r="P112" t="s">
        <v>14</v>
      </c>
      <c r="Q112" s="81">
        <f>SAF_Cand_Refinery[[#This Row],[Max Amount]]*0.5</f>
        <v>1053317.7392688124</v>
      </c>
      <c r="R112" s="81">
        <f>SAF_Cand_Refinery[[#This Row],[Max Amount]]*0.1</f>
        <v>210663.54785376249</v>
      </c>
      <c r="S112" s="81">
        <v>116408730</v>
      </c>
    </row>
    <row r="113" spans="1:19" hidden="1" x14ac:dyDescent="0.35">
      <c r="A113" t="s">
        <v>258</v>
      </c>
      <c r="B113" t="s">
        <v>268</v>
      </c>
      <c r="C113" t="s">
        <v>5</v>
      </c>
      <c r="D113" s="80" t="s">
        <v>305</v>
      </c>
      <c r="E113" t="s">
        <v>314</v>
      </c>
      <c r="F113" s="82">
        <f t="shared" si="3"/>
        <v>0</v>
      </c>
      <c r="G113">
        <v>1</v>
      </c>
      <c r="H113" t="s">
        <v>14</v>
      </c>
      <c r="I113" t="s">
        <v>318</v>
      </c>
      <c r="J113">
        <v>20.063993239751706</v>
      </c>
      <c r="K113" t="s">
        <v>1570</v>
      </c>
      <c r="L113" t="s">
        <v>19</v>
      </c>
      <c r="M113" t="s">
        <v>1572</v>
      </c>
      <c r="N113" t="s">
        <v>319</v>
      </c>
      <c r="O113" s="81">
        <v>526658.86963440618</v>
      </c>
      <c r="P113" t="s">
        <v>14</v>
      </c>
      <c r="Q113" s="81">
        <f>SAF_Cand_Refinery[[#This Row],[Max Amount]]*0.5</f>
        <v>263329.43481720309</v>
      </c>
      <c r="R113" s="81">
        <f>SAF_Cand_Refinery[[#This Row],[Max Amount]]*0.1</f>
        <v>52665.886963440622</v>
      </c>
      <c r="S113" s="81">
        <v>78277316.519999996</v>
      </c>
    </row>
    <row r="114" spans="1:19" hidden="1" x14ac:dyDescent="0.35">
      <c r="A114" t="s">
        <v>258</v>
      </c>
      <c r="B114" t="s">
        <v>268</v>
      </c>
      <c r="C114" t="s">
        <v>5</v>
      </c>
      <c r="D114" s="80" t="s">
        <v>307</v>
      </c>
      <c r="E114" t="s">
        <v>1569</v>
      </c>
      <c r="F114" s="82">
        <f t="shared" si="3"/>
        <v>0</v>
      </c>
      <c r="G114">
        <v>1</v>
      </c>
      <c r="H114" t="s">
        <v>14</v>
      </c>
      <c r="I114" t="s">
        <v>318</v>
      </c>
      <c r="J114">
        <v>28.841990282143083</v>
      </c>
      <c r="K114" t="s">
        <v>1570</v>
      </c>
      <c r="L114" t="s">
        <v>19</v>
      </c>
      <c r="M114" t="s">
        <v>1576</v>
      </c>
      <c r="N114" t="s">
        <v>319</v>
      </c>
      <c r="O114" s="81">
        <v>1648671.2440729232</v>
      </c>
      <c r="P114" t="s">
        <v>14</v>
      </c>
      <c r="Q114" s="81">
        <f>SAF_Cand_Refinery[[#This Row],[Max Amount]]*0.5</f>
        <v>824335.6220364616</v>
      </c>
      <c r="R114" s="81">
        <f>SAF_Cand_Refinery[[#This Row],[Max Amount]]*0.1</f>
        <v>164867.12440729234</v>
      </c>
      <c r="S114" s="81">
        <v>74680013.400000006</v>
      </c>
    </row>
    <row r="115" spans="1:19" hidden="1" x14ac:dyDescent="0.35">
      <c r="A115" t="s">
        <v>258</v>
      </c>
      <c r="B115" t="s">
        <v>268</v>
      </c>
      <c r="C115" t="s">
        <v>5</v>
      </c>
      <c r="D115" s="80" t="s">
        <v>307</v>
      </c>
      <c r="E115" t="s">
        <v>314</v>
      </c>
      <c r="F115" s="82">
        <f t="shared" si="3"/>
        <v>0</v>
      </c>
      <c r="G115">
        <v>1</v>
      </c>
      <c r="H115" t="s">
        <v>14</v>
      </c>
      <c r="I115" t="s">
        <v>318</v>
      </c>
      <c r="J115">
        <v>25.637324695238295</v>
      </c>
      <c r="K115" t="s">
        <v>1570</v>
      </c>
      <c r="L115" t="s">
        <v>19</v>
      </c>
      <c r="M115" t="s">
        <v>1576</v>
      </c>
      <c r="N115" t="s">
        <v>319</v>
      </c>
      <c r="O115" s="81">
        <v>412167.81101823086</v>
      </c>
      <c r="P115" t="s">
        <v>14</v>
      </c>
      <c r="Q115" s="81">
        <f>SAF_Cand_Refinery[[#This Row],[Max Amount]]*0.5</f>
        <v>206083.90550911543</v>
      </c>
      <c r="R115" s="81">
        <f>SAF_Cand_Refinery[[#This Row],[Max Amount]]*0.1</f>
        <v>41216.781101823086</v>
      </c>
      <c r="S115" s="81">
        <v>42735961.439999998</v>
      </c>
    </row>
    <row r="116" spans="1:19" hidden="1" x14ac:dyDescent="0.35">
      <c r="A116" t="s">
        <v>258</v>
      </c>
      <c r="B116" t="s">
        <v>263</v>
      </c>
      <c r="C116" t="s">
        <v>5</v>
      </c>
      <c r="D116" s="80" t="s">
        <v>305</v>
      </c>
      <c r="E116" t="s">
        <v>1569</v>
      </c>
      <c r="F116" s="82">
        <f t="shared" si="3"/>
        <v>0</v>
      </c>
      <c r="G116">
        <v>1</v>
      </c>
      <c r="H116" t="s">
        <v>14</v>
      </c>
      <c r="I116" t="s">
        <v>318</v>
      </c>
      <c r="J116">
        <v>20.063993239751706</v>
      </c>
      <c r="K116" t="s">
        <v>1570</v>
      </c>
      <c r="L116" t="s">
        <v>19</v>
      </c>
      <c r="M116" t="s">
        <v>1572</v>
      </c>
      <c r="N116" t="s">
        <v>319</v>
      </c>
      <c r="O116" s="81">
        <v>2106635.4785376247</v>
      </c>
      <c r="P116" t="s">
        <v>14</v>
      </c>
      <c r="Q116" s="81">
        <f>SAF_Cand_Refinery[[#This Row],[Max Amount]]*0.5</f>
        <v>1053317.7392688124</v>
      </c>
      <c r="R116" s="81">
        <f>SAF_Cand_Refinery[[#This Row],[Max Amount]]*0.1</f>
        <v>210663.54785376249</v>
      </c>
      <c r="S116" s="81">
        <v>116408730</v>
      </c>
    </row>
    <row r="117" spans="1:19" hidden="1" x14ac:dyDescent="0.35">
      <c r="A117" t="s">
        <v>258</v>
      </c>
      <c r="B117" t="s">
        <v>263</v>
      </c>
      <c r="C117" t="s">
        <v>5</v>
      </c>
      <c r="D117" s="80" t="s">
        <v>305</v>
      </c>
      <c r="E117" t="s">
        <v>314</v>
      </c>
      <c r="F117" s="82">
        <f t="shared" si="3"/>
        <v>0</v>
      </c>
      <c r="G117">
        <v>1</v>
      </c>
      <c r="H117" t="s">
        <v>14</v>
      </c>
      <c r="I117" t="s">
        <v>318</v>
      </c>
      <c r="J117">
        <v>20.063993239751706</v>
      </c>
      <c r="K117" t="s">
        <v>1570</v>
      </c>
      <c r="L117" t="s">
        <v>19</v>
      </c>
      <c r="M117" t="s">
        <v>1572</v>
      </c>
      <c r="N117" t="s">
        <v>319</v>
      </c>
      <c r="O117" s="81">
        <v>526658.86963440618</v>
      </c>
      <c r="P117" t="s">
        <v>14</v>
      </c>
      <c r="Q117" s="81">
        <f>SAF_Cand_Refinery[[#This Row],[Max Amount]]*0.5</f>
        <v>263329.43481720309</v>
      </c>
      <c r="R117" s="81">
        <f>SAF_Cand_Refinery[[#This Row],[Max Amount]]*0.1</f>
        <v>52665.886963440622</v>
      </c>
      <c r="S117" s="81">
        <v>78277316.519999996</v>
      </c>
    </row>
    <row r="118" spans="1:19" hidden="1" x14ac:dyDescent="0.35">
      <c r="A118" t="s">
        <v>258</v>
      </c>
      <c r="B118" t="s">
        <v>263</v>
      </c>
      <c r="C118" t="s">
        <v>5</v>
      </c>
      <c r="D118" s="80" t="s">
        <v>307</v>
      </c>
      <c r="E118" t="s">
        <v>1569</v>
      </c>
      <c r="F118" s="82">
        <f t="shared" si="3"/>
        <v>0</v>
      </c>
      <c r="G118">
        <v>1</v>
      </c>
      <c r="H118" t="s">
        <v>14</v>
      </c>
      <c r="I118" t="s">
        <v>318</v>
      </c>
      <c r="J118">
        <v>28.841990282143083</v>
      </c>
      <c r="K118" t="s">
        <v>1570</v>
      </c>
      <c r="L118" t="s">
        <v>19</v>
      </c>
      <c r="M118" t="s">
        <v>1576</v>
      </c>
      <c r="N118" t="s">
        <v>319</v>
      </c>
      <c r="O118" s="81">
        <v>1648671.2440729232</v>
      </c>
      <c r="P118" t="s">
        <v>14</v>
      </c>
      <c r="Q118" s="81">
        <f>SAF_Cand_Refinery[[#This Row],[Max Amount]]*0.5</f>
        <v>824335.6220364616</v>
      </c>
      <c r="R118" s="81">
        <f>SAF_Cand_Refinery[[#This Row],[Max Amount]]*0.1</f>
        <v>164867.12440729234</v>
      </c>
      <c r="S118" s="81">
        <v>74680013.400000006</v>
      </c>
    </row>
    <row r="119" spans="1:19" hidden="1" x14ac:dyDescent="0.35">
      <c r="A119" t="s">
        <v>258</v>
      </c>
      <c r="B119" t="s">
        <v>263</v>
      </c>
      <c r="C119" t="s">
        <v>5</v>
      </c>
      <c r="D119" s="80" t="s">
        <v>307</v>
      </c>
      <c r="E119" t="s">
        <v>314</v>
      </c>
      <c r="F119" s="82">
        <f t="shared" si="3"/>
        <v>0</v>
      </c>
      <c r="G119">
        <v>1</v>
      </c>
      <c r="H119" t="s">
        <v>14</v>
      </c>
      <c r="I119" t="s">
        <v>318</v>
      </c>
      <c r="J119">
        <v>25.637324695238295</v>
      </c>
      <c r="K119" t="s">
        <v>1570</v>
      </c>
      <c r="L119" t="s">
        <v>19</v>
      </c>
      <c r="M119" t="s">
        <v>1576</v>
      </c>
      <c r="N119" t="s">
        <v>319</v>
      </c>
      <c r="O119" s="81">
        <v>412167.81101823086</v>
      </c>
      <c r="P119" t="s">
        <v>14</v>
      </c>
      <c r="Q119" s="81">
        <f>SAF_Cand_Refinery[[#This Row],[Max Amount]]*0.5</f>
        <v>206083.90550911543</v>
      </c>
      <c r="R119" s="81">
        <f>SAF_Cand_Refinery[[#This Row],[Max Amount]]*0.1</f>
        <v>41216.781101823086</v>
      </c>
      <c r="S119" s="81">
        <v>42735961.439999998</v>
      </c>
    </row>
    <row r="120" spans="1:19" hidden="1" x14ac:dyDescent="0.35">
      <c r="A120" t="s">
        <v>258</v>
      </c>
      <c r="B120" t="s">
        <v>262</v>
      </c>
      <c r="C120" t="s">
        <v>5</v>
      </c>
      <c r="D120" s="80" t="s">
        <v>305</v>
      </c>
      <c r="E120" t="s">
        <v>1569</v>
      </c>
      <c r="F120" s="82">
        <f t="shared" si="3"/>
        <v>0</v>
      </c>
      <c r="G120">
        <v>1</v>
      </c>
      <c r="H120" t="s">
        <v>14</v>
      </c>
      <c r="I120" t="s">
        <v>318</v>
      </c>
      <c r="J120">
        <v>20.063993239751706</v>
      </c>
      <c r="K120" t="s">
        <v>1570</v>
      </c>
      <c r="L120" t="s">
        <v>19</v>
      </c>
      <c r="M120" t="s">
        <v>1572</v>
      </c>
      <c r="N120" t="s">
        <v>319</v>
      </c>
      <c r="O120" s="81">
        <v>2106635.4785376247</v>
      </c>
      <c r="P120" t="s">
        <v>14</v>
      </c>
      <c r="Q120" s="81">
        <f>SAF_Cand_Refinery[[#This Row],[Max Amount]]*0.5</f>
        <v>1053317.7392688124</v>
      </c>
      <c r="R120" s="81">
        <f>SAF_Cand_Refinery[[#This Row],[Max Amount]]*0.1</f>
        <v>210663.54785376249</v>
      </c>
      <c r="S120" s="81">
        <v>116408730</v>
      </c>
    </row>
    <row r="121" spans="1:19" hidden="1" x14ac:dyDescent="0.35">
      <c r="A121" t="s">
        <v>258</v>
      </c>
      <c r="B121" t="s">
        <v>262</v>
      </c>
      <c r="C121" t="s">
        <v>5</v>
      </c>
      <c r="D121" s="80" t="s">
        <v>305</v>
      </c>
      <c r="E121" t="s">
        <v>314</v>
      </c>
      <c r="F121" s="82">
        <f t="shared" si="3"/>
        <v>0</v>
      </c>
      <c r="G121">
        <v>1</v>
      </c>
      <c r="H121" t="s">
        <v>14</v>
      </c>
      <c r="I121" t="s">
        <v>318</v>
      </c>
      <c r="J121">
        <v>20.063993239751706</v>
      </c>
      <c r="K121" t="s">
        <v>1570</v>
      </c>
      <c r="L121" t="s">
        <v>19</v>
      </c>
      <c r="M121" t="s">
        <v>1572</v>
      </c>
      <c r="N121" t="s">
        <v>319</v>
      </c>
      <c r="O121" s="81">
        <v>526658.86963440618</v>
      </c>
      <c r="P121" t="s">
        <v>14</v>
      </c>
      <c r="Q121" s="81">
        <f>SAF_Cand_Refinery[[#This Row],[Max Amount]]*0.5</f>
        <v>263329.43481720309</v>
      </c>
      <c r="R121" s="81">
        <f>SAF_Cand_Refinery[[#This Row],[Max Amount]]*0.1</f>
        <v>52665.886963440622</v>
      </c>
      <c r="S121" s="81">
        <v>78277316.519999996</v>
      </c>
    </row>
    <row r="122" spans="1:19" hidden="1" x14ac:dyDescent="0.35">
      <c r="A122" t="s">
        <v>258</v>
      </c>
      <c r="B122" t="s">
        <v>262</v>
      </c>
      <c r="C122" t="s">
        <v>5</v>
      </c>
      <c r="D122" s="80" t="s">
        <v>307</v>
      </c>
      <c r="E122" t="s">
        <v>1569</v>
      </c>
      <c r="F122" s="82">
        <f t="shared" si="3"/>
        <v>0</v>
      </c>
      <c r="G122">
        <v>1</v>
      </c>
      <c r="H122" t="s">
        <v>14</v>
      </c>
      <c r="I122" t="s">
        <v>318</v>
      </c>
      <c r="J122">
        <v>28.841990282143083</v>
      </c>
      <c r="K122" t="s">
        <v>1570</v>
      </c>
      <c r="L122" t="s">
        <v>19</v>
      </c>
      <c r="M122" t="s">
        <v>1576</v>
      </c>
      <c r="N122" t="s">
        <v>319</v>
      </c>
      <c r="O122" s="81">
        <v>1648671.2440729232</v>
      </c>
      <c r="P122" t="s">
        <v>14</v>
      </c>
      <c r="Q122" s="81">
        <f>SAF_Cand_Refinery[[#This Row],[Max Amount]]*0.5</f>
        <v>824335.6220364616</v>
      </c>
      <c r="R122" s="81">
        <f>SAF_Cand_Refinery[[#This Row],[Max Amount]]*0.1</f>
        <v>164867.12440729234</v>
      </c>
      <c r="S122" s="81">
        <v>74680013.400000006</v>
      </c>
    </row>
    <row r="123" spans="1:19" hidden="1" x14ac:dyDescent="0.35">
      <c r="A123" t="s">
        <v>258</v>
      </c>
      <c r="B123" t="s">
        <v>262</v>
      </c>
      <c r="C123" t="s">
        <v>5</v>
      </c>
      <c r="D123" s="80" t="s">
        <v>307</v>
      </c>
      <c r="E123" t="s">
        <v>314</v>
      </c>
      <c r="F123" s="82">
        <f t="shared" si="3"/>
        <v>0</v>
      </c>
      <c r="G123">
        <v>1</v>
      </c>
      <c r="H123" t="s">
        <v>14</v>
      </c>
      <c r="I123" t="s">
        <v>318</v>
      </c>
      <c r="J123">
        <v>25.637324695238295</v>
      </c>
      <c r="K123" t="s">
        <v>1570</v>
      </c>
      <c r="L123" t="s">
        <v>19</v>
      </c>
      <c r="M123" t="s">
        <v>1576</v>
      </c>
      <c r="N123" t="s">
        <v>319</v>
      </c>
      <c r="O123" s="81">
        <v>412167.81101823086</v>
      </c>
      <c r="P123" t="s">
        <v>14</v>
      </c>
      <c r="Q123" s="81">
        <f>SAF_Cand_Refinery[[#This Row],[Max Amount]]*0.5</f>
        <v>206083.90550911543</v>
      </c>
      <c r="R123" s="81">
        <f>SAF_Cand_Refinery[[#This Row],[Max Amount]]*0.1</f>
        <v>41216.781101823086</v>
      </c>
      <c r="S123" s="81">
        <v>42735961.439999998</v>
      </c>
    </row>
    <row r="124" spans="1:19" hidden="1" x14ac:dyDescent="0.35">
      <c r="A124" t="s">
        <v>1674</v>
      </c>
      <c r="B124" t="s">
        <v>1674</v>
      </c>
      <c r="C124" t="s">
        <v>22</v>
      </c>
      <c r="D124" t="s">
        <v>1675</v>
      </c>
      <c r="E124" t="s">
        <v>1569</v>
      </c>
      <c r="F124" s="82">
        <f>SIGN(SUBTOTAL(3,A124))</f>
        <v>0</v>
      </c>
      <c r="G124" s="107">
        <v>1</v>
      </c>
      <c r="H124" s="107" t="s">
        <v>1570</v>
      </c>
      <c r="I124" t="s">
        <v>318</v>
      </c>
      <c r="J124">
        <v>0.38581421178327058</v>
      </c>
      <c r="K124" t="s">
        <v>1570</v>
      </c>
      <c r="L124" t="s">
        <v>19</v>
      </c>
      <c r="M124" t="s">
        <v>1673</v>
      </c>
      <c r="N124" t="s">
        <v>319</v>
      </c>
      <c r="O124">
        <v>479299088.4013319</v>
      </c>
      <c r="P124" t="s">
        <v>42</v>
      </c>
      <c r="Q124" s="149">
        <f>SAF_Cand_Refinery[[#This Row],[Max Amount]]*0.5</f>
        <v>239649544.20066595</v>
      </c>
      <c r="R124" s="149">
        <f>SAF_Cand_Refinery[[#This Row],[Max Amount]]*0.1</f>
        <v>47929908.84013319</v>
      </c>
      <c r="S124">
        <v>23598308.640000001</v>
      </c>
    </row>
    <row r="125" spans="1:19" hidden="1" x14ac:dyDescent="0.35">
      <c r="A125" t="s">
        <v>1674</v>
      </c>
      <c r="B125" t="s">
        <v>1674</v>
      </c>
      <c r="C125" t="s">
        <v>22</v>
      </c>
      <c r="D125" t="s">
        <v>1675</v>
      </c>
      <c r="E125" t="s">
        <v>314</v>
      </c>
      <c r="F125" s="82">
        <f>SIGN(SUBTOTAL(3,A125))</f>
        <v>0</v>
      </c>
      <c r="G125" s="107">
        <v>1</v>
      </c>
      <c r="H125" s="107" t="s">
        <v>1570</v>
      </c>
      <c r="I125" t="s">
        <v>318</v>
      </c>
      <c r="J125">
        <v>0.38581421178327058</v>
      </c>
      <c r="K125" t="s">
        <v>1570</v>
      </c>
      <c r="L125" t="s">
        <v>19</v>
      </c>
      <c r="M125" t="s">
        <v>1673</v>
      </c>
      <c r="N125" t="s">
        <v>319</v>
      </c>
      <c r="O125">
        <v>47929908.84013319</v>
      </c>
      <c r="P125" t="s">
        <v>42</v>
      </c>
      <c r="Q125" s="149">
        <f>SAF_Cand_Refinery[[#This Row],[Max Amount]]*0.5</f>
        <v>23964954.420066595</v>
      </c>
      <c r="R125" s="149">
        <f>SAF_Cand_Refinery[[#This Row],[Max Amount]]*0.1</f>
        <v>4792990.8840133194</v>
      </c>
      <c r="S125">
        <v>8417689.3200000003</v>
      </c>
    </row>
    <row r="126" spans="1:19" hidden="1" x14ac:dyDescent="0.35">
      <c r="A126" t="s">
        <v>2844</v>
      </c>
      <c r="B126" t="s">
        <v>2835</v>
      </c>
      <c r="C126" t="s">
        <v>5</v>
      </c>
      <c r="D126" t="s">
        <v>305</v>
      </c>
      <c r="E126" t="s">
        <v>1569</v>
      </c>
      <c r="F126" s="82">
        <f t="shared" ref="F126:F157" si="4">SIGN(SUBTOTAL(3,A126))</f>
        <v>0</v>
      </c>
      <c r="G126">
        <v>1</v>
      </c>
      <c r="H126" t="s">
        <v>14</v>
      </c>
      <c r="I126" t="s">
        <v>318</v>
      </c>
      <c r="J126">
        <v>15.60532807536244</v>
      </c>
      <c r="K126" t="s">
        <v>1570</v>
      </c>
      <c r="L126" t="s">
        <v>19</v>
      </c>
      <c r="M126" t="s">
        <v>2831</v>
      </c>
      <c r="N126" t="s">
        <v>319</v>
      </c>
      <c r="O126">
        <v>2031398.4971612808</v>
      </c>
      <c r="P126" t="s">
        <v>14</v>
      </c>
      <c r="Q126" s="149">
        <f>SAF_Cand_Refinery[[#This Row],[Max Amount]]*0.5</f>
        <v>1015699.2485806404</v>
      </c>
      <c r="R126" s="149">
        <f>SAF_Cand_Refinery[[#This Row],[Max Amount]]*0.1</f>
        <v>203139.84971612808</v>
      </c>
      <c r="S126">
        <v>108566609.03999999</v>
      </c>
    </row>
    <row r="127" spans="1:19" hidden="1" x14ac:dyDescent="0.35">
      <c r="A127" t="s">
        <v>2844</v>
      </c>
      <c r="B127" t="s">
        <v>2835</v>
      </c>
      <c r="C127" t="s">
        <v>5</v>
      </c>
      <c r="D127" t="s">
        <v>305</v>
      </c>
      <c r="E127" t="s">
        <v>314</v>
      </c>
      <c r="F127" s="82">
        <f t="shared" si="4"/>
        <v>0</v>
      </c>
      <c r="G127">
        <v>1</v>
      </c>
      <c r="H127" t="s">
        <v>14</v>
      </c>
      <c r="I127" t="s">
        <v>318</v>
      </c>
      <c r="J127">
        <v>15.60532807536244</v>
      </c>
      <c r="K127" t="s">
        <v>1570</v>
      </c>
      <c r="L127" t="s">
        <v>19</v>
      </c>
      <c r="M127" t="s">
        <v>2831</v>
      </c>
      <c r="N127" t="s">
        <v>319</v>
      </c>
      <c r="O127">
        <v>677132.83238709357</v>
      </c>
      <c r="P127" t="s">
        <v>14</v>
      </c>
      <c r="Q127" s="149">
        <f>SAF_Cand_Refinery[[#This Row],[Max Amount]]*0.5</f>
        <v>338566.41619354679</v>
      </c>
      <c r="R127" s="149">
        <f>SAF_Cand_Refinery[[#This Row],[Max Amount]]*0.1</f>
        <v>67713.283238709366</v>
      </c>
      <c r="S127">
        <v>91155661.800000012</v>
      </c>
    </row>
    <row r="128" spans="1:19" hidden="1" x14ac:dyDescent="0.35">
      <c r="A128" t="s">
        <v>2844</v>
      </c>
      <c r="B128" t="s">
        <v>2836</v>
      </c>
      <c r="C128" t="s">
        <v>5</v>
      </c>
      <c r="D128" t="s">
        <v>305</v>
      </c>
      <c r="E128" t="s">
        <v>1569</v>
      </c>
      <c r="F128" s="82">
        <f t="shared" ref="F128:F133" si="5">SIGN(SUBTOTAL(3,A128))</f>
        <v>0</v>
      </c>
      <c r="G128">
        <v>1</v>
      </c>
      <c r="H128" t="s">
        <v>14</v>
      </c>
      <c r="I128" t="s">
        <v>318</v>
      </c>
      <c r="J128">
        <v>15.60532807536244</v>
      </c>
      <c r="K128" t="s">
        <v>1570</v>
      </c>
      <c r="L128" t="s">
        <v>19</v>
      </c>
      <c r="M128" t="s">
        <v>2831</v>
      </c>
      <c r="N128" t="s">
        <v>319</v>
      </c>
      <c r="O128">
        <v>2031398.4971612808</v>
      </c>
      <c r="P128" t="s">
        <v>14</v>
      </c>
      <c r="Q128" s="149">
        <f>SAF_Cand_Refinery[[#This Row],[Max Amount]]*0.5</f>
        <v>1015699.2485806404</v>
      </c>
      <c r="R128" s="149">
        <f>SAF_Cand_Refinery[[#This Row],[Max Amount]]*0.1</f>
        <v>203139.84971612808</v>
      </c>
      <c r="S128">
        <v>108566609.03999999</v>
      </c>
    </row>
    <row r="129" spans="1:19" hidden="1" x14ac:dyDescent="0.35">
      <c r="A129" t="s">
        <v>2844</v>
      </c>
      <c r="B129" t="s">
        <v>2836</v>
      </c>
      <c r="C129" t="s">
        <v>5</v>
      </c>
      <c r="D129" t="s">
        <v>305</v>
      </c>
      <c r="E129" t="s">
        <v>314</v>
      </c>
      <c r="F129" s="82">
        <f t="shared" si="5"/>
        <v>0</v>
      </c>
      <c r="G129">
        <v>1</v>
      </c>
      <c r="H129" t="s">
        <v>14</v>
      </c>
      <c r="I129" t="s">
        <v>318</v>
      </c>
      <c r="J129">
        <v>15.60532807536244</v>
      </c>
      <c r="K129" t="s">
        <v>1570</v>
      </c>
      <c r="L129" t="s">
        <v>19</v>
      </c>
      <c r="M129" t="s">
        <v>2831</v>
      </c>
      <c r="N129" t="s">
        <v>319</v>
      </c>
      <c r="O129">
        <v>677132.83238709357</v>
      </c>
      <c r="P129" t="s">
        <v>14</v>
      </c>
      <c r="Q129" s="149">
        <f>SAF_Cand_Refinery[[#This Row],[Max Amount]]*0.5</f>
        <v>338566.41619354679</v>
      </c>
      <c r="R129" s="149">
        <f>SAF_Cand_Refinery[[#This Row],[Max Amount]]*0.1</f>
        <v>67713.283238709366</v>
      </c>
      <c r="S129">
        <v>91155661.800000012</v>
      </c>
    </row>
    <row r="130" spans="1:19" hidden="1" x14ac:dyDescent="0.35">
      <c r="A130" t="s">
        <v>2844</v>
      </c>
      <c r="B130" t="s">
        <v>2837</v>
      </c>
      <c r="C130" t="s">
        <v>5</v>
      </c>
      <c r="D130" t="s">
        <v>305</v>
      </c>
      <c r="E130" t="s">
        <v>1569</v>
      </c>
      <c r="F130" s="82">
        <f t="shared" si="5"/>
        <v>0</v>
      </c>
      <c r="G130">
        <v>1</v>
      </c>
      <c r="H130" t="s">
        <v>14</v>
      </c>
      <c r="I130" t="s">
        <v>318</v>
      </c>
      <c r="J130">
        <v>15.60532807536244</v>
      </c>
      <c r="K130" t="s">
        <v>1570</v>
      </c>
      <c r="L130" t="s">
        <v>19</v>
      </c>
      <c r="M130" t="s">
        <v>2831</v>
      </c>
      <c r="N130" t="s">
        <v>319</v>
      </c>
      <c r="O130">
        <v>2031398.4971612808</v>
      </c>
      <c r="P130" t="s">
        <v>14</v>
      </c>
      <c r="Q130" s="149">
        <f>SAF_Cand_Refinery[[#This Row],[Max Amount]]*0.5</f>
        <v>1015699.2485806404</v>
      </c>
      <c r="R130" s="149">
        <f>SAF_Cand_Refinery[[#This Row],[Max Amount]]*0.1</f>
        <v>203139.84971612808</v>
      </c>
      <c r="S130">
        <v>108566609.03999999</v>
      </c>
    </row>
    <row r="131" spans="1:19" hidden="1" x14ac:dyDescent="0.35">
      <c r="A131" t="s">
        <v>2844</v>
      </c>
      <c r="B131" t="s">
        <v>2837</v>
      </c>
      <c r="C131" t="s">
        <v>5</v>
      </c>
      <c r="D131" t="s">
        <v>305</v>
      </c>
      <c r="E131" t="s">
        <v>314</v>
      </c>
      <c r="F131" s="82">
        <f t="shared" si="5"/>
        <v>0</v>
      </c>
      <c r="G131">
        <v>1</v>
      </c>
      <c r="H131" t="s">
        <v>14</v>
      </c>
      <c r="I131" t="s">
        <v>318</v>
      </c>
      <c r="J131">
        <v>15.60532807536244</v>
      </c>
      <c r="K131" t="s">
        <v>1570</v>
      </c>
      <c r="L131" t="s">
        <v>19</v>
      </c>
      <c r="M131" t="s">
        <v>2831</v>
      </c>
      <c r="N131" t="s">
        <v>319</v>
      </c>
      <c r="O131">
        <v>677132.83238709357</v>
      </c>
      <c r="P131" t="s">
        <v>14</v>
      </c>
      <c r="Q131" s="149">
        <f>SAF_Cand_Refinery[[#This Row],[Max Amount]]*0.5</f>
        <v>338566.41619354679</v>
      </c>
      <c r="R131" s="149">
        <f>SAF_Cand_Refinery[[#This Row],[Max Amount]]*0.1</f>
        <v>67713.283238709366</v>
      </c>
      <c r="S131">
        <v>91155661.800000012</v>
      </c>
    </row>
    <row r="132" spans="1:19" hidden="1" x14ac:dyDescent="0.35">
      <c r="A132" t="s">
        <v>2844</v>
      </c>
      <c r="B132" t="s">
        <v>2838</v>
      </c>
      <c r="C132" t="s">
        <v>5</v>
      </c>
      <c r="D132" t="s">
        <v>305</v>
      </c>
      <c r="E132" t="s">
        <v>1569</v>
      </c>
      <c r="F132" s="82">
        <f t="shared" si="5"/>
        <v>0</v>
      </c>
      <c r="G132">
        <v>1</v>
      </c>
      <c r="H132" t="s">
        <v>14</v>
      </c>
      <c r="I132" t="s">
        <v>318</v>
      </c>
      <c r="J132">
        <v>15.60532807536244</v>
      </c>
      <c r="K132" t="s">
        <v>1570</v>
      </c>
      <c r="L132" t="s">
        <v>19</v>
      </c>
      <c r="M132" t="s">
        <v>2831</v>
      </c>
      <c r="N132" t="s">
        <v>319</v>
      </c>
      <c r="O132">
        <v>2031398.4971612808</v>
      </c>
      <c r="P132" t="s">
        <v>14</v>
      </c>
      <c r="Q132" s="149">
        <f>SAF_Cand_Refinery[[#This Row],[Max Amount]]*0.5</f>
        <v>1015699.2485806404</v>
      </c>
      <c r="R132" s="149">
        <f>SAF_Cand_Refinery[[#This Row],[Max Amount]]*0.1</f>
        <v>203139.84971612808</v>
      </c>
      <c r="S132">
        <v>108566609.03999999</v>
      </c>
    </row>
    <row r="133" spans="1:19" hidden="1" x14ac:dyDescent="0.35">
      <c r="A133" t="s">
        <v>2844</v>
      </c>
      <c r="B133" t="s">
        <v>2838</v>
      </c>
      <c r="C133" t="s">
        <v>5</v>
      </c>
      <c r="D133" t="s">
        <v>305</v>
      </c>
      <c r="E133" t="s">
        <v>314</v>
      </c>
      <c r="F133" s="82">
        <f t="shared" si="5"/>
        <v>0</v>
      </c>
      <c r="G133">
        <v>1</v>
      </c>
      <c r="H133" t="s">
        <v>14</v>
      </c>
      <c r="I133" t="s">
        <v>318</v>
      </c>
      <c r="J133">
        <v>15.60532807536244</v>
      </c>
      <c r="K133" t="s">
        <v>1570</v>
      </c>
      <c r="L133" t="s">
        <v>19</v>
      </c>
      <c r="M133" t="s">
        <v>2831</v>
      </c>
      <c r="N133" t="s">
        <v>319</v>
      </c>
      <c r="O133">
        <v>677132.83238709357</v>
      </c>
      <c r="P133" t="s">
        <v>14</v>
      </c>
      <c r="Q133" s="149">
        <f>SAF_Cand_Refinery[[#This Row],[Max Amount]]*0.5</f>
        <v>338566.41619354679</v>
      </c>
      <c r="R133" s="149">
        <f>SAF_Cand_Refinery[[#This Row],[Max Amount]]*0.1</f>
        <v>67713.283238709366</v>
      </c>
      <c r="S133">
        <v>91155661.800000012</v>
      </c>
    </row>
    <row r="134" spans="1:19" hidden="1" x14ac:dyDescent="0.35">
      <c r="A134" t="s">
        <v>2843</v>
      </c>
      <c r="B134" t="s">
        <v>2839</v>
      </c>
      <c r="C134" t="s">
        <v>5</v>
      </c>
      <c r="D134" t="s">
        <v>305</v>
      </c>
      <c r="E134" t="s">
        <v>1569</v>
      </c>
      <c r="F134" s="82">
        <f t="shared" si="4"/>
        <v>0</v>
      </c>
      <c r="G134">
        <v>1</v>
      </c>
      <c r="H134" t="s">
        <v>14</v>
      </c>
      <c r="I134" t="s">
        <v>318</v>
      </c>
      <c r="J134">
        <v>20.063993239751706</v>
      </c>
      <c r="K134" t="s">
        <v>1570</v>
      </c>
      <c r="L134" t="s">
        <v>19</v>
      </c>
      <c r="M134" t="s">
        <v>2832</v>
      </c>
      <c r="N134" t="s">
        <v>319</v>
      </c>
      <c r="O134">
        <v>2106635.4785376247</v>
      </c>
      <c r="P134" t="s">
        <v>14</v>
      </c>
      <c r="Q134" s="149">
        <f>SAF_Cand_Refinery[[#This Row],[Max Amount]]*0.5</f>
        <v>1053317.7392688124</v>
      </c>
      <c r="R134" s="149">
        <f>SAF_Cand_Refinery[[#This Row],[Max Amount]]*0.1</f>
        <v>210663.54785376249</v>
      </c>
      <c r="S134">
        <v>116408730</v>
      </c>
    </row>
    <row r="135" spans="1:19" hidden="1" x14ac:dyDescent="0.35">
      <c r="A135" t="s">
        <v>2843</v>
      </c>
      <c r="B135" t="s">
        <v>2839</v>
      </c>
      <c r="C135" t="s">
        <v>5</v>
      </c>
      <c r="D135" t="s">
        <v>305</v>
      </c>
      <c r="E135" t="s">
        <v>314</v>
      </c>
      <c r="F135" s="82">
        <f t="shared" si="4"/>
        <v>0</v>
      </c>
      <c r="G135">
        <v>1</v>
      </c>
      <c r="H135" t="s">
        <v>14</v>
      </c>
      <c r="I135" t="s">
        <v>318</v>
      </c>
      <c r="J135">
        <v>20.063993239751706</v>
      </c>
      <c r="K135" t="s">
        <v>1570</v>
      </c>
      <c r="L135" t="s">
        <v>19</v>
      </c>
      <c r="M135" t="s">
        <v>2832</v>
      </c>
      <c r="N135" t="s">
        <v>319</v>
      </c>
      <c r="O135">
        <v>526658.86963440618</v>
      </c>
      <c r="P135" t="s">
        <v>14</v>
      </c>
      <c r="Q135" s="149">
        <f>SAF_Cand_Refinery[[#This Row],[Max Amount]]*0.5</f>
        <v>263329.43481720309</v>
      </c>
      <c r="R135" s="149">
        <f>SAF_Cand_Refinery[[#This Row],[Max Amount]]*0.1</f>
        <v>52665.886963440622</v>
      </c>
      <c r="S135">
        <v>78277316.519999996</v>
      </c>
    </row>
    <row r="136" spans="1:19" hidden="1" x14ac:dyDescent="0.35">
      <c r="A136" t="s">
        <v>2843</v>
      </c>
      <c r="B136" t="s">
        <v>2840</v>
      </c>
      <c r="C136" t="s">
        <v>5</v>
      </c>
      <c r="D136" t="s">
        <v>305</v>
      </c>
      <c r="E136" t="s">
        <v>1569</v>
      </c>
      <c r="F136" s="82">
        <f t="shared" ref="F136:F141" si="6">SIGN(SUBTOTAL(3,A136))</f>
        <v>0</v>
      </c>
      <c r="G136">
        <v>1</v>
      </c>
      <c r="H136" t="s">
        <v>14</v>
      </c>
      <c r="I136" t="s">
        <v>318</v>
      </c>
      <c r="J136">
        <v>20.063993239751706</v>
      </c>
      <c r="K136" t="s">
        <v>1570</v>
      </c>
      <c r="L136" t="s">
        <v>19</v>
      </c>
      <c r="M136" t="s">
        <v>2832</v>
      </c>
      <c r="N136" t="s">
        <v>319</v>
      </c>
      <c r="O136">
        <v>2106635.4785376247</v>
      </c>
      <c r="P136" t="s">
        <v>14</v>
      </c>
      <c r="Q136" s="149">
        <f>SAF_Cand_Refinery[[#This Row],[Max Amount]]*0.5</f>
        <v>1053317.7392688124</v>
      </c>
      <c r="R136" s="149">
        <f>SAF_Cand_Refinery[[#This Row],[Max Amount]]*0.1</f>
        <v>210663.54785376249</v>
      </c>
      <c r="S136">
        <v>116408730</v>
      </c>
    </row>
    <row r="137" spans="1:19" hidden="1" x14ac:dyDescent="0.35">
      <c r="A137" t="s">
        <v>2843</v>
      </c>
      <c r="B137" t="s">
        <v>2840</v>
      </c>
      <c r="C137" t="s">
        <v>5</v>
      </c>
      <c r="D137" t="s">
        <v>305</v>
      </c>
      <c r="E137" t="s">
        <v>314</v>
      </c>
      <c r="F137" s="82">
        <f t="shared" si="6"/>
        <v>0</v>
      </c>
      <c r="G137">
        <v>1</v>
      </c>
      <c r="H137" t="s">
        <v>14</v>
      </c>
      <c r="I137" t="s">
        <v>318</v>
      </c>
      <c r="J137">
        <v>20.063993239751706</v>
      </c>
      <c r="K137" t="s">
        <v>1570</v>
      </c>
      <c r="L137" t="s">
        <v>19</v>
      </c>
      <c r="M137" t="s">
        <v>2832</v>
      </c>
      <c r="N137" t="s">
        <v>319</v>
      </c>
      <c r="O137">
        <v>526658.86963440618</v>
      </c>
      <c r="P137" t="s">
        <v>14</v>
      </c>
      <c r="Q137" s="149">
        <f>SAF_Cand_Refinery[[#This Row],[Max Amount]]*0.5</f>
        <v>263329.43481720309</v>
      </c>
      <c r="R137" s="149">
        <f>SAF_Cand_Refinery[[#This Row],[Max Amount]]*0.1</f>
        <v>52665.886963440622</v>
      </c>
      <c r="S137">
        <v>78277316.519999996</v>
      </c>
    </row>
    <row r="138" spans="1:19" hidden="1" x14ac:dyDescent="0.35">
      <c r="A138" t="s">
        <v>2843</v>
      </c>
      <c r="B138" t="s">
        <v>2841</v>
      </c>
      <c r="C138" t="s">
        <v>5</v>
      </c>
      <c r="D138" t="s">
        <v>305</v>
      </c>
      <c r="E138" t="s">
        <v>1569</v>
      </c>
      <c r="F138" s="82">
        <f t="shared" si="6"/>
        <v>0</v>
      </c>
      <c r="G138">
        <v>1</v>
      </c>
      <c r="H138" t="s">
        <v>14</v>
      </c>
      <c r="I138" t="s">
        <v>318</v>
      </c>
      <c r="J138">
        <v>20.063993239751706</v>
      </c>
      <c r="K138" t="s">
        <v>1570</v>
      </c>
      <c r="L138" t="s">
        <v>19</v>
      </c>
      <c r="M138" t="s">
        <v>2832</v>
      </c>
      <c r="N138" t="s">
        <v>319</v>
      </c>
      <c r="O138">
        <v>2106635.4785376247</v>
      </c>
      <c r="P138" t="s">
        <v>14</v>
      </c>
      <c r="Q138" s="149">
        <f>SAF_Cand_Refinery[[#This Row],[Max Amount]]*0.5</f>
        <v>1053317.7392688124</v>
      </c>
      <c r="R138" s="149">
        <f>SAF_Cand_Refinery[[#This Row],[Max Amount]]*0.1</f>
        <v>210663.54785376249</v>
      </c>
      <c r="S138">
        <v>116408730</v>
      </c>
    </row>
    <row r="139" spans="1:19" hidden="1" x14ac:dyDescent="0.35">
      <c r="A139" t="s">
        <v>2843</v>
      </c>
      <c r="B139" t="s">
        <v>2841</v>
      </c>
      <c r="C139" t="s">
        <v>5</v>
      </c>
      <c r="D139" t="s">
        <v>305</v>
      </c>
      <c r="E139" t="s">
        <v>314</v>
      </c>
      <c r="F139" s="82">
        <f t="shared" si="6"/>
        <v>0</v>
      </c>
      <c r="G139">
        <v>1</v>
      </c>
      <c r="H139" t="s">
        <v>14</v>
      </c>
      <c r="I139" t="s">
        <v>318</v>
      </c>
      <c r="J139">
        <v>20.063993239751706</v>
      </c>
      <c r="K139" t="s">
        <v>1570</v>
      </c>
      <c r="L139" t="s">
        <v>19</v>
      </c>
      <c r="M139" t="s">
        <v>2832</v>
      </c>
      <c r="N139" t="s">
        <v>319</v>
      </c>
      <c r="O139">
        <v>526658.86963440618</v>
      </c>
      <c r="P139" t="s">
        <v>14</v>
      </c>
      <c r="Q139" s="149">
        <f>SAF_Cand_Refinery[[#This Row],[Max Amount]]*0.5</f>
        <v>263329.43481720309</v>
      </c>
      <c r="R139" s="149">
        <f>SAF_Cand_Refinery[[#This Row],[Max Amount]]*0.1</f>
        <v>52665.886963440622</v>
      </c>
      <c r="S139">
        <v>78277316.519999996</v>
      </c>
    </row>
    <row r="140" spans="1:19" hidden="1" x14ac:dyDescent="0.35">
      <c r="A140" t="s">
        <v>2843</v>
      </c>
      <c r="B140" t="s">
        <v>2842</v>
      </c>
      <c r="C140" t="s">
        <v>5</v>
      </c>
      <c r="D140" t="s">
        <v>305</v>
      </c>
      <c r="E140" t="s">
        <v>1569</v>
      </c>
      <c r="F140" s="82">
        <f t="shared" si="6"/>
        <v>0</v>
      </c>
      <c r="G140">
        <v>1</v>
      </c>
      <c r="H140" t="s">
        <v>14</v>
      </c>
      <c r="I140" t="s">
        <v>318</v>
      </c>
      <c r="J140">
        <v>20.063993239751706</v>
      </c>
      <c r="K140" t="s">
        <v>1570</v>
      </c>
      <c r="L140" t="s">
        <v>19</v>
      </c>
      <c r="M140" t="s">
        <v>2832</v>
      </c>
      <c r="N140" t="s">
        <v>319</v>
      </c>
      <c r="O140">
        <v>2106635.4785376247</v>
      </c>
      <c r="P140" t="s">
        <v>14</v>
      </c>
      <c r="Q140" s="149">
        <f>SAF_Cand_Refinery[[#This Row],[Max Amount]]*0.5</f>
        <v>1053317.7392688124</v>
      </c>
      <c r="R140" s="149">
        <f>SAF_Cand_Refinery[[#This Row],[Max Amount]]*0.1</f>
        <v>210663.54785376249</v>
      </c>
      <c r="S140">
        <v>116408730</v>
      </c>
    </row>
    <row r="141" spans="1:19" hidden="1" x14ac:dyDescent="0.35">
      <c r="A141" t="s">
        <v>2843</v>
      </c>
      <c r="B141" t="s">
        <v>2842</v>
      </c>
      <c r="C141" t="s">
        <v>5</v>
      </c>
      <c r="D141" t="s">
        <v>305</v>
      </c>
      <c r="E141" t="s">
        <v>314</v>
      </c>
      <c r="F141" s="82">
        <f t="shared" si="6"/>
        <v>0</v>
      </c>
      <c r="G141">
        <v>1</v>
      </c>
      <c r="H141" t="s">
        <v>14</v>
      </c>
      <c r="I141" t="s">
        <v>318</v>
      </c>
      <c r="J141">
        <v>20.063993239751706</v>
      </c>
      <c r="K141" t="s">
        <v>1570</v>
      </c>
      <c r="L141" t="s">
        <v>19</v>
      </c>
      <c r="M141" t="s">
        <v>2832</v>
      </c>
      <c r="N141" t="s">
        <v>319</v>
      </c>
      <c r="O141">
        <v>526658.86963440618</v>
      </c>
      <c r="P141" t="s">
        <v>14</v>
      </c>
      <c r="Q141" s="149">
        <f>SAF_Cand_Refinery[[#This Row],[Max Amount]]*0.5</f>
        <v>263329.43481720309</v>
      </c>
      <c r="R141" s="149">
        <f>SAF_Cand_Refinery[[#This Row],[Max Amount]]*0.1</f>
        <v>52665.886963440622</v>
      </c>
      <c r="S141">
        <v>78277316.519999996</v>
      </c>
    </row>
    <row r="142" spans="1:19" hidden="1" x14ac:dyDescent="0.35">
      <c r="A142" t="s">
        <v>2844</v>
      </c>
      <c r="B142" t="s">
        <v>2835</v>
      </c>
      <c r="C142" t="s">
        <v>5</v>
      </c>
      <c r="D142" t="s">
        <v>307</v>
      </c>
      <c r="E142" t="s">
        <v>1569</v>
      </c>
      <c r="F142" s="82">
        <f t="shared" si="4"/>
        <v>0</v>
      </c>
      <c r="G142">
        <v>1</v>
      </c>
      <c r="H142" t="s">
        <v>14</v>
      </c>
      <c r="I142" t="s">
        <v>318</v>
      </c>
      <c r="J142">
        <v>26.333991127174112</v>
      </c>
      <c r="K142" t="s">
        <v>1570</v>
      </c>
      <c r="L142" t="s">
        <v>19</v>
      </c>
      <c r="M142" t="s">
        <v>2833</v>
      </c>
      <c r="N142" t="s">
        <v>319</v>
      </c>
      <c r="O142">
        <v>1805687.5530322497</v>
      </c>
      <c r="P142" t="s">
        <v>14</v>
      </c>
      <c r="Q142" s="149">
        <f>SAF_Cand_Refinery[[#This Row],[Max Amount]]*0.5</f>
        <v>902843.77651612484</v>
      </c>
      <c r="R142" s="149">
        <f>SAF_Cand_Refinery[[#This Row],[Max Amount]]*0.1</f>
        <v>180568.75530322499</v>
      </c>
      <c r="S142">
        <v>77989532.280000001</v>
      </c>
    </row>
    <row r="143" spans="1:19" hidden="1" x14ac:dyDescent="0.35">
      <c r="A143" t="s">
        <v>2844</v>
      </c>
      <c r="B143" t="s">
        <v>2835</v>
      </c>
      <c r="C143" t="s">
        <v>5</v>
      </c>
      <c r="D143" t="s">
        <v>307</v>
      </c>
      <c r="E143" t="s">
        <v>314</v>
      </c>
      <c r="F143" s="82">
        <f t="shared" si="4"/>
        <v>0</v>
      </c>
      <c r="G143">
        <v>1</v>
      </c>
      <c r="H143" t="s">
        <v>14</v>
      </c>
      <c r="I143" t="s">
        <v>318</v>
      </c>
      <c r="J143">
        <v>23.407992113043658</v>
      </c>
      <c r="K143" t="s">
        <v>1570</v>
      </c>
      <c r="L143" t="s">
        <v>19</v>
      </c>
      <c r="M143" t="s">
        <v>2833</v>
      </c>
      <c r="N143" t="s">
        <v>319</v>
      </c>
      <c r="O143">
        <v>451421.88825806242</v>
      </c>
      <c r="P143" t="s">
        <v>14</v>
      </c>
      <c r="Q143" s="149">
        <f>SAF_Cand_Refinery[[#This Row],[Max Amount]]*0.5</f>
        <v>225710.94412903121</v>
      </c>
      <c r="R143" s="149">
        <f>SAF_Cand_Refinery[[#This Row],[Max Amount]]*0.1</f>
        <v>45142.188825806246</v>
      </c>
      <c r="S143">
        <v>44534613</v>
      </c>
    </row>
    <row r="144" spans="1:19" hidden="1" x14ac:dyDescent="0.35">
      <c r="A144" t="s">
        <v>2844</v>
      </c>
      <c r="B144" t="s">
        <v>2836</v>
      </c>
      <c r="C144" t="s">
        <v>5</v>
      </c>
      <c r="D144" t="s">
        <v>307</v>
      </c>
      <c r="E144" t="s">
        <v>1569</v>
      </c>
      <c r="F144" s="82">
        <f t="shared" ref="F144:F155" si="7">SIGN(SUBTOTAL(3,A144))</f>
        <v>0</v>
      </c>
      <c r="G144">
        <v>1</v>
      </c>
      <c r="H144" t="s">
        <v>14</v>
      </c>
      <c r="I144" t="s">
        <v>318</v>
      </c>
      <c r="J144">
        <v>26.333991127174112</v>
      </c>
      <c r="K144" t="s">
        <v>1570</v>
      </c>
      <c r="L144" t="s">
        <v>19</v>
      </c>
      <c r="M144" t="s">
        <v>2833</v>
      </c>
      <c r="N144" t="s">
        <v>319</v>
      </c>
      <c r="O144">
        <v>1805687.5530322497</v>
      </c>
      <c r="P144" t="s">
        <v>14</v>
      </c>
      <c r="Q144" s="149">
        <f>SAF_Cand_Refinery[[#This Row],[Max Amount]]*0.5</f>
        <v>902843.77651612484</v>
      </c>
      <c r="R144" s="149">
        <f>SAF_Cand_Refinery[[#This Row],[Max Amount]]*0.1</f>
        <v>180568.75530322499</v>
      </c>
      <c r="S144">
        <v>77989532.280000001</v>
      </c>
    </row>
    <row r="145" spans="1:19" hidden="1" x14ac:dyDescent="0.35">
      <c r="A145" t="s">
        <v>2844</v>
      </c>
      <c r="B145" t="s">
        <v>2836</v>
      </c>
      <c r="C145" t="s">
        <v>5</v>
      </c>
      <c r="D145" t="s">
        <v>307</v>
      </c>
      <c r="E145" t="s">
        <v>314</v>
      </c>
      <c r="F145" s="82">
        <f t="shared" si="7"/>
        <v>0</v>
      </c>
      <c r="G145">
        <v>1</v>
      </c>
      <c r="H145" t="s">
        <v>14</v>
      </c>
      <c r="I145" t="s">
        <v>318</v>
      </c>
      <c r="J145">
        <v>23.407992113043658</v>
      </c>
      <c r="K145" t="s">
        <v>1570</v>
      </c>
      <c r="L145" t="s">
        <v>19</v>
      </c>
      <c r="M145" t="s">
        <v>2833</v>
      </c>
      <c r="N145" t="s">
        <v>319</v>
      </c>
      <c r="O145">
        <v>451421.88825806242</v>
      </c>
      <c r="P145" t="s">
        <v>14</v>
      </c>
      <c r="Q145" s="149">
        <f>SAF_Cand_Refinery[[#This Row],[Max Amount]]*0.5</f>
        <v>225710.94412903121</v>
      </c>
      <c r="R145" s="149">
        <f>SAF_Cand_Refinery[[#This Row],[Max Amount]]*0.1</f>
        <v>45142.188825806246</v>
      </c>
      <c r="S145">
        <v>44534613</v>
      </c>
    </row>
    <row r="146" spans="1:19" hidden="1" x14ac:dyDescent="0.35">
      <c r="A146" t="s">
        <v>2844</v>
      </c>
      <c r="B146" t="s">
        <v>2837</v>
      </c>
      <c r="C146" t="s">
        <v>5</v>
      </c>
      <c r="D146" t="s">
        <v>307</v>
      </c>
      <c r="E146" t="s">
        <v>1569</v>
      </c>
      <c r="F146" s="82">
        <f t="shared" si="7"/>
        <v>0</v>
      </c>
      <c r="G146">
        <v>1</v>
      </c>
      <c r="H146" t="s">
        <v>14</v>
      </c>
      <c r="I146" t="s">
        <v>318</v>
      </c>
      <c r="J146">
        <v>26.333991127174112</v>
      </c>
      <c r="K146" t="s">
        <v>1570</v>
      </c>
      <c r="L146" t="s">
        <v>19</v>
      </c>
      <c r="M146" t="s">
        <v>2833</v>
      </c>
      <c r="N146" t="s">
        <v>319</v>
      </c>
      <c r="O146">
        <v>1805687.5530322497</v>
      </c>
      <c r="P146" t="s">
        <v>14</v>
      </c>
      <c r="Q146" s="149">
        <f>SAF_Cand_Refinery[[#This Row],[Max Amount]]*0.5</f>
        <v>902843.77651612484</v>
      </c>
      <c r="R146" s="149">
        <f>SAF_Cand_Refinery[[#This Row],[Max Amount]]*0.1</f>
        <v>180568.75530322499</v>
      </c>
      <c r="S146">
        <v>77989532.280000001</v>
      </c>
    </row>
    <row r="147" spans="1:19" hidden="1" x14ac:dyDescent="0.35">
      <c r="A147" t="s">
        <v>2844</v>
      </c>
      <c r="B147" t="s">
        <v>2837</v>
      </c>
      <c r="C147" t="s">
        <v>5</v>
      </c>
      <c r="D147" t="s">
        <v>307</v>
      </c>
      <c r="E147" t="s">
        <v>314</v>
      </c>
      <c r="F147" s="82">
        <f t="shared" si="7"/>
        <v>0</v>
      </c>
      <c r="G147">
        <v>1</v>
      </c>
      <c r="H147" t="s">
        <v>14</v>
      </c>
      <c r="I147" t="s">
        <v>318</v>
      </c>
      <c r="J147">
        <v>23.407992113043658</v>
      </c>
      <c r="K147" t="s">
        <v>1570</v>
      </c>
      <c r="L147" t="s">
        <v>19</v>
      </c>
      <c r="M147" t="s">
        <v>2833</v>
      </c>
      <c r="N147" t="s">
        <v>319</v>
      </c>
      <c r="O147">
        <v>451421.88825806242</v>
      </c>
      <c r="P147" t="s">
        <v>14</v>
      </c>
      <c r="Q147" s="149">
        <f>SAF_Cand_Refinery[[#This Row],[Max Amount]]*0.5</f>
        <v>225710.94412903121</v>
      </c>
      <c r="R147" s="149">
        <f>SAF_Cand_Refinery[[#This Row],[Max Amount]]*0.1</f>
        <v>45142.188825806246</v>
      </c>
      <c r="S147">
        <v>44534613</v>
      </c>
    </row>
    <row r="148" spans="1:19" hidden="1" x14ac:dyDescent="0.35">
      <c r="A148" t="s">
        <v>2844</v>
      </c>
      <c r="B148" t="s">
        <v>2838</v>
      </c>
      <c r="C148" t="s">
        <v>5</v>
      </c>
      <c r="D148" t="s">
        <v>307</v>
      </c>
      <c r="E148" t="s">
        <v>1569</v>
      </c>
      <c r="F148" s="82">
        <f t="shared" si="7"/>
        <v>0</v>
      </c>
      <c r="G148">
        <v>1</v>
      </c>
      <c r="H148" t="s">
        <v>14</v>
      </c>
      <c r="I148" t="s">
        <v>318</v>
      </c>
      <c r="J148">
        <v>26.333991127174112</v>
      </c>
      <c r="K148" t="s">
        <v>1570</v>
      </c>
      <c r="L148" t="s">
        <v>19</v>
      </c>
      <c r="M148" t="s">
        <v>2833</v>
      </c>
      <c r="N148" t="s">
        <v>319</v>
      </c>
      <c r="O148">
        <v>1805687.5530322497</v>
      </c>
      <c r="P148" t="s">
        <v>14</v>
      </c>
      <c r="Q148" s="149">
        <f>SAF_Cand_Refinery[[#This Row],[Max Amount]]*0.5</f>
        <v>902843.77651612484</v>
      </c>
      <c r="R148" s="149">
        <f>SAF_Cand_Refinery[[#This Row],[Max Amount]]*0.1</f>
        <v>180568.75530322499</v>
      </c>
      <c r="S148">
        <v>77989532.280000001</v>
      </c>
    </row>
    <row r="149" spans="1:19" hidden="1" x14ac:dyDescent="0.35">
      <c r="A149" t="s">
        <v>2844</v>
      </c>
      <c r="B149" t="s">
        <v>2838</v>
      </c>
      <c r="C149" t="s">
        <v>5</v>
      </c>
      <c r="D149" t="s">
        <v>307</v>
      </c>
      <c r="E149" t="s">
        <v>314</v>
      </c>
      <c r="F149" s="82">
        <f t="shared" si="7"/>
        <v>0</v>
      </c>
      <c r="G149">
        <v>1</v>
      </c>
      <c r="H149" t="s">
        <v>14</v>
      </c>
      <c r="I149" t="s">
        <v>318</v>
      </c>
      <c r="J149">
        <v>23.407992113043658</v>
      </c>
      <c r="K149" t="s">
        <v>1570</v>
      </c>
      <c r="L149" t="s">
        <v>19</v>
      </c>
      <c r="M149" t="s">
        <v>2833</v>
      </c>
      <c r="N149" t="s">
        <v>319</v>
      </c>
      <c r="O149">
        <v>451421.88825806242</v>
      </c>
      <c r="P149" t="s">
        <v>14</v>
      </c>
      <c r="Q149" s="149">
        <f>SAF_Cand_Refinery[[#This Row],[Max Amount]]*0.5</f>
        <v>225710.94412903121</v>
      </c>
      <c r="R149" s="149">
        <f>SAF_Cand_Refinery[[#This Row],[Max Amount]]*0.1</f>
        <v>45142.188825806246</v>
      </c>
      <c r="S149">
        <v>44534613</v>
      </c>
    </row>
    <row r="150" spans="1:19" hidden="1" x14ac:dyDescent="0.35">
      <c r="A150" t="s">
        <v>2843</v>
      </c>
      <c r="B150" t="s">
        <v>2839</v>
      </c>
      <c r="C150" t="s">
        <v>5</v>
      </c>
      <c r="D150" t="s">
        <v>307</v>
      </c>
      <c r="E150" t="s">
        <v>1569</v>
      </c>
      <c r="F150" s="82">
        <f t="shared" si="7"/>
        <v>0</v>
      </c>
      <c r="G150">
        <v>1</v>
      </c>
      <c r="H150" t="s">
        <v>14</v>
      </c>
      <c r="I150" t="s">
        <v>318</v>
      </c>
      <c r="J150">
        <v>28.841990282143083</v>
      </c>
      <c r="K150" t="s">
        <v>1570</v>
      </c>
      <c r="L150" t="s">
        <v>19</v>
      </c>
      <c r="M150" t="s">
        <v>2834</v>
      </c>
      <c r="N150" t="s">
        <v>319</v>
      </c>
      <c r="O150">
        <v>1648671.2440729232</v>
      </c>
      <c r="P150" t="s">
        <v>14</v>
      </c>
      <c r="Q150" s="149">
        <f>SAF_Cand_Refinery[[#This Row],[Max Amount]]*0.5</f>
        <v>824335.6220364616</v>
      </c>
      <c r="R150" s="149">
        <f>SAF_Cand_Refinery[[#This Row],[Max Amount]]*0.1</f>
        <v>164867.12440729234</v>
      </c>
      <c r="S150">
        <v>74680013.400000006</v>
      </c>
    </row>
    <row r="151" spans="1:19" hidden="1" x14ac:dyDescent="0.35">
      <c r="A151" t="s">
        <v>2843</v>
      </c>
      <c r="B151" t="s">
        <v>2839</v>
      </c>
      <c r="C151" t="s">
        <v>5</v>
      </c>
      <c r="D151" t="s">
        <v>307</v>
      </c>
      <c r="E151" t="s">
        <v>314</v>
      </c>
      <c r="F151" s="82">
        <f t="shared" si="7"/>
        <v>0</v>
      </c>
      <c r="G151">
        <v>1</v>
      </c>
      <c r="H151" t="s">
        <v>14</v>
      </c>
      <c r="I151" t="s">
        <v>318</v>
      </c>
      <c r="J151">
        <v>25.637324695238295</v>
      </c>
      <c r="K151" t="s">
        <v>1570</v>
      </c>
      <c r="L151" t="s">
        <v>19</v>
      </c>
      <c r="M151" t="s">
        <v>2834</v>
      </c>
      <c r="N151" t="s">
        <v>319</v>
      </c>
      <c r="O151">
        <v>412167.81101823086</v>
      </c>
      <c r="P151" t="s">
        <v>14</v>
      </c>
      <c r="Q151" s="149">
        <f>SAF_Cand_Refinery[[#This Row],[Max Amount]]*0.5</f>
        <v>206083.90550911543</v>
      </c>
      <c r="R151" s="149">
        <f>SAF_Cand_Refinery[[#This Row],[Max Amount]]*0.1</f>
        <v>41216.781101823086</v>
      </c>
      <c r="S151">
        <v>42735961.439999998</v>
      </c>
    </row>
    <row r="152" spans="1:19" hidden="1" x14ac:dyDescent="0.35">
      <c r="A152" t="s">
        <v>2843</v>
      </c>
      <c r="B152" t="s">
        <v>2840</v>
      </c>
      <c r="C152" t="s">
        <v>5</v>
      </c>
      <c r="D152" t="s">
        <v>307</v>
      </c>
      <c r="E152" t="s">
        <v>1569</v>
      </c>
      <c r="F152" s="82">
        <f t="shared" si="7"/>
        <v>0</v>
      </c>
      <c r="G152">
        <v>1</v>
      </c>
      <c r="H152" t="s">
        <v>14</v>
      </c>
      <c r="I152" t="s">
        <v>318</v>
      </c>
      <c r="J152">
        <v>28.841990282143083</v>
      </c>
      <c r="K152" t="s">
        <v>1570</v>
      </c>
      <c r="L152" t="s">
        <v>19</v>
      </c>
      <c r="M152" t="s">
        <v>2834</v>
      </c>
      <c r="N152" t="s">
        <v>319</v>
      </c>
      <c r="O152">
        <v>1648671.2440729232</v>
      </c>
      <c r="P152" t="s">
        <v>14</v>
      </c>
      <c r="Q152" s="149">
        <f>SAF_Cand_Refinery[[#This Row],[Max Amount]]*0.5</f>
        <v>824335.6220364616</v>
      </c>
      <c r="R152" s="149">
        <f>SAF_Cand_Refinery[[#This Row],[Max Amount]]*0.1</f>
        <v>164867.12440729234</v>
      </c>
      <c r="S152">
        <v>74680013.400000006</v>
      </c>
    </row>
    <row r="153" spans="1:19" hidden="1" x14ac:dyDescent="0.35">
      <c r="A153" t="s">
        <v>2843</v>
      </c>
      <c r="B153" t="s">
        <v>2840</v>
      </c>
      <c r="C153" t="s">
        <v>5</v>
      </c>
      <c r="D153" t="s">
        <v>307</v>
      </c>
      <c r="E153" t="s">
        <v>314</v>
      </c>
      <c r="F153" s="82">
        <f t="shared" si="7"/>
        <v>0</v>
      </c>
      <c r="G153">
        <v>1</v>
      </c>
      <c r="H153" t="s">
        <v>14</v>
      </c>
      <c r="I153" t="s">
        <v>318</v>
      </c>
      <c r="J153">
        <v>25.637324695238295</v>
      </c>
      <c r="K153" t="s">
        <v>1570</v>
      </c>
      <c r="L153" t="s">
        <v>19</v>
      </c>
      <c r="M153" t="s">
        <v>2834</v>
      </c>
      <c r="N153" t="s">
        <v>319</v>
      </c>
      <c r="O153">
        <v>412167.81101823086</v>
      </c>
      <c r="P153" t="s">
        <v>14</v>
      </c>
      <c r="Q153" s="149">
        <f>SAF_Cand_Refinery[[#This Row],[Max Amount]]*0.5</f>
        <v>206083.90550911543</v>
      </c>
      <c r="R153" s="149">
        <f>SAF_Cand_Refinery[[#This Row],[Max Amount]]*0.1</f>
        <v>41216.781101823086</v>
      </c>
      <c r="S153">
        <v>42735961.439999998</v>
      </c>
    </row>
    <row r="154" spans="1:19" hidden="1" x14ac:dyDescent="0.35">
      <c r="A154" t="s">
        <v>2843</v>
      </c>
      <c r="B154" t="s">
        <v>2841</v>
      </c>
      <c r="C154" t="s">
        <v>5</v>
      </c>
      <c r="D154" t="s">
        <v>307</v>
      </c>
      <c r="E154" t="s">
        <v>1569</v>
      </c>
      <c r="F154" s="82">
        <f t="shared" si="7"/>
        <v>0</v>
      </c>
      <c r="G154">
        <v>1</v>
      </c>
      <c r="H154" t="s">
        <v>14</v>
      </c>
      <c r="I154" t="s">
        <v>318</v>
      </c>
      <c r="J154">
        <v>28.841990282143083</v>
      </c>
      <c r="K154" t="s">
        <v>1570</v>
      </c>
      <c r="L154" t="s">
        <v>19</v>
      </c>
      <c r="M154" t="s">
        <v>2834</v>
      </c>
      <c r="N154" t="s">
        <v>319</v>
      </c>
      <c r="O154">
        <v>1648671.2440729232</v>
      </c>
      <c r="P154" t="s">
        <v>14</v>
      </c>
      <c r="Q154" s="149">
        <f>SAF_Cand_Refinery[[#This Row],[Max Amount]]*0.5</f>
        <v>824335.6220364616</v>
      </c>
      <c r="R154" s="149">
        <f>SAF_Cand_Refinery[[#This Row],[Max Amount]]*0.1</f>
        <v>164867.12440729234</v>
      </c>
      <c r="S154">
        <v>74680013.400000006</v>
      </c>
    </row>
    <row r="155" spans="1:19" hidden="1" x14ac:dyDescent="0.35">
      <c r="A155" t="s">
        <v>2843</v>
      </c>
      <c r="B155" t="s">
        <v>2841</v>
      </c>
      <c r="C155" t="s">
        <v>5</v>
      </c>
      <c r="D155" t="s">
        <v>307</v>
      </c>
      <c r="E155" t="s">
        <v>314</v>
      </c>
      <c r="F155" s="82">
        <f t="shared" si="7"/>
        <v>0</v>
      </c>
      <c r="G155">
        <v>1</v>
      </c>
      <c r="H155" t="s">
        <v>14</v>
      </c>
      <c r="I155" t="s">
        <v>318</v>
      </c>
      <c r="J155">
        <v>25.637324695238295</v>
      </c>
      <c r="K155" t="s">
        <v>1570</v>
      </c>
      <c r="L155" t="s">
        <v>19</v>
      </c>
      <c r="M155" t="s">
        <v>2834</v>
      </c>
      <c r="N155" t="s">
        <v>319</v>
      </c>
      <c r="O155">
        <v>412167.81101823086</v>
      </c>
      <c r="P155" t="s">
        <v>14</v>
      </c>
      <c r="Q155" s="149">
        <f>SAF_Cand_Refinery[[#This Row],[Max Amount]]*0.5</f>
        <v>206083.90550911543</v>
      </c>
      <c r="R155" s="149">
        <f>SAF_Cand_Refinery[[#This Row],[Max Amount]]*0.1</f>
        <v>41216.781101823086</v>
      </c>
      <c r="S155">
        <v>42735961.439999998</v>
      </c>
    </row>
    <row r="156" spans="1:19" hidden="1" x14ac:dyDescent="0.35">
      <c r="A156" t="s">
        <v>2843</v>
      </c>
      <c r="B156" t="s">
        <v>2842</v>
      </c>
      <c r="C156" t="s">
        <v>5</v>
      </c>
      <c r="D156" t="s">
        <v>307</v>
      </c>
      <c r="E156" t="s">
        <v>1569</v>
      </c>
      <c r="F156" s="82">
        <f t="shared" si="4"/>
        <v>0</v>
      </c>
      <c r="G156">
        <v>1</v>
      </c>
      <c r="H156" t="s">
        <v>14</v>
      </c>
      <c r="I156" t="s">
        <v>318</v>
      </c>
      <c r="J156">
        <v>28.841990282143083</v>
      </c>
      <c r="K156" t="s">
        <v>1570</v>
      </c>
      <c r="L156" t="s">
        <v>19</v>
      </c>
      <c r="M156" t="s">
        <v>2834</v>
      </c>
      <c r="N156" t="s">
        <v>319</v>
      </c>
      <c r="O156">
        <v>1648671.2440729232</v>
      </c>
      <c r="P156" t="s">
        <v>14</v>
      </c>
      <c r="Q156" s="149">
        <f>SAF_Cand_Refinery[[#This Row],[Max Amount]]*0.5</f>
        <v>824335.6220364616</v>
      </c>
      <c r="R156" s="149">
        <f>SAF_Cand_Refinery[[#This Row],[Max Amount]]*0.1</f>
        <v>164867.12440729234</v>
      </c>
      <c r="S156">
        <v>74680013.400000006</v>
      </c>
    </row>
    <row r="157" spans="1:19" hidden="1" x14ac:dyDescent="0.35">
      <c r="A157" t="s">
        <v>2843</v>
      </c>
      <c r="B157" t="s">
        <v>2842</v>
      </c>
      <c r="C157" t="s">
        <v>5</v>
      </c>
      <c r="D157" t="s">
        <v>307</v>
      </c>
      <c r="E157" t="s">
        <v>314</v>
      </c>
      <c r="F157" s="82">
        <f t="shared" si="4"/>
        <v>0</v>
      </c>
      <c r="G157">
        <v>1</v>
      </c>
      <c r="H157" t="s">
        <v>14</v>
      </c>
      <c r="I157" t="s">
        <v>318</v>
      </c>
      <c r="J157">
        <v>25.637324695238295</v>
      </c>
      <c r="K157" t="s">
        <v>1570</v>
      </c>
      <c r="L157" t="s">
        <v>19</v>
      </c>
      <c r="M157" t="s">
        <v>2834</v>
      </c>
      <c r="N157" t="s">
        <v>319</v>
      </c>
      <c r="O157">
        <v>412167.81101823086</v>
      </c>
      <c r="P157" t="s">
        <v>14</v>
      </c>
      <c r="Q157" s="149">
        <f>SAF_Cand_Refinery[[#This Row],[Max Amount]]*0.5</f>
        <v>206083.90550911543</v>
      </c>
      <c r="R157" s="149">
        <f>SAF_Cand_Refinery[[#This Row],[Max Amount]]*0.1</f>
        <v>41216.781101823086</v>
      </c>
      <c r="S157">
        <v>42735961.439999998</v>
      </c>
    </row>
  </sheetData>
  <phoneticPr fontId="4" type="noConversion"/>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01D1-A345-4081-B101-EDB891703695}">
  <sheetPr>
    <tabColor theme="8" tint="0.59999389629810485"/>
  </sheetPr>
  <dimension ref="A1:BY21"/>
  <sheetViews>
    <sheetView topLeftCell="J1" zoomScale="70" zoomScaleNormal="70" workbookViewId="0">
      <selection activeCell="F17" sqref="F17"/>
    </sheetView>
  </sheetViews>
  <sheetFormatPr defaultRowHeight="14.5" x14ac:dyDescent="0.35"/>
  <cols>
    <col min="1" max="1" width="27.453125" bestFit="1" customWidth="1"/>
    <col min="2" max="2" width="11.453125" bestFit="1" customWidth="1"/>
    <col min="3" max="3" width="17.54296875" customWidth="1"/>
    <col min="4" max="4" width="25.54296875" bestFit="1" customWidth="1"/>
    <col min="5" max="5" width="9.81640625" customWidth="1"/>
    <col min="6" max="6" width="11.54296875" bestFit="1" customWidth="1"/>
    <col min="7" max="8" width="36" customWidth="1"/>
    <col min="9" max="9" width="14.1796875" customWidth="1"/>
    <col min="10" max="10" width="38.453125" bestFit="1" customWidth="1"/>
    <col min="11" max="11" width="22.81640625" customWidth="1"/>
    <col min="12" max="12" width="14.54296875" customWidth="1"/>
    <col min="13" max="13" width="7.81640625" customWidth="1"/>
    <col min="14" max="14" width="14.453125" customWidth="1"/>
    <col min="15" max="15" width="18.1796875" customWidth="1"/>
    <col min="16" max="16" width="12.1796875" customWidth="1"/>
  </cols>
  <sheetData>
    <row r="1" spans="1:77" x14ac:dyDescent="0.35">
      <c r="A1" s="77" t="s">
        <v>1543</v>
      </c>
      <c r="B1" s="77" t="s">
        <v>436</v>
      </c>
      <c r="C1" s="77" t="s">
        <v>143</v>
      </c>
      <c r="D1" s="77" t="s">
        <v>1544</v>
      </c>
      <c r="E1" s="77" t="s">
        <v>245</v>
      </c>
      <c r="F1" s="77" t="s">
        <v>1567</v>
      </c>
      <c r="G1" s="77" t="s">
        <v>1545</v>
      </c>
      <c r="H1" s="98" t="s">
        <v>317</v>
      </c>
      <c r="I1" s="96" t="s">
        <v>25</v>
      </c>
      <c r="J1" s="96" t="s">
        <v>35</v>
      </c>
      <c r="K1" s="96" t="s">
        <v>31</v>
      </c>
      <c r="L1" s="96" t="s">
        <v>24</v>
      </c>
      <c r="M1" s="96" t="s">
        <v>36</v>
      </c>
      <c r="N1" s="96" t="s">
        <v>44</v>
      </c>
      <c r="O1" s="96" t="s">
        <v>194</v>
      </c>
      <c r="P1" s="96" t="s">
        <v>45</v>
      </c>
    </row>
    <row r="2" spans="1:77" hidden="1" x14ac:dyDescent="0.35">
      <c r="A2" s="107" t="s">
        <v>1546</v>
      </c>
      <c r="B2" s="107" t="s">
        <v>1547</v>
      </c>
      <c r="C2" t="s">
        <v>147</v>
      </c>
      <c r="D2" s="107" t="s">
        <v>289</v>
      </c>
      <c r="E2" s="107" t="s">
        <v>306</v>
      </c>
      <c r="F2" s="107" t="s">
        <v>289</v>
      </c>
      <c r="G2" s="107" t="s">
        <v>1548</v>
      </c>
      <c r="H2" s="107">
        <f t="shared" ref="H2:H21" si="0">SIGN(SUBTOTAL(3,A2))</f>
        <v>0</v>
      </c>
      <c r="I2" s="107" t="s">
        <v>19</v>
      </c>
      <c r="J2" t="s">
        <v>1546</v>
      </c>
      <c r="K2" s="107" t="s">
        <v>323</v>
      </c>
      <c r="L2" s="107">
        <v>707484.37238891562</v>
      </c>
      <c r="M2" s="107" t="s">
        <v>14</v>
      </c>
      <c r="N2" s="107"/>
      <c r="O2" s="107"/>
      <c r="P2" s="107"/>
      <c r="BY2" t="s">
        <v>1614</v>
      </c>
    </row>
    <row r="3" spans="1:77" hidden="1" x14ac:dyDescent="0.35">
      <c r="A3" s="107" t="s">
        <v>1546</v>
      </c>
      <c r="B3" s="107" t="s">
        <v>1547</v>
      </c>
      <c r="C3" t="s">
        <v>147</v>
      </c>
      <c r="D3" s="107" t="s">
        <v>277</v>
      </c>
      <c r="E3" s="107" t="s">
        <v>306</v>
      </c>
      <c r="F3" s="107" t="s">
        <v>289</v>
      </c>
      <c r="G3" s="107" t="s">
        <v>1548</v>
      </c>
      <c r="H3" s="107">
        <f t="shared" si="0"/>
        <v>0</v>
      </c>
      <c r="I3" s="107" t="s">
        <v>19</v>
      </c>
      <c r="J3" t="s">
        <v>1546</v>
      </c>
      <c r="K3" s="107" t="s">
        <v>323</v>
      </c>
      <c r="L3" s="107">
        <v>707484.37238891562</v>
      </c>
      <c r="M3" s="107" t="s">
        <v>14</v>
      </c>
      <c r="N3" s="107"/>
      <c r="O3" s="107"/>
      <c r="P3" s="107"/>
    </row>
    <row r="4" spans="1:77" hidden="1" x14ac:dyDescent="0.35">
      <c r="A4" s="107" t="s">
        <v>1549</v>
      </c>
      <c r="B4" s="107" t="s">
        <v>544</v>
      </c>
      <c r="C4" s="107" t="s">
        <v>147</v>
      </c>
      <c r="D4" s="107" t="s">
        <v>277</v>
      </c>
      <c r="E4" s="107" t="s">
        <v>306</v>
      </c>
      <c r="F4" s="107" t="s">
        <v>1568</v>
      </c>
      <c r="G4" s="107" t="s">
        <v>1550</v>
      </c>
      <c r="H4" s="107">
        <f t="shared" si="0"/>
        <v>0</v>
      </c>
      <c r="I4" s="107" t="s">
        <v>19</v>
      </c>
      <c r="J4" t="s">
        <v>1723</v>
      </c>
      <c r="K4" s="107" t="s">
        <v>323</v>
      </c>
      <c r="L4" s="107">
        <v>243689.0616006265</v>
      </c>
      <c r="M4" s="107" t="s">
        <v>14</v>
      </c>
      <c r="N4" s="107"/>
      <c r="O4" s="107"/>
      <c r="P4" s="107"/>
    </row>
    <row r="5" spans="1:77" hidden="1" x14ac:dyDescent="0.35">
      <c r="A5" s="107" t="s">
        <v>1551</v>
      </c>
      <c r="B5" s="107" t="s">
        <v>1552</v>
      </c>
      <c r="C5" s="107" t="s">
        <v>157</v>
      </c>
      <c r="D5" s="107" t="s">
        <v>277</v>
      </c>
      <c r="E5" s="107" t="s">
        <v>306</v>
      </c>
      <c r="F5" s="107" t="s">
        <v>1568</v>
      </c>
      <c r="G5" s="107" t="s">
        <v>1548</v>
      </c>
      <c r="H5" s="107">
        <f t="shared" si="0"/>
        <v>0</v>
      </c>
      <c r="I5" s="107" t="s">
        <v>19</v>
      </c>
      <c r="J5" t="s">
        <v>1551</v>
      </c>
      <c r="K5" s="107" t="s">
        <v>323</v>
      </c>
      <c r="L5" s="107">
        <v>3930468.7354939762</v>
      </c>
      <c r="M5" s="107" t="s">
        <v>14</v>
      </c>
      <c r="N5" s="107"/>
      <c r="O5" s="107"/>
      <c r="P5" s="107"/>
    </row>
    <row r="6" spans="1:77" hidden="1" x14ac:dyDescent="0.35">
      <c r="A6" s="107" t="s">
        <v>1553</v>
      </c>
      <c r="B6" s="107" t="s">
        <v>565</v>
      </c>
      <c r="C6" s="107" t="s">
        <v>159</v>
      </c>
      <c r="D6" s="107" t="s">
        <v>289</v>
      </c>
      <c r="E6" s="107" t="s">
        <v>306</v>
      </c>
      <c r="F6" s="107" t="s">
        <v>289</v>
      </c>
      <c r="G6" s="107" t="s">
        <v>1548</v>
      </c>
      <c r="H6" s="107">
        <f t="shared" si="0"/>
        <v>0</v>
      </c>
      <c r="I6" s="107" t="s">
        <v>19</v>
      </c>
      <c r="J6" t="s">
        <v>1724</v>
      </c>
      <c r="K6" s="107" t="s">
        <v>323</v>
      </c>
      <c r="L6" s="107">
        <v>7074843.7238891572</v>
      </c>
      <c r="M6" s="107" t="s">
        <v>14</v>
      </c>
      <c r="N6" s="107"/>
      <c r="O6" s="107"/>
      <c r="P6" s="107"/>
    </row>
    <row r="7" spans="1:77" hidden="1" x14ac:dyDescent="0.35">
      <c r="A7" s="107" t="s">
        <v>1553</v>
      </c>
      <c r="B7" s="107" t="s">
        <v>565</v>
      </c>
      <c r="C7" s="107" t="s">
        <v>159</v>
      </c>
      <c r="D7" s="107" t="s">
        <v>277</v>
      </c>
      <c r="E7" s="107" t="s">
        <v>306</v>
      </c>
      <c r="F7" s="107" t="s">
        <v>289</v>
      </c>
      <c r="G7" s="107" t="s">
        <v>1548</v>
      </c>
      <c r="H7" s="107">
        <f t="shared" si="0"/>
        <v>0</v>
      </c>
      <c r="I7" s="107" t="s">
        <v>19</v>
      </c>
      <c r="J7" t="s">
        <v>1724</v>
      </c>
      <c r="K7" s="107" t="s">
        <v>323</v>
      </c>
      <c r="L7" s="107">
        <v>7074843.7238891572</v>
      </c>
      <c r="M7" s="107" t="s">
        <v>14</v>
      </c>
      <c r="N7" s="107"/>
      <c r="O7" s="107"/>
      <c r="P7" s="107"/>
    </row>
    <row r="8" spans="1:77" x14ac:dyDescent="0.35">
      <c r="A8" s="107" t="s">
        <v>1554</v>
      </c>
      <c r="B8" s="107" t="s">
        <v>756</v>
      </c>
      <c r="C8" s="107" t="s">
        <v>167</v>
      </c>
      <c r="D8" s="107" t="s">
        <v>289</v>
      </c>
      <c r="E8" s="107" t="s">
        <v>306</v>
      </c>
      <c r="F8" s="107" t="s">
        <v>1568</v>
      </c>
      <c r="G8" s="107" t="s">
        <v>1555</v>
      </c>
      <c r="H8" s="107">
        <f t="shared" si="0"/>
        <v>1</v>
      </c>
      <c r="I8" s="107" t="s">
        <v>19</v>
      </c>
      <c r="J8" t="s">
        <v>1554</v>
      </c>
      <c r="K8" s="107" t="s">
        <v>323</v>
      </c>
      <c r="L8" s="107">
        <v>1808015.6183272291</v>
      </c>
      <c r="M8" s="107" t="s">
        <v>14</v>
      </c>
      <c r="N8" s="107"/>
      <c r="O8" s="107"/>
      <c r="P8" s="107"/>
    </row>
    <row r="9" spans="1:77" x14ac:dyDescent="0.35">
      <c r="A9" s="107" t="s">
        <v>1554</v>
      </c>
      <c r="B9" s="107" t="s">
        <v>756</v>
      </c>
      <c r="C9" s="107" t="s">
        <v>167</v>
      </c>
      <c r="D9" s="107" t="s">
        <v>277</v>
      </c>
      <c r="E9" s="107" t="s">
        <v>306</v>
      </c>
      <c r="F9" s="107" t="s">
        <v>1568</v>
      </c>
      <c r="G9" s="107" t="s">
        <v>1555</v>
      </c>
      <c r="H9" s="107">
        <f t="shared" si="0"/>
        <v>1</v>
      </c>
      <c r="I9" s="107" t="s">
        <v>19</v>
      </c>
      <c r="J9" t="s">
        <v>1554</v>
      </c>
      <c r="K9" s="107" t="s">
        <v>323</v>
      </c>
      <c r="L9" s="107">
        <v>1808015.6183272291</v>
      </c>
      <c r="M9" s="107" t="s">
        <v>14</v>
      </c>
      <c r="N9" s="107"/>
      <c r="O9" s="107"/>
      <c r="P9" s="107"/>
    </row>
    <row r="10" spans="1:77" x14ac:dyDescent="0.35">
      <c r="A10" s="107" t="s">
        <v>1556</v>
      </c>
      <c r="B10" s="107" t="s">
        <v>893</v>
      </c>
      <c r="C10" s="107" t="s">
        <v>178</v>
      </c>
      <c r="D10" s="107" t="s">
        <v>289</v>
      </c>
      <c r="E10" s="107" t="s">
        <v>306</v>
      </c>
      <c r="F10" s="107" t="s">
        <v>289</v>
      </c>
      <c r="G10" s="107" t="s">
        <v>1548</v>
      </c>
      <c r="H10" s="107">
        <f t="shared" si="0"/>
        <v>1</v>
      </c>
      <c r="I10" s="107" t="s">
        <v>19</v>
      </c>
      <c r="J10" t="s">
        <v>1556</v>
      </c>
      <c r="K10" s="107" t="s">
        <v>323</v>
      </c>
      <c r="L10" s="107">
        <v>4700840.607650795</v>
      </c>
      <c r="M10" s="107" t="s">
        <v>14</v>
      </c>
      <c r="N10" s="107"/>
      <c r="O10" s="107"/>
      <c r="P10" s="107"/>
    </row>
    <row r="11" spans="1:77" x14ac:dyDescent="0.35">
      <c r="A11" s="107" t="s">
        <v>1556</v>
      </c>
      <c r="B11" s="107" t="s">
        <v>893</v>
      </c>
      <c r="C11" s="107" t="s">
        <v>178</v>
      </c>
      <c r="D11" s="107" t="s">
        <v>277</v>
      </c>
      <c r="E11" s="107" t="s">
        <v>306</v>
      </c>
      <c r="F11" s="107" t="s">
        <v>289</v>
      </c>
      <c r="G11" s="107" t="s">
        <v>1548</v>
      </c>
      <c r="H11" s="107">
        <f t="shared" si="0"/>
        <v>1</v>
      </c>
      <c r="I11" s="107" t="s">
        <v>19</v>
      </c>
      <c r="J11" t="s">
        <v>1556</v>
      </c>
      <c r="K11" s="107" t="s">
        <v>323</v>
      </c>
      <c r="L11" s="107">
        <v>4700840.607650795</v>
      </c>
      <c r="M11" s="107" t="s">
        <v>14</v>
      </c>
      <c r="N11" s="107"/>
      <c r="O11" s="107"/>
      <c r="P11" s="107"/>
    </row>
    <row r="12" spans="1:77" hidden="1" x14ac:dyDescent="0.35">
      <c r="A12" s="107" t="s">
        <v>1557</v>
      </c>
      <c r="B12" s="107" t="s">
        <v>1558</v>
      </c>
      <c r="C12" s="107" t="s">
        <v>147</v>
      </c>
      <c r="D12" s="107" t="s">
        <v>289</v>
      </c>
      <c r="E12" s="107" t="s">
        <v>306</v>
      </c>
      <c r="F12" s="107" t="s">
        <v>289</v>
      </c>
      <c r="G12" s="107" t="s">
        <v>1559</v>
      </c>
      <c r="H12" s="107">
        <f t="shared" si="0"/>
        <v>0</v>
      </c>
      <c r="I12" s="107" t="s">
        <v>19</v>
      </c>
      <c r="J12" t="s">
        <v>1557</v>
      </c>
      <c r="K12" s="107" t="s">
        <v>323</v>
      </c>
      <c r="L12" s="107">
        <v>5345437.4802718069</v>
      </c>
      <c r="M12" s="107" t="s">
        <v>14</v>
      </c>
      <c r="N12" s="107"/>
      <c r="O12" s="107"/>
      <c r="P12" s="107"/>
    </row>
    <row r="13" spans="1:77" hidden="1" x14ac:dyDescent="0.35">
      <c r="A13" s="107" t="s">
        <v>1557</v>
      </c>
      <c r="B13" s="107" t="s">
        <v>1558</v>
      </c>
      <c r="C13" s="107" t="s">
        <v>147</v>
      </c>
      <c r="D13" s="107" t="s">
        <v>277</v>
      </c>
      <c r="E13" s="107" t="s">
        <v>306</v>
      </c>
      <c r="F13" s="107" t="s">
        <v>289</v>
      </c>
      <c r="G13" s="107" t="s">
        <v>1559</v>
      </c>
      <c r="H13" s="107">
        <f t="shared" si="0"/>
        <v>0</v>
      </c>
      <c r="I13" s="107" t="s">
        <v>19</v>
      </c>
      <c r="J13" t="s">
        <v>1557</v>
      </c>
      <c r="K13" s="107" t="s">
        <v>323</v>
      </c>
      <c r="L13" s="107">
        <v>5345437.4802718069</v>
      </c>
      <c r="M13" s="107" t="s">
        <v>14</v>
      </c>
      <c r="N13" s="107"/>
      <c r="O13" s="107"/>
      <c r="P13" s="107"/>
    </row>
    <row r="14" spans="1:77" hidden="1" x14ac:dyDescent="0.35">
      <c r="A14" s="107" t="s">
        <v>1560</v>
      </c>
      <c r="B14" s="107" t="s">
        <v>1561</v>
      </c>
      <c r="C14" s="107" t="s">
        <v>156</v>
      </c>
      <c r="D14" s="107" t="s">
        <v>289</v>
      </c>
      <c r="E14" s="107" t="s">
        <v>306</v>
      </c>
      <c r="F14" s="107" t="s">
        <v>289</v>
      </c>
      <c r="G14" s="107" t="s">
        <v>1548</v>
      </c>
      <c r="H14" s="107">
        <f t="shared" si="0"/>
        <v>0</v>
      </c>
      <c r="I14" s="107" t="s">
        <v>19</v>
      </c>
      <c r="J14" t="s">
        <v>1725</v>
      </c>
      <c r="K14" s="107" t="s">
        <v>323</v>
      </c>
      <c r="L14" s="107">
        <v>282993.74895556626</v>
      </c>
      <c r="M14" s="107" t="s">
        <v>14</v>
      </c>
      <c r="N14" s="107"/>
      <c r="O14" s="107"/>
      <c r="P14" s="107"/>
    </row>
    <row r="15" spans="1:77" hidden="1" x14ac:dyDescent="0.35">
      <c r="A15" s="107" t="s">
        <v>1560</v>
      </c>
      <c r="B15" s="107" t="s">
        <v>1561</v>
      </c>
      <c r="C15" s="107" t="s">
        <v>156</v>
      </c>
      <c r="D15" s="107" t="s">
        <v>277</v>
      </c>
      <c r="E15" s="107" t="s">
        <v>306</v>
      </c>
      <c r="F15" s="107" t="s">
        <v>289</v>
      </c>
      <c r="G15" s="107" t="s">
        <v>1548</v>
      </c>
      <c r="H15" s="107">
        <f t="shared" si="0"/>
        <v>0</v>
      </c>
      <c r="I15" s="107" t="s">
        <v>19</v>
      </c>
      <c r="J15" t="s">
        <v>1725</v>
      </c>
      <c r="K15" s="107" t="s">
        <v>323</v>
      </c>
      <c r="L15" s="107">
        <v>282993.74895556626</v>
      </c>
      <c r="M15" s="107" t="s">
        <v>14</v>
      </c>
      <c r="N15" s="107"/>
      <c r="O15" s="107"/>
      <c r="P15" s="107"/>
    </row>
    <row r="16" spans="1:77" hidden="1" x14ac:dyDescent="0.35">
      <c r="A16" s="107" t="s">
        <v>1562</v>
      </c>
      <c r="B16" s="107" t="s">
        <v>885</v>
      </c>
      <c r="C16" s="107" t="s">
        <v>159</v>
      </c>
      <c r="D16" s="107" t="s">
        <v>289</v>
      </c>
      <c r="E16" s="107" t="s">
        <v>306</v>
      </c>
      <c r="F16" s="107" t="s">
        <v>289</v>
      </c>
      <c r="G16" s="107" t="s">
        <v>1563</v>
      </c>
      <c r="H16" s="107">
        <f t="shared" si="0"/>
        <v>0</v>
      </c>
      <c r="I16" s="107" t="s">
        <v>19</v>
      </c>
      <c r="J16" t="s">
        <v>1726</v>
      </c>
      <c r="K16" s="107" t="s">
        <v>323</v>
      </c>
      <c r="L16" s="107">
        <v>707484.37238891562</v>
      </c>
      <c r="M16" s="107" t="s">
        <v>14</v>
      </c>
      <c r="N16" s="107"/>
      <c r="O16" s="107"/>
      <c r="P16" s="107"/>
    </row>
    <row r="17" spans="1:16" hidden="1" x14ac:dyDescent="0.35">
      <c r="A17" s="107" t="s">
        <v>1562</v>
      </c>
      <c r="B17" s="107" t="s">
        <v>885</v>
      </c>
      <c r="C17" s="107" t="s">
        <v>159</v>
      </c>
      <c r="D17" s="107" t="s">
        <v>277</v>
      </c>
      <c r="E17" s="107" t="s">
        <v>306</v>
      </c>
      <c r="F17" s="107" t="s">
        <v>289</v>
      </c>
      <c r="G17" s="107" t="s">
        <v>1563</v>
      </c>
      <c r="H17" s="107">
        <f t="shared" si="0"/>
        <v>0</v>
      </c>
      <c r="I17" s="107" t="s">
        <v>19</v>
      </c>
      <c r="J17" t="s">
        <v>1726</v>
      </c>
      <c r="K17" s="107" t="s">
        <v>323</v>
      </c>
      <c r="L17" s="107">
        <v>707484.37238891562</v>
      </c>
      <c r="M17" s="107" t="s">
        <v>14</v>
      </c>
      <c r="N17" s="107"/>
      <c r="O17" s="107"/>
      <c r="P17" s="107"/>
    </row>
    <row r="18" spans="1:16" hidden="1" x14ac:dyDescent="0.35">
      <c r="A18" s="107" t="s">
        <v>1564</v>
      </c>
      <c r="B18" s="107" t="s">
        <v>543</v>
      </c>
      <c r="C18" s="107" t="s">
        <v>184</v>
      </c>
      <c r="D18" s="107" t="s">
        <v>289</v>
      </c>
      <c r="E18" s="107" t="s">
        <v>306</v>
      </c>
      <c r="F18" s="107" t="s">
        <v>289</v>
      </c>
      <c r="G18" s="107" t="s">
        <v>1550</v>
      </c>
      <c r="H18" s="107">
        <f t="shared" si="0"/>
        <v>0</v>
      </c>
      <c r="I18" s="107" t="s">
        <v>19</v>
      </c>
      <c r="J18" t="s">
        <v>1564</v>
      </c>
      <c r="K18" s="107" t="s">
        <v>323</v>
      </c>
      <c r="L18" s="107">
        <v>1965234.3677469881</v>
      </c>
      <c r="M18" s="107" t="s">
        <v>14</v>
      </c>
      <c r="N18" s="107"/>
      <c r="O18" s="107"/>
      <c r="P18" s="107"/>
    </row>
    <row r="19" spans="1:16" hidden="1" x14ac:dyDescent="0.35">
      <c r="A19" s="107" t="s">
        <v>1564</v>
      </c>
      <c r="B19" s="107" t="s">
        <v>543</v>
      </c>
      <c r="C19" s="107" t="s">
        <v>184</v>
      </c>
      <c r="D19" s="107" t="s">
        <v>277</v>
      </c>
      <c r="E19" s="107" t="s">
        <v>306</v>
      </c>
      <c r="F19" s="107" t="s">
        <v>289</v>
      </c>
      <c r="G19" s="107" t="s">
        <v>1550</v>
      </c>
      <c r="H19" s="107">
        <f t="shared" si="0"/>
        <v>0</v>
      </c>
      <c r="I19" s="107" t="s">
        <v>19</v>
      </c>
      <c r="J19" t="s">
        <v>1564</v>
      </c>
      <c r="K19" s="107" t="s">
        <v>323</v>
      </c>
      <c r="L19" s="107">
        <v>1965234.3677469881</v>
      </c>
      <c r="M19" s="107" t="s">
        <v>14</v>
      </c>
      <c r="N19" s="107"/>
      <c r="O19" s="107"/>
      <c r="P19" s="107"/>
    </row>
    <row r="20" spans="1:16" hidden="1" x14ac:dyDescent="0.35">
      <c r="A20" s="107" t="s">
        <v>1565</v>
      </c>
      <c r="B20" s="107" t="s">
        <v>1566</v>
      </c>
      <c r="C20" s="107" t="s">
        <v>147</v>
      </c>
      <c r="D20" s="107" t="s">
        <v>289</v>
      </c>
      <c r="E20" s="107" t="s">
        <v>306</v>
      </c>
      <c r="F20" s="107" t="s">
        <v>289</v>
      </c>
      <c r="G20" s="107" t="s">
        <v>1563</v>
      </c>
      <c r="H20" s="107">
        <f t="shared" si="0"/>
        <v>0</v>
      </c>
      <c r="I20" s="107" t="s">
        <v>19</v>
      </c>
      <c r="J20" t="s">
        <v>1565</v>
      </c>
      <c r="K20" s="107" t="s">
        <v>323</v>
      </c>
      <c r="L20" s="107">
        <v>2672718.7401359035</v>
      </c>
      <c r="M20" s="107" t="s">
        <v>14</v>
      </c>
      <c r="N20" s="107"/>
      <c r="O20" s="107"/>
      <c r="P20" s="107"/>
    </row>
    <row r="21" spans="1:16" hidden="1" x14ac:dyDescent="0.35">
      <c r="A21" s="107" t="s">
        <v>1565</v>
      </c>
      <c r="B21" s="107" t="s">
        <v>1566</v>
      </c>
      <c r="C21" s="107" t="s">
        <v>147</v>
      </c>
      <c r="D21" s="107" t="s">
        <v>277</v>
      </c>
      <c r="E21" s="107" t="s">
        <v>306</v>
      </c>
      <c r="F21" s="107" t="s">
        <v>289</v>
      </c>
      <c r="G21" s="107" t="s">
        <v>1563</v>
      </c>
      <c r="H21" s="107">
        <f t="shared" si="0"/>
        <v>0</v>
      </c>
      <c r="I21" s="107" t="s">
        <v>19</v>
      </c>
      <c r="J21" t="s">
        <v>1565</v>
      </c>
      <c r="K21" s="107" t="s">
        <v>323</v>
      </c>
      <c r="L21" s="107">
        <v>2672718.7401359035</v>
      </c>
      <c r="M21" s="107" t="s">
        <v>14</v>
      </c>
      <c r="N21" s="107"/>
      <c r="O21" s="107"/>
      <c r="P21" s="10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B257-E4FE-459D-A383-D15A19C6C41E}">
  <sheetPr>
    <tabColor theme="8" tint="0.59999389629810485"/>
  </sheetPr>
  <dimension ref="A1:CA1463"/>
  <sheetViews>
    <sheetView topLeftCell="D1" workbookViewId="0">
      <selection activeCell="H4" sqref="H4"/>
    </sheetView>
  </sheetViews>
  <sheetFormatPr defaultRowHeight="14.5" x14ac:dyDescent="0.35"/>
  <cols>
    <col min="1" max="1" width="15.1796875" bestFit="1" customWidth="1"/>
    <col min="2" max="2" width="18.81640625" bestFit="1" customWidth="1"/>
    <col min="3" max="3" width="36.54296875" bestFit="1" customWidth="1"/>
    <col min="4" max="4" width="10.1796875" bestFit="1" customWidth="1"/>
    <col min="5" max="5" width="14.1796875" customWidth="1"/>
    <col min="6" max="6" width="48.36328125" bestFit="1" customWidth="1"/>
    <col min="7" max="7" width="22.81640625" customWidth="1"/>
    <col min="8" max="8" width="16" customWidth="1"/>
    <col min="9" max="10" width="8.81640625" customWidth="1"/>
    <col min="11" max="11" width="14.54296875" customWidth="1"/>
    <col min="12" max="12" width="14.1796875" customWidth="1"/>
    <col min="16" max="17" width="10.54296875" bestFit="1" customWidth="1"/>
  </cols>
  <sheetData>
    <row r="1" spans="1:79" s="102" customFormat="1" ht="29" x14ac:dyDescent="0.35">
      <c r="A1" s="109" t="s">
        <v>143</v>
      </c>
      <c r="B1" s="109" t="s">
        <v>436</v>
      </c>
      <c r="C1" s="109" t="s">
        <v>1134</v>
      </c>
      <c r="D1" s="122" t="s">
        <v>317</v>
      </c>
      <c r="E1" s="110" t="s">
        <v>25</v>
      </c>
      <c r="F1" s="110" t="s">
        <v>35</v>
      </c>
      <c r="G1" s="110" t="s">
        <v>31</v>
      </c>
      <c r="H1" s="100" t="s">
        <v>24</v>
      </c>
      <c r="I1" s="100" t="s">
        <v>36</v>
      </c>
      <c r="J1" s="100" t="s">
        <v>44</v>
      </c>
      <c r="K1" s="100" t="s">
        <v>194</v>
      </c>
      <c r="L1" s="100" t="s">
        <v>45</v>
      </c>
    </row>
    <row r="2" spans="1:79" hidden="1" x14ac:dyDescent="0.35">
      <c r="A2" t="s">
        <v>144</v>
      </c>
      <c r="B2" t="s">
        <v>437</v>
      </c>
      <c r="C2" t="s">
        <v>1158</v>
      </c>
      <c r="D2">
        <f t="shared" ref="D2:D65" si="0">SIGN(SUBTOTAL(3,E2))</f>
        <v>0</v>
      </c>
      <c r="E2" t="s">
        <v>19</v>
      </c>
      <c r="F2" t="s">
        <v>1158</v>
      </c>
      <c r="G2" t="s">
        <v>322</v>
      </c>
      <c r="N2" s="107"/>
      <c r="CA2" t="s">
        <v>1614</v>
      </c>
    </row>
    <row r="3" spans="1:79" hidden="1" x14ac:dyDescent="0.35">
      <c r="A3" t="s">
        <v>144</v>
      </c>
      <c r="B3" t="s">
        <v>568</v>
      </c>
      <c r="C3" t="s">
        <v>1164</v>
      </c>
      <c r="D3">
        <f t="shared" si="0"/>
        <v>0</v>
      </c>
      <c r="E3" t="s">
        <v>19</v>
      </c>
      <c r="F3" t="s">
        <v>1748</v>
      </c>
      <c r="G3" t="s">
        <v>322</v>
      </c>
      <c r="N3" s="107"/>
    </row>
    <row r="4" spans="1:79" hidden="1" x14ac:dyDescent="0.35">
      <c r="A4" t="s">
        <v>144</v>
      </c>
      <c r="B4" t="s">
        <v>569</v>
      </c>
      <c r="C4" t="s">
        <v>1164</v>
      </c>
      <c r="D4">
        <f t="shared" si="0"/>
        <v>0</v>
      </c>
      <c r="E4" t="s">
        <v>19</v>
      </c>
      <c r="F4" t="s">
        <v>1749</v>
      </c>
      <c r="G4" t="s">
        <v>322</v>
      </c>
      <c r="N4" s="107"/>
    </row>
    <row r="5" spans="1:79" hidden="1" x14ac:dyDescent="0.35">
      <c r="A5" t="s">
        <v>144</v>
      </c>
      <c r="B5" t="s">
        <v>437</v>
      </c>
      <c r="C5" t="s">
        <v>1171</v>
      </c>
      <c r="D5">
        <f t="shared" si="0"/>
        <v>0</v>
      </c>
      <c r="E5" t="s">
        <v>19</v>
      </c>
      <c r="F5" t="s">
        <v>1755</v>
      </c>
      <c r="G5" t="s">
        <v>322</v>
      </c>
      <c r="N5" s="107"/>
    </row>
    <row r="6" spans="1:79" hidden="1" x14ac:dyDescent="0.35">
      <c r="A6" t="s">
        <v>144</v>
      </c>
      <c r="B6" t="s">
        <v>437</v>
      </c>
      <c r="C6" t="s">
        <v>1177</v>
      </c>
      <c r="D6">
        <f t="shared" si="0"/>
        <v>0</v>
      </c>
      <c r="E6" t="s">
        <v>19</v>
      </c>
      <c r="F6" t="s">
        <v>1177</v>
      </c>
      <c r="G6" t="s">
        <v>322</v>
      </c>
      <c r="N6" s="107"/>
    </row>
    <row r="7" spans="1:79" hidden="1" x14ac:dyDescent="0.35">
      <c r="A7" t="s">
        <v>144</v>
      </c>
      <c r="B7" t="s">
        <v>620</v>
      </c>
      <c r="C7" t="s">
        <v>1180</v>
      </c>
      <c r="D7">
        <f t="shared" si="0"/>
        <v>0</v>
      </c>
      <c r="E7" t="s">
        <v>19</v>
      </c>
      <c r="F7" t="s">
        <v>1820</v>
      </c>
      <c r="G7" t="s">
        <v>322</v>
      </c>
      <c r="N7" s="107"/>
    </row>
    <row r="8" spans="1:79" hidden="1" x14ac:dyDescent="0.35">
      <c r="A8" t="s">
        <v>144</v>
      </c>
      <c r="B8" t="s">
        <v>623</v>
      </c>
      <c r="C8" t="s">
        <v>1180</v>
      </c>
      <c r="D8">
        <f t="shared" si="0"/>
        <v>0</v>
      </c>
      <c r="E8" t="s">
        <v>19</v>
      </c>
      <c r="F8" t="s">
        <v>1824</v>
      </c>
      <c r="G8" t="s">
        <v>322</v>
      </c>
      <c r="N8" s="107"/>
    </row>
    <row r="9" spans="1:79" hidden="1" x14ac:dyDescent="0.35">
      <c r="A9" t="s">
        <v>144</v>
      </c>
      <c r="B9" t="s">
        <v>624</v>
      </c>
      <c r="C9" t="s">
        <v>1180</v>
      </c>
      <c r="D9">
        <f t="shared" si="0"/>
        <v>0</v>
      </c>
      <c r="E9" t="s">
        <v>19</v>
      </c>
      <c r="F9" t="s">
        <v>1825</v>
      </c>
      <c r="G9" t="s">
        <v>322</v>
      </c>
      <c r="N9" s="107"/>
    </row>
    <row r="10" spans="1:79" hidden="1" x14ac:dyDescent="0.35">
      <c r="A10" t="s">
        <v>144</v>
      </c>
      <c r="B10" t="s">
        <v>623</v>
      </c>
      <c r="C10" t="s">
        <v>1208</v>
      </c>
      <c r="D10">
        <f t="shared" si="0"/>
        <v>0</v>
      </c>
      <c r="E10" t="s">
        <v>19</v>
      </c>
      <c r="F10" t="s">
        <v>1882</v>
      </c>
      <c r="G10" t="s">
        <v>322</v>
      </c>
      <c r="N10" s="107"/>
    </row>
    <row r="11" spans="1:79" hidden="1" x14ac:dyDescent="0.35">
      <c r="A11" t="s">
        <v>144</v>
      </c>
      <c r="B11" t="s">
        <v>437</v>
      </c>
      <c r="C11" t="s">
        <v>1227</v>
      </c>
      <c r="D11">
        <f t="shared" si="0"/>
        <v>0</v>
      </c>
      <c r="E11" t="s">
        <v>19</v>
      </c>
      <c r="F11" t="s">
        <v>1953</v>
      </c>
      <c r="G11" t="s">
        <v>322</v>
      </c>
      <c r="N11" s="107"/>
    </row>
    <row r="12" spans="1:79" hidden="1" x14ac:dyDescent="0.35">
      <c r="A12" t="s">
        <v>144</v>
      </c>
      <c r="B12" t="s">
        <v>623</v>
      </c>
      <c r="C12" t="s">
        <v>1227</v>
      </c>
      <c r="D12">
        <f t="shared" si="0"/>
        <v>0</v>
      </c>
      <c r="E12" t="s">
        <v>19</v>
      </c>
      <c r="F12" t="s">
        <v>1956</v>
      </c>
      <c r="G12" t="s">
        <v>322</v>
      </c>
      <c r="N12" s="107"/>
    </row>
    <row r="13" spans="1:79" hidden="1" x14ac:dyDescent="0.35">
      <c r="A13" t="s">
        <v>144</v>
      </c>
      <c r="B13" t="s">
        <v>437</v>
      </c>
      <c r="C13" t="s">
        <v>1233</v>
      </c>
      <c r="D13">
        <f t="shared" si="0"/>
        <v>0</v>
      </c>
      <c r="E13" t="s">
        <v>19</v>
      </c>
      <c r="F13" t="s">
        <v>2010</v>
      </c>
      <c r="G13" t="s">
        <v>322</v>
      </c>
      <c r="N13" s="107"/>
    </row>
    <row r="14" spans="1:79" hidden="1" x14ac:dyDescent="0.35">
      <c r="A14" t="s">
        <v>144</v>
      </c>
      <c r="B14" t="s">
        <v>437</v>
      </c>
      <c r="C14" t="s">
        <v>1287</v>
      </c>
      <c r="D14">
        <f t="shared" si="0"/>
        <v>0</v>
      </c>
      <c r="E14" t="s">
        <v>19</v>
      </c>
      <c r="F14" t="s">
        <v>2138</v>
      </c>
      <c r="G14" t="s">
        <v>322</v>
      </c>
      <c r="N14" s="107"/>
    </row>
    <row r="15" spans="1:79" hidden="1" x14ac:dyDescent="0.35">
      <c r="A15" t="s">
        <v>144</v>
      </c>
      <c r="B15" t="s">
        <v>829</v>
      </c>
      <c r="C15" t="s">
        <v>1301</v>
      </c>
      <c r="D15">
        <f t="shared" si="0"/>
        <v>0</v>
      </c>
      <c r="E15" t="s">
        <v>19</v>
      </c>
      <c r="F15" t="s">
        <v>2168</v>
      </c>
      <c r="G15" t="s">
        <v>322</v>
      </c>
      <c r="N15" s="107"/>
    </row>
    <row r="16" spans="1:79" hidden="1" x14ac:dyDescent="0.35">
      <c r="A16" t="s">
        <v>144</v>
      </c>
      <c r="B16" t="s">
        <v>830</v>
      </c>
      <c r="C16" t="s">
        <v>1301</v>
      </c>
      <c r="D16">
        <f t="shared" si="0"/>
        <v>0</v>
      </c>
      <c r="E16" t="s">
        <v>19</v>
      </c>
      <c r="F16" t="s">
        <v>2169</v>
      </c>
      <c r="G16" t="s">
        <v>322</v>
      </c>
      <c r="N16" s="107"/>
    </row>
    <row r="17" spans="1:14" hidden="1" x14ac:dyDescent="0.35">
      <c r="A17" t="s">
        <v>144</v>
      </c>
      <c r="B17" t="s">
        <v>857</v>
      </c>
      <c r="C17" t="s">
        <v>1307</v>
      </c>
      <c r="D17">
        <f t="shared" si="0"/>
        <v>0</v>
      </c>
      <c r="E17" t="s">
        <v>19</v>
      </c>
      <c r="F17" t="s">
        <v>2202</v>
      </c>
      <c r="G17" t="s">
        <v>322</v>
      </c>
      <c r="N17" s="107"/>
    </row>
    <row r="18" spans="1:14" hidden="1" x14ac:dyDescent="0.35">
      <c r="A18" t="s">
        <v>144</v>
      </c>
      <c r="B18" t="s">
        <v>437</v>
      </c>
      <c r="C18" t="s">
        <v>1334</v>
      </c>
      <c r="D18">
        <f t="shared" si="0"/>
        <v>0</v>
      </c>
      <c r="E18" t="s">
        <v>19</v>
      </c>
      <c r="F18" t="s">
        <v>1334</v>
      </c>
      <c r="G18" t="s">
        <v>322</v>
      </c>
      <c r="N18" s="107"/>
    </row>
    <row r="19" spans="1:14" hidden="1" x14ac:dyDescent="0.35">
      <c r="A19" t="s">
        <v>144</v>
      </c>
      <c r="B19" t="s">
        <v>569</v>
      </c>
      <c r="C19" t="s">
        <v>1354</v>
      </c>
      <c r="D19">
        <f t="shared" si="0"/>
        <v>0</v>
      </c>
      <c r="E19" t="s">
        <v>19</v>
      </c>
      <c r="F19" t="s">
        <v>1354</v>
      </c>
      <c r="G19" t="s">
        <v>322</v>
      </c>
      <c r="N19" s="107"/>
    </row>
    <row r="20" spans="1:14" hidden="1" x14ac:dyDescent="0.35">
      <c r="A20" t="s">
        <v>144</v>
      </c>
      <c r="B20" t="s">
        <v>437</v>
      </c>
      <c r="C20" t="s">
        <v>1392</v>
      </c>
      <c r="D20">
        <f t="shared" si="0"/>
        <v>0</v>
      </c>
      <c r="E20" t="s">
        <v>19</v>
      </c>
      <c r="F20" t="s">
        <v>2378</v>
      </c>
      <c r="G20" t="s">
        <v>322</v>
      </c>
      <c r="N20" s="107"/>
    </row>
    <row r="21" spans="1:14" hidden="1" x14ac:dyDescent="0.35">
      <c r="A21" t="s">
        <v>144</v>
      </c>
      <c r="B21" t="s">
        <v>623</v>
      </c>
      <c r="C21" t="s">
        <v>1403</v>
      </c>
      <c r="D21">
        <f t="shared" si="0"/>
        <v>0</v>
      </c>
      <c r="E21" t="s">
        <v>19</v>
      </c>
      <c r="F21" t="s">
        <v>2386</v>
      </c>
      <c r="G21" t="s">
        <v>322</v>
      </c>
      <c r="N21" s="107"/>
    </row>
    <row r="22" spans="1:14" hidden="1" x14ac:dyDescent="0.35">
      <c r="A22" t="s">
        <v>144</v>
      </c>
      <c r="B22" t="s">
        <v>957</v>
      </c>
      <c r="C22" t="s">
        <v>1403</v>
      </c>
      <c r="D22">
        <f t="shared" si="0"/>
        <v>0</v>
      </c>
      <c r="E22" t="s">
        <v>19</v>
      </c>
      <c r="F22" t="s">
        <v>2387</v>
      </c>
      <c r="G22" t="s">
        <v>322</v>
      </c>
      <c r="N22" s="107"/>
    </row>
    <row r="23" spans="1:14" hidden="1" x14ac:dyDescent="0.35">
      <c r="A23" t="s">
        <v>144</v>
      </c>
      <c r="B23" t="s">
        <v>437</v>
      </c>
      <c r="C23" t="s">
        <v>1414</v>
      </c>
      <c r="D23">
        <f t="shared" si="0"/>
        <v>0</v>
      </c>
      <c r="E23" t="s">
        <v>19</v>
      </c>
      <c r="F23" t="s">
        <v>2503</v>
      </c>
      <c r="G23" t="s">
        <v>322</v>
      </c>
      <c r="N23" s="107"/>
    </row>
    <row r="24" spans="1:14" hidden="1" x14ac:dyDescent="0.35">
      <c r="A24" t="s">
        <v>144</v>
      </c>
      <c r="B24" t="s">
        <v>623</v>
      </c>
      <c r="C24" t="s">
        <v>1414</v>
      </c>
      <c r="D24">
        <f t="shared" si="0"/>
        <v>0</v>
      </c>
      <c r="E24" t="s">
        <v>19</v>
      </c>
      <c r="F24" t="s">
        <v>2505</v>
      </c>
      <c r="G24" t="s">
        <v>322</v>
      </c>
      <c r="N24" s="107"/>
    </row>
    <row r="25" spans="1:14" hidden="1" x14ac:dyDescent="0.35">
      <c r="A25" t="s">
        <v>144</v>
      </c>
      <c r="B25" t="s">
        <v>569</v>
      </c>
      <c r="C25" t="s">
        <v>1419</v>
      </c>
      <c r="D25">
        <f t="shared" si="0"/>
        <v>0</v>
      </c>
      <c r="E25" t="s">
        <v>19</v>
      </c>
      <c r="F25" t="s">
        <v>2540</v>
      </c>
      <c r="G25" t="s">
        <v>322</v>
      </c>
      <c r="N25" s="107"/>
    </row>
    <row r="26" spans="1:14" hidden="1" x14ac:dyDescent="0.35">
      <c r="A26" t="s">
        <v>144</v>
      </c>
      <c r="B26" t="s">
        <v>1018</v>
      </c>
      <c r="C26" t="s">
        <v>1419</v>
      </c>
      <c r="D26">
        <f t="shared" si="0"/>
        <v>0</v>
      </c>
      <c r="E26" t="s">
        <v>19</v>
      </c>
      <c r="F26" t="s">
        <v>2541</v>
      </c>
      <c r="G26" t="s">
        <v>322</v>
      </c>
      <c r="N26" s="107"/>
    </row>
    <row r="27" spans="1:14" hidden="1" x14ac:dyDescent="0.35">
      <c r="A27" t="s">
        <v>144</v>
      </c>
      <c r="B27" t="s">
        <v>569</v>
      </c>
      <c r="C27" t="s">
        <v>1426</v>
      </c>
      <c r="D27">
        <f t="shared" si="0"/>
        <v>0</v>
      </c>
      <c r="E27" t="s">
        <v>19</v>
      </c>
      <c r="F27" t="s">
        <v>2556</v>
      </c>
      <c r="G27" t="s">
        <v>322</v>
      </c>
      <c r="N27" s="107"/>
    </row>
    <row r="28" spans="1:14" hidden="1" x14ac:dyDescent="0.35">
      <c r="A28" t="s">
        <v>144</v>
      </c>
      <c r="B28" t="s">
        <v>569</v>
      </c>
      <c r="C28" t="s">
        <v>1426</v>
      </c>
      <c r="D28">
        <f t="shared" si="0"/>
        <v>0</v>
      </c>
      <c r="E28" t="s">
        <v>19</v>
      </c>
      <c r="F28" t="s">
        <v>2557</v>
      </c>
      <c r="G28" t="s">
        <v>322</v>
      </c>
      <c r="N28" s="107"/>
    </row>
    <row r="29" spans="1:14" hidden="1" x14ac:dyDescent="0.35">
      <c r="A29" t="s">
        <v>144</v>
      </c>
      <c r="B29" t="s">
        <v>437</v>
      </c>
      <c r="C29" t="s">
        <v>1462</v>
      </c>
      <c r="D29">
        <f t="shared" si="0"/>
        <v>0</v>
      </c>
      <c r="E29" t="s">
        <v>19</v>
      </c>
      <c r="F29" t="s">
        <v>2664</v>
      </c>
      <c r="G29" t="s">
        <v>322</v>
      </c>
      <c r="N29" s="107"/>
    </row>
    <row r="30" spans="1:14" hidden="1" x14ac:dyDescent="0.35">
      <c r="A30" t="s">
        <v>144</v>
      </c>
      <c r="B30" t="s">
        <v>437</v>
      </c>
      <c r="C30" t="s">
        <v>1479</v>
      </c>
      <c r="D30">
        <f t="shared" si="0"/>
        <v>0</v>
      </c>
      <c r="E30" t="s">
        <v>19</v>
      </c>
      <c r="F30" t="s">
        <v>2705</v>
      </c>
      <c r="G30" t="s">
        <v>322</v>
      </c>
      <c r="N30" s="107"/>
    </row>
    <row r="31" spans="1:14" hidden="1" x14ac:dyDescent="0.35">
      <c r="A31" t="s">
        <v>144</v>
      </c>
      <c r="B31" t="s">
        <v>623</v>
      </c>
      <c r="C31" t="s">
        <v>1488</v>
      </c>
      <c r="D31">
        <f t="shared" si="0"/>
        <v>0</v>
      </c>
      <c r="E31" t="s">
        <v>19</v>
      </c>
      <c r="F31" t="s">
        <v>2733</v>
      </c>
      <c r="G31" t="s">
        <v>322</v>
      </c>
      <c r="N31" s="107"/>
    </row>
    <row r="32" spans="1:14" hidden="1" x14ac:dyDescent="0.35">
      <c r="A32" t="s">
        <v>144</v>
      </c>
      <c r="B32" t="s">
        <v>1090</v>
      </c>
      <c r="C32" t="s">
        <v>1516</v>
      </c>
      <c r="D32">
        <f t="shared" si="0"/>
        <v>0</v>
      </c>
      <c r="E32" t="s">
        <v>19</v>
      </c>
      <c r="F32" t="s">
        <v>2815</v>
      </c>
      <c r="G32" t="s">
        <v>322</v>
      </c>
      <c r="N32" s="107"/>
    </row>
    <row r="33" spans="1:14" hidden="1" x14ac:dyDescent="0.35">
      <c r="A33" t="s">
        <v>144</v>
      </c>
      <c r="B33" t="s">
        <v>1125</v>
      </c>
      <c r="C33" t="s">
        <v>1525</v>
      </c>
      <c r="D33">
        <f t="shared" si="0"/>
        <v>0</v>
      </c>
      <c r="E33" t="s">
        <v>19</v>
      </c>
      <c r="F33" t="s">
        <v>1525</v>
      </c>
      <c r="G33" t="s">
        <v>322</v>
      </c>
      <c r="N33" s="107"/>
    </row>
    <row r="34" spans="1:14" hidden="1" x14ac:dyDescent="0.35">
      <c r="A34" t="s">
        <v>144</v>
      </c>
      <c r="B34" t="s">
        <v>1130</v>
      </c>
      <c r="C34" t="s">
        <v>1532</v>
      </c>
      <c r="D34">
        <f t="shared" si="0"/>
        <v>0</v>
      </c>
      <c r="E34" t="s">
        <v>19</v>
      </c>
      <c r="F34" t="s">
        <v>2828</v>
      </c>
      <c r="G34" t="s">
        <v>322</v>
      </c>
      <c r="N34" s="107"/>
    </row>
    <row r="35" spans="1:14" hidden="1" x14ac:dyDescent="0.35">
      <c r="A35" t="s">
        <v>144</v>
      </c>
      <c r="B35" t="s">
        <v>568</v>
      </c>
      <c r="C35" t="s">
        <v>1532</v>
      </c>
      <c r="D35">
        <f t="shared" si="0"/>
        <v>0</v>
      </c>
      <c r="E35" t="s">
        <v>19</v>
      </c>
      <c r="F35" t="s">
        <v>2829</v>
      </c>
      <c r="G35" t="s">
        <v>322</v>
      </c>
      <c r="N35" s="107"/>
    </row>
    <row r="36" spans="1:14" hidden="1" x14ac:dyDescent="0.35">
      <c r="A36" t="s">
        <v>144</v>
      </c>
      <c r="B36" t="s">
        <v>569</v>
      </c>
      <c r="C36" t="s">
        <v>1532</v>
      </c>
      <c r="D36">
        <f t="shared" si="0"/>
        <v>0</v>
      </c>
      <c r="E36" t="s">
        <v>19</v>
      </c>
      <c r="F36" t="s">
        <v>2830</v>
      </c>
      <c r="G36" t="s">
        <v>322</v>
      </c>
      <c r="N36" s="107"/>
    </row>
    <row r="37" spans="1:14" hidden="1" x14ac:dyDescent="0.35">
      <c r="A37" t="s">
        <v>145</v>
      </c>
      <c r="B37" t="s">
        <v>439</v>
      </c>
      <c r="C37" t="s">
        <v>1176</v>
      </c>
      <c r="D37">
        <f t="shared" si="0"/>
        <v>0</v>
      </c>
      <c r="E37" t="s">
        <v>19</v>
      </c>
      <c r="F37" t="s">
        <v>1176</v>
      </c>
      <c r="G37" t="s">
        <v>322</v>
      </c>
      <c r="N37" s="107"/>
    </row>
    <row r="38" spans="1:14" hidden="1" x14ac:dyDescent="0.35">
      <c r="A38" t="s">
        <v>145</v>
      </c>
      <c r="B38" t="s">
        <v>439</v>
      </c>
      <c r="C38" t="s">
        <v>1189</v>
      </c>
      <c r="D38">
        <f t="shared" si="0"/>
        <v>0</v>
      </c>
      <c r="E38" t="s">
        <v>19</v>
      </c>
      <c r="F38" t="s">
        <v>1847</v>
      </c>
      <c r="G38" t="s">
        <v>322</v>
      </c>
      <c r="N38" s="107"/>
    </row>
    <row r="39" spans="1:14" hidden="1" x14ac:dyDescent="0.35">
      <c r="A39" t="s">
        <v>145</v>
      </c>
      <c r="B39" t="s">
        <v>439</v>
      </c>
      <c r="C39" t="s">
        <v>1236</v>
      </c>
      <c r="D39">
        <f t="shared" si="0"/>
        <v>0</v>
      </c>
      <c r="E39" t="s">
        <v>19</v>
      </c>
      <c r="F39" t="s">
        <v>1236</v>
      </c>
      <c r="G39" t="s">
        <v>322</v>
      </c>
      <c r="N39" s="107"/>
    </row>
    <row r="40" spans="1:14" hidden="1" x14ac:dyDescent="0.35">
      <c r="A40" t="s">
        <v>145</v>
      </c>
      <c r="B40" t="s">
        <v>823</v>
      </c>
      <c r="C40" t="s">
        <v>1298</v>
      </c>
      <c r="D40">
        <f t="shared" si="0"/>
        <v>0</v>
      </c>
      <c r="E40" t="s">
        <v>19</v>
      </c>
      <c r="F40" t="s">
        <v>2162</v>
      </c>
      <c r="G40" t="s">
        <v>322</v>
      </c>
      <c r="N40" s="107"/>
    </row>
    <row r="41" spans="1:14" hidden="1" x14ac:dyDescent="0.35">
      <c r="A41" t="s">
        <v>145</v>
      </c>
      <c r="B41" t="s">
        <v>827</v>
      </c>
      <c r="C41" t="s">
        <v>1298</v>
      </c>
      <c r="D41">
        <f t="shared" si="0"/>
        <v>0</v>
      </c>
      <c r="E41" t="s">
        <v>19</v>
      </c>
      <c r="F41" t="s">
        <v>2166</v>
      </c>
      <c r="G41" t="s">
        <v>322</v>
      </c>
      <c r="N41" s="107"/>
    </row>
    <row r="42" spans="1:14" hidden="1" x14ac:dyDescent="0.35">
      <c r="A42" t="s">
        <v>145</v>
      </c>
      <c r="B42" t="s">
        <v>914</v>
      </c>
      <c r="C42" t="s">
        <v>1350</v>
      </c>
      <c r="D42">
        <f t="shared" si="0"/>
        <v>0</v>
      </c>
      <c r="E42" t="s">
        <v>19</v>
      </c>
      <c r="F42" t="s">
        <v>2294</v>
      </c>
      <c r="G42" t="s">
        <v>322</v>
      </c>
      <c r="N42" s="107"/>
    </row>
    <row r="43" spans="1:14" hidden="1" x14ac:dyDescent="0.35">
      <c r="A43" t="s">
        <v>145</v>
      </c>
      <c r="B43" t="s">
        <v>440</v>
      </c>
      <c r="C43" t="s">
        <v>1378</v>
      </c>
      <c r="D43">
        <f t="shared" si="0"/>
        <v>0</v>
      </c>
      <c r="E43" t="s">
        <v>19</v>
      </c>
      <c r="F43" t="s">
        <v>2319</v>
      </c>
      <c r="G43" t="s">
        <v>322</v>
      </c>
      <c r="N43" s="107"/>
    </row>
    <row r="44" spans="1:14" hidden="1" x14ac:dyDescent="0.35">
      <c r="A44" t="s">
        <v>145</v>
      </c>
      <c r="B44" t="s">
        <v>439</v>
      </c>
      <c r="C44" t="s">
        <v>1378</v>
      </c>
      <c r="D44">
        <f t="shared" si="0"/>
        <v>0</v>
      </c>
      <c r="E44" t="s">
        <v>19</v>
      </c>
      <c r="F44" t="s">
        <v>2321</v>
      </c>
      <c r="G44" t="s">
        <v>322</v>
      </c>
      <c r="N44" s="107"/>
    </row>
    <row r="45" spans="1:14" hidden="1" x14ac:dyDescent="0.35">
      <c r="A45" t="s">
        <v>145</v>
      </c>
      <c r="B45" t="s">
        <v>440</v>
      </c>
      <c r="C45" t="s">
        <v>1416</v>
      </c>
      <c r="D45">
        <f t="shared" si="0"/>
        <v>0</v>
      </c>
      <c r="E45" t="s">
        <v>19</v>
      </c>
      <c r="F45" t="s">
        <v>2534</v>
      </c>
      <c r="G45" t="s">
        <v>322</v>
      </c>
      <c r="N45" s="107"/>
    </row>
    <row r="46" spans="1:14" hidden="1" x14ac:dyDescent="0.35">
      <c r="A46" t="s">
        <v>145</v>
      </c>
      <c r="B46" t="s">
        <v>439</v>
      </c>
      <c r="C46" t="s">
        <v>1416</v>
      </c>
      <c r="D46">
        <f t="shared" si="0"/>
        <v>0</v>
      </c>
      <c r="E46" t="s">
        <v>19</v>
      </c>
      <c r="F46" t="s">
        <v>2536</v>
      </c>
      <c r="G46" t="s">
        <v>322</v>
      </c>
      <c r="N46" s="107"/>
    </row>
    <row r="47" spans="1:14" hidden="1" x14ac:dyDescent="0.35">
      <c r="A47" t="s">
        <v>145</v>
      </c>
      <c r="B47" t="s">
        <v>1077</v>
      </c>
      <c r="C47" t="s">
        <v>1470</v>
      </c>
      <c r="D47">
        <f t="shared" si="0"/>
        <v>0</v>
      </c>
      <c r="E47" t="s">
        <v>19</v>
      </c>
      <c r="F47" t="s">
        <v>2681</v>
      </c>
      <c r="G47" t="s">
        <v>322</v>
      </c>
      <c r="N47" s="107"/>
    </row>
    <row r="48" spans="1:14" hidden="1" x14ac:dyDescent="0.35">
      <c r="A48" t="s">
        <v>146</v>
      </c>
      <c r="B48" t="s">
        <v>563</v>
      </c>
      <c r="C48" t="s">
        <v>1165</v>
      </c>
      <c r="D48">
        <f t="shared" si="0"/>
        <v>0</v>
      </c>
      <c r="E48" t="s">
        <v>19</v>
      </c>
      <c r="F48" t="s">
        <v>1165</v>
      </c>
      <c r="G48" t="s">
        <v>322</v>
      </c>
      <c r="N48" s="107"/>
    </row>
    <row r="49" spans="1:14" hidden="1" x14ac:dyDescent="0.35">
      <c r="A49" t="s">
        <v>146</v>
      </c>
      <c r="B49" t="s">
        <v>566</v>
      </c>
      <c r="C49" t="s">
        <v>1164</v>
      </c>
      <c r="D49">
        <f t="shared" si="0"/>
        <v>0</v>
      </c>
      <c r="E49" t="s">
        <v>19</v>
      </c>
      <c r="F49" t="s">
        <v>1744</v>
      </c>
      <c r="G49" t="s">
        <v>322</v>
      </c>
      <c r="N49" s="107"/>
    </row>
    <row r="50" spans="1:14" hidden="1" x14ac:dyDescent="0.35">
      <c r="A50" t="s">
        <v>146</v>
      </c>
      <c r="B50" t="s">
        <v>582</v>
      </c>
      <c r="C50" t="s">
        <v>1172</v>
      </c>
      <c r="D50">
        <f t="shared" si="0"/>
        <v>0</v>
      </c>
      <c r="E50" t="s">
        <v>19</v>
      </c>
      <c r="F50" t="s">
        <v>1768</v>
      </c>
      <c r="G50" t="s">
        <v>322</v>
      </c>
      <c r="N50" s="107"/>
    </row>
    <row r="51" spans="1:14" hidden="1" x14ac:dyDescent="0.35">
      <c r="A51" t="s">
        <v>146</v>
      </c>
      <c r="B51" t="s">
        <v>622</v>
      </c>
      <c r="C51" t="s">
        <v>1180</v>
      </c>
      <c r="D51">
        <f t="shared" si="0"/>
        <v>0</v>
      </c>
      <c r="E51" t="s">
        <v>19</v>
      </c>
      <c r="F51" t="s">
        <v>1823</v>
      </c>
      <c r="G51" t="s">
        <v>322</v>
      </c>
      <c r="N51" s="107"/>
    </row>
    <row r="52" spans="1:14" hidden="1" x14ac:dyDescent="0.35">
      <c r="A52" t="s">
        <v>146</v>
      </c>
      <c r="B52" t="s">
        <v>664</v>
      </c>
      <c r="C52" t="s">
        <v>1210</v>
      </c>
      <c r="D52">
        <f t="shared" si="0"/>
        <v>0</v>
      </c>
      <c r="E52" t="s">
        <v>19</v>
      </c>
      <c r="F52" t="s">
        <v>1883</v>
      </c>
      <c r="G52" t="s">
        <v>322</v>
      </c>
      <c r="N52" s="107"/>
    </row>
    <row r="53" spans="1:14" hidden="1" x14ac:dyDescent="0.35">
      <c r="A53" t="s">
        <v>146</v>
      </c>
      <c r="B53" t="s">
        <v>563</v>
      </c>
      <c r="C53" t="s">
        <v>1226</v>
      </c>
      <c r="D53">
        <f t="shared" si="0"/>
        <v>0</v>
      </c>
      <c r="E53" t="s">
        <v>19</v>
      </c>
      <c r="F53" t="s">
        <v>1226</v>
      </c>
      <c r="G53" t="s">
        <v>322</v>
      </c>
      <c r="N53" s="107"/>
    </row>
    <row r="54" spans="1:14" hidden="1" x14ac:dyDescent="0.35">
      <c r="A54" t="s">
        <v>146</v>
      </c>
      <c r="B54" t="s">
        <v>582</v>
      </c>
      <c r="C54" t="s">
        <v>1266</v>
      </c>
      <c r="D54">
        <f t="shared" si="0"/>
        <v>0</v>
      </c>
      <c r="E54" t="s">
        <v>19</v>
      </c>
      <c r="F54" t="s">
        <v>2079</v>
      </c>
      <c r="G54" t="s">
        <v>322</v>
      </c>
      <c r="N54" s="107"/>
    </row>
    <row r="55" spans="1:14" hidden="1" x14ac:dyDescent="0.35">
      <c r="A55" t="s">
        <v>146</v>
      </c>
      <c r="B55" t="s">
        <v>563</v>
      </c>
      <c r="C55" t="s">
        <v>1287</v>
      </c>
      <c r="D55">
        <f t="shared" si="0"/>
        <v>0</v>
      </c>
      <c r="E55" t="s">
        <v>19</v>
      </c>
      <c r="F55" t="s">
        <v>2136</v>
      </c>
      <c r="G55" t="s">
        <v>322</v>
      </c>
      <c r="N55" s="107"/>
    </row>
    <row r="56" spans="1:14" hidden="1" x14ac:dyDescent="0.35">
      <c r="A56" t="s">
        <v>146</v>
      </c>
      <c r="B56" t="s">
        <v>563</v>
      </c>
      <c r="C56" t="s">
        <v>1358</v>
      </c>
      <c r="D56">
        <f t="shared" si="0"/>
        <v>0</v>
      </c>
      <c r="E56" t="s">
        <v>19</v>
      </c>
      <c r="F56" t="s">
        <v>2300</v>
      </c>
      <c r="G56" t="s">
        <v>322</v>
      </c>
      <c r="N56" s="107"/>
    </row>
    <row r="57" spans="1:14" hidden="1" x14ac:dyDescent="0.35">
      <c r="A57" t="s">
        <v>146</v>
      </c>
      <c r="B57" t="s">
        <v>979</v>
      </c>
      <c r="C57" t="s">
        <v>1405</v>
      </c>
      <c r="D57">
        <f t="shared" si="0"/>
        <v>0</v>
      </c>
      <c r="E57" t="s">
        <v>19</v>
      </c>
      <c r="F57" t="s">
        <v>2422</v>
      </c>
      <c r="G57" t="s">
        <v>322</v>
      </c>
      <c r="N57" s="107"/>
    </row>
    <row r="58" spans="1:14" hidden="1" x14ac:dyDescent="0.35">
      <c r="A58" t="s">
        <v>146</v>
      </c>
      <c r="B58" t="s">
        <v>563</v>
      </c>
      <c r="C58" t="s">
        <v>1404</v>
      </c>
      <c r="D58">
        <f t="shared" si="0"/>
        <v>0</v>
      </c>
      <c r="E58" t="s">
        <v>19</v>
      </c>
      <c r="F58" t="s">
        <v>2438</v>
      </c>
      <c r="G58" t="s">
        <v>322</v>
      </c>
      <c r="N58" s="107"/>
    </row>
    <row r="59" spans="1:14" hidden="1" x14ac:dyDescent="0.35">
      <c r="A59" t="s">
        <v>146</v>
      </c>
      <c r="B59" t="s">
        <v>563</v>
      </c>
      <c r="C59" t="s">
        <v>1404</v>
      </c>
      <c r="D59">
        <f t="shared" si="0"/>
        <v>0</v>
      </c>
      <c r="E59" t="s">
        <v>19</v>
      </c>
      <c r="F59" t="s">
        <v>2439</v>
      </c>
      <c r="G59" t="s">
        <v>322</v>
      </c>
      <c r="N59" s="107"/>
    </row>
    <row r="60" spans="1:14" hidden="1" x14ac:dyDescent="0.35">
      <c r="A60" t="s">
        <v>146</v>
      </c>
      <c r="B60" t="s">
        <v>989</v>
      </c>
      <c r="C60" t="s">
        <v>1404</v>
      </c>
      <c r="D60">
        <f t="shared" si="0"/>
        <v>0</v>
      </c>
      <c r="E60" t="s">
        <v>19</v>
      </c>
      <c r="F60" t="s">
        <v>2440</v>
      </c>
      <c r="G60" t="s">
        <v>322</v>
      </c>
      <c r="N60" s="107"/>
    </row>
    <row r="61" spans="1:14" hidden="1" x14ac:dyDescent="0.35">
      <c r="A61" t="s">
        <v>146</v>
      </c>
      <c r="B61" t="s">
        <v>664</v>
      </c>
      <c r="C61" t="s">
        <v>1439</v>
      </c>
      <c r="D61">
        <f t="shared" si="0"/>
        <v>0</v>
      </c>
      <c r="E61" t="s">
        <v>19</v>
      </c>
      <c r="F61" t="s">
        <v>2564</v>
      </c>
      <c r="G61" t="s">
        <v>322</v>
      </c>
      <c r="N61" s="107"/>
    </row>
    <row r="62" spans="1:14" hidden="1" x14ac:dyDescent="0.35">
      <c r="A62" t="s">
        <v>146</v>
      </c>
      <c r="B62" t="s">
        <v>1030</v>
      </c>
      <c r="C62" t="s">
        <v>1439</v>
      </c>
      <c r="D62">
        <f t="shared" si="0"/>
        <v>0</v>
      </c>
      <c r="E62" t="s">
        <v>19</v>
      </c>
      <c r="F62" t="s">
        <v>2567</v>
      </c>
      <c r="G62" t="s">
        <v>322</v>
      </c>
      <c r="N62" s="107"/>
    </row>
    <row r="63" spans="1:14" hidden="1" x14ac:dyDescent="0.35">
      <c r="A63" t="s">
        <v>146</v>
      </c>
      <c r="B63" t="s">
        <v>665</v>
      </c>
      <c r="C63" t="s">
        <v>1509</v>
      </c>
      <c r="D63">
        <f t="shared" si="0"/>
        <v>0</v>
      </c>
      <c r="E63" t="s">
        <v>19</v>
      </c>
      <c r="F63" t="s">
        <v>2756</v>
      </c>
      <c r="G63" t="s">
        <v>322</v>
      </c>
      <c r="N63" s="107"/>
    </row>
    <row r="64" spans="1:14" hidden="1" x14ac:dyDescent="0.35">
      <c r="A64" t="s">
        <v>147</v>
      </c>
      <c r="B64" t="s">
        <v>544</v>
      </c>
      <c r="C64" t="s">
        <v>1140</v>
      </c>
      <c r="D64">
        <f t="shared" si="0"/>
        <v>0</v>
      </c>
      <c r="E64" t="s">
        <v>19</v>
      </c>
      <c r="F64" t="s">
        <v>1140</v>
      </c>
      <c r="G64" t="s">
        <v>322</v>
      </c>
      <c r="N64" s="107"/>
    </row>
    <row r="65" spans="1:14" hidden="1" x14ac:dyDescent="0.35">
      <c r="A65" t="s">
        <v>147</v>
      </c>
      <c r="B65" t="s">
        <v>447</v>
      </c>
      <c r="C65" t="s">
        <v>1145</v>
      </c>
      <c r="D65">
        <f t="shared" si="0"/>
        <v>0</v>
      </c>
      <c r="E65" t="s">
        <v>19</v>
      </c>
      <c r="F65" t="s">
        <v>1145</v>
      </c>
      <c r="G65" t="s">
        <v>322</v>
      </c>
      <c r="N65" s="107"/>
    </row>
    <row r="66" spans="1:14" hidden="1" x14ac:dyDescent="0.35">
      <c r="A66" t="s">
        <v>147</v>
      </c>
      <c r="B66" t="s">
        <v>548</v>
      </c>
      <c r="C66" t="s">
        <v>1146</v>
      </c>
      <c r="D66">
        <f t="shared" ref="D66:D128" si="1">SIGN(SUBTOTAL(3,E66))</f>
        <v>0</v>
      </c>
      <c r="E66" t="s">
        <v>19</v>
      </c>
      <c r="F66" t="s">
        <v>1146</v>
      </c>
      <c r="G66" t="s">
        <v>322</v>
      </c>
      <c r="N66" s="107"/>
    </row>
    <row r="67" spans="1:14" hidden="1" x14ac:dyDescent="0.35">
      <c r="A67" t="s">
        <v>147</v>
      </c>
      <c r="B67" t="s">
        <v>549</v>
      </c>
      <c r="C67" t="s">
        <v>1147</v>
      </c>
      <c r="D67">
        <f t="shared" si="1"/>
        <v>0</v>
      </c>
      <c r="E67" t="s">
        <v>19</v>
      </c>
      <c r="F67" t="s">
        <v>1147</v>
      </c>
      <c r="G67" t="s">
        <v>322</v>
      </c>
      <c r="N67" s="107"/>
    </row>
    <row r="68" spans="1:14" hidden="1" x14ac:dyDescent="0.35">
      <c r="A68" t="s">
        <v>147</v>
      </c>
      <c r="B68" t="s">
        <v>550</v>
      </c>
      <c r="C68" t="s">
        <v>1148</v>
      </c>
      <c r="D68">
        <f t="shared" si="1"/>
        <v>0</v>
      </c>
      <c r="E68" t="s">
        <v>19</v>
      </c>
      <c r="F68" t="s">
        <v>1148</v>
      </c>
      <c r="G68" t="s">
        <v>322</v>
      </c>
      <c r="N68" s="107"/>
    </row>
    <row r="69" spans="1:14" hidden="1" x14ac:dyDescent="0.35">
      <c r="A69" t="s">
        <v>147</v>
      </c>
      <c r="B69" t="s">
        <v>551</v>
      </c>
      <c r="C69" t="s">
        <v>1149</v>
      </c>
      <c r="D69">
        <f t="shared" si="1"/>
        <v>0</v>
      </c>
      <c r="E69" t="s">
        <v>19</v>
      </c>
      <c r="F69" t="s">
        <v>1149</v>
      </c>
      <c r="G69" t="s">
        <v>322</v>
      </c>
      <c r="N69" s="107"/>
    </row>
    <row r="70" spans="1:14" hidden="1" x14ac:dyDescent="0.35">
      <c r="A70" t="s">
        <v>147</v>
      </c>
      <c r="B70" t="s">
        <v>450</v>
      </c>
      <c r="C70" t="s">
        <v>1150</v>
      </c>
      <c r="D70">
        <f t="shared" si="1"/>
        <v>0</v>
      </c>
      <c r="E70" t="s">
        <v>19</v>
      </c>
      <c r="F70" t="s">
        <v>1150</v>
      </c>
      <c r="G70" t="s">
        <v>322</v>
      </c>
      <c r="N70" s="107"/>
    </row>
    <row r="71" spans="1:14" hidden="1" x14ac:dyDescent="0.35">
      <c r="A71" t="s">
        <v>147</v>
      </c>
      <c r="B71" t="s">
        <v>451</v>
      </c>
      <c r="C71" t="s">
        <v>1151</v>
      </c>
      <c r="D71">
        <f t="shared" si="1"/>
        <v>0</v>
      </c>
      <c r="E71" t="s">
        <v>19</v>
      </c>
      <c r="F71" t="s">
        <v>1151</v>
      </c>
      <c r="G71" t="s">
        <v>322</v>
      </c>
      <c r="N71" s="107"/>
    </row>
    <row r="72" spans="1:14" hidden="1" x14ac:dyDescent="0.35">
      <c r="A72" t="s">
        <v>147</v>
      </c>
      <c r="B72" t="s">
        <v>552</v>
      </c>
      <c r="C72" t="s">
        <v>1152</v>
      </c>
      <c r="D72">
        <f t="shared" si="1"/>
        <v>0</v>
      </c>
      <c r="E72" t="s">
        <v>19</v>
      </c>
      <c r="F72" t="s">
        <v>1152</v>
      </c>
      <c r="G72" t="s">
        <v>322</v>
      </c>
      <c r="N72" s="107"/>
    </row>
    <row r="73" spans="1:14" hidden="1" x14ac:dyDescent="0.35">
      <c r="A73" t="s">
        <v>147</v>
      </c>
      <c r="B73" t="s">
        <v>553</v>
      </c>
      <c r="C73" t="s">
        <v>1153</v>
      </c>
      <c r="D73">
        <f t="shared" si="1"/>
        <v>0</v>
      </c>
      <c r="E73" t="s">
        <v>19</v>
      </c>
      <c r="F73" t="s">
        <v>1153</v>
      </c>
      <c r="G73" t="s">
        <v>322</v>
      </c>
      <c r="N73" s="107"/>
    </row>
    <row r="74" spans="1:14" hidden="1" x14ac:dyDescent="0.35">
      <c r="A74" t="s">
        <v>147</v>
      </c>
      <c r="B74" t="s">
        <v>554</v>
      </c>
      <c r="C74" t="s">
        <v>1154</v>
      </c>
      <c r="D74">
        <f t="shared" si="1"/>
        <v>0</v>
      </c>
      <c r="E74" t="s">
        <v>19</v>
      </c>
      <c r="F74" t="s">
        <v>1154</v>
      </c>
      <c r="G74" t="s">
        <v>322</v>
      </c>
      <c r="N74" s="107"/>
    </row>
    <row r="75" spans="1:14" hidden="1" x14ac:dyDescent="0.35">
      <c r="A75" t="s">
        <v>147</v>
      </c>
      <c r="B75" t="s">
        <v>579</v>
      </c>
      <c r="C75" t="s">
        <v>1172</v>
      </c>
      <c r="D75">
        <f t="shared" si="1"/>
        <v>0</v>
      </c>
      <c r="E75" t="s">
        <v>19</v>
      </c>
      <c r="F75" t="s">
        <v>1764</v>
      </c>
      <c r="G75" t="s">
        <v>322</v>
      </c>
      <c r="N75" s="107"/>
    </row>
    <row r="76" spans="1:14" hidden="1" x14ac:dyDescent="0.35">
      <c r="A76" t="s">
        <v>147</v>
      </c>
      <c r="B76" t="s">
        <v>734</v>
      </c>
      <c r="C76" t="s">
        <v>1237</v>
      </c>
      <c r="D76">
        <f t="shared" si="1"/>
        <v>0</v>
      </c>
      <c r="E76" t="s">
        <v>19</v>
      </c>
      <c r="F76" t="s">
        <v>1237</v>
      </c>
      <c r="G76" t="s">
        <v>322</v>
      </c>
      <c r="N76" s="107"/>
    </row>
    <row r="77" spans="1:14" hidden="1" x14ac:dyDescent="0.35">
      <c r="A77" t="s">
        <v>147</v>
      </c>
      <c r="B77" t="s">
        <v>442</v>
      </c>
      <c r="C77" t="s">
        <v>1251</v>
      </c>
      <c r="D77">
        <f t="shared" si="1"/>
        <v>0</v>
      </c>
      <c r="E77" t="s">
        <v>19</v>
      </c>
      <c r="F77" t="s">
        <v>2034</v>
      </c>
      <c r="G77" t="s">
        <v>322</v>
      </c>
      <c r="N77" s="107"/>
    </row>
    <row r="78" spans="1:14" hidden="1" x14ac:dyDescent="0.35">
      <c r="A78" t="s">
        <v>147</v>
      </c>
      <c r="B78" t="s">
        <v>752</v>
      </c>
      <c r="C78" t="s">
        <v>1251</v>
      </c>
      <c r="D78">
        <f t="shared" si="1"/>
        <v>0</v>
      </c>
      <c r="E78" t="s">
        <v>19</v>
      </c>
      <c r="F78" t="s">
        <v>2035</v>
      </c>
      <c r="G78" t="s">
        <v>322</v>
      </c>
      <c r="N78" s="107"/>
    </row>
    <row r="79" spans="1:14" hidden="1" x14ac:dyDescent="0.35">
      <c r="A79" t="s">
        <v>147</v>
      </c>
      <c r="B79" t="s">
        <v>451</v>
      </c>
      <c r="C79" t="s">
        <v>1251</v>
      </c>
      <c r="D79">
        <f t="shared" si="1"/>
        <v>0</v>
      </c>
      <c r="E79" t="s">
        <v>19</v>
      </c>
      <c r="F79" t="s">
        <v>2036</v>
      </c>
      <c r="G79" t="s">
        <v>322</v>
      </c>
      <c r="N79" s="107"/>
    </row>
    <row r="80" spans="1:14" hidden="1" x14ac:dyDescent="0.35">
      <c r="A80" t="s">
        <v>147</v>
      </c>
      <c r="B80" t="s">
        <v>554</v>
      </c>
      <c r="C80" t="s">
        <v>1251</v>
      </c>
      <c r="D80">
        <f t="shared" si="1"/>
        <v>0</v>
      </c>
      <c r="E80" t="s">
        <v>19</v>
      </c>
      <c r="F80" t="s">
        <v>2037</v>
      </c>
      <c r="G80" t="s">
        <v>322</v>
      </c>
      <c r="N80" s="107"/>
    </row>
    <row r="81" spans="1:14" hidden="1" x14ac:dyDescent="0.35">
      <c r="A81" t="s">
        <v>147</v>
      </c>
      <c r="B81" t="s">
        <v>442</v>
      </c>
      <c r="C81" t="s">
        <v>1253</v>
      </c>
      <c r="D81">
        <f t="shared" si="1"/>
        <v>0</v>
      </c>
      <c r="E81" t="s">
        <v>19</v>
      </c>
      <c r="F81" t="s">
        <v>1253</v>
      </c>
      <c r="G81" t="s">
        <v>322</v>
      </c>
      <c r="N81" s="107"/>
    </row>
    <row r="82" spans="1:14" hidden="1" x14ac:dyDescent="0.35">
      <c r="A82" t="s">
        <v>147</v>
      </c>
      <c r="B82" t="s">
        <v>769</v>
      </c>
      <c r="C82" t="s">
        <v>1256</v>
      </c>
      <c r="D82">
        <f t="shared" si="1"/>
        <v>0</v>
      </c>
      <c r="E82" t="s">
        <v>19</v>
      </c>
      <c r="F82" t="s">
        <v>1256</v>
      </c>
      <c r="G82" t="s">
        <v>322</v>
      </c>
      <c r="N82" s="107"/>
    </row>
    <row r="83" spans="1:14" hidden="1" x14ac:dyDescent="0.35">
      <c r="A83" t="s">
        <v>147</v>
      </c>
      <c r="B83" t="s">
        <v>442</v>
      </c>
      <c r="C83" t="s">
        <v>1273</v>
      </c>
      <c r="D83">
        <f t="shared" si="1"/>
        <v>0</v>
      </c>
      <c r="E83" t="s">
        <v>19</v>
      </c>
      <c r="F83" t="s">
        <v>1273</v>
      </c>
      <c r="G83" t="s">
        <v>322</v>
      </c>
      <c r="N83" s="107"/>
    </row>
    <row r="84" spans="1:14" hidden="1" x14ac:dyDescent="0.35">
      <c r="A84" t="s">
        <v>147</v>
      </c>
      <c r="B84" t="s">
        <v>552</v>
      </c>
      <c r="C84" t="s">
        <v>1275</v>
      </c>
      <c r="D84">
        <f t="shared" si="1"/>
        <v>0</v>
      </c>
      <c r="E84" t="s">
        <v>19</v>
      </c>
      <c r="F84" t="s">
        <v>1275</v>
      </c>
      <c r="G84" t="s">
        <v>322</v>
      </c>
      <c r="N84" s="107"/>
    </row>
    <row r="85" spans="1:14" hidden="1" x14ac:dyDescent="0.35">
      <c r="A85" t="s">
        <v>147</v>
      </c>
      <c r="B85" t="s">
        <v>896</v>
      </c>
      <c r="C85" t="s">
        <v>1333</v>
      </c>
      <c r="D85">
        <f t="shared" si="1"/>
        <v>0</v>
      </c>
      <c r="E85" t="s">
        <v>19</v>
      </c>
      <c r="F85" t="s">
        <v>1333</v>
      </c>
      <c r="G85" t="s">
        <v>322</v>
      </c>
      <c r="N85" s="107"/>
    </row>
    <row r="86" spans="1:14" hidden="1" x14ac:dyDescent="0.35">
      <c r="A86" t="s">
        <v>147</v>
      </c>
      <c r="B86" t="s">
        <v>554</v>
      </c>
      <c r="C86" t="s">
        <v>1367</v>
      </c>
      <c r="D86">
        <f t="shared" si="1"/>
        <v>0</v>
      </c>
      <c r="E86" t="s">
        <v>19</v>
      </c>
      <c r="F86" t="s">
        <v>1367</v>
      </c>
      <c r="G86" t="s">
        <v>322</v>
      </c>
      <c r="N86" s="107"/>
    </row>
    <row r="87" spans="1:14" hidden="1" x14ac:dyDescent="0.35">
      <c r="A87" t="s">
        <v>147</v>
      </c>
      <c r="B87" t="s">
        <v>734</v>
      </c>
      <c r="C87" t="s">
        <v>1372</v>
      </c>
      <c r="D87">
        <f t="shared" si="1"/>
        <v>0</v>
      </c>
      <c r="E87" t="s">
        <v>19</v>
      </c>
      <c r="F87" t="s">
        <v>1372</v>
      </c>
      <c r="G87" t="s">
        <v>322</v>
      </c>
      <c r="N87" s="107"/>
    </row>
    <row r="88" spans="1:14" hidden="1" x14ac:dyDescent="0.35">
      <c r="A88" t="s">
        <v>147</v>
      </c>
      <c r="B88" t="s">
        <v>451</v>
      </c>
      <c r="C88" t="s">
        <v>1373</v>
      </c>
      <c r="D88">
        <f t="shared" si="1"/>
        <v>0</v>
      </c>
      <c r="E88" t="s">
        <v>19</v>
      </c>
      <c r="F88" t="s">
        <v>1373</v>
      </c>
      <c r="G88" t="s">
        <v>322</v>
      </c>
      <c r="N88" s="107"/>
    </row>
    <row r="89" spans="1:14" hidden="1" x14ac:dyDescent="0.35">
      <c r="A89" t="s">
        <v>147</v>
      </c>
      <c r="B89" t="s">
        <v>938</v>
      </c>
      <c r="C89" t="s">
        <v>1378</v>
      </c>
      <c r="D89">
        <f t="shared" si="1"/>
        <v>0</v>
      </c>
      <c r="E89" t="s">
        <v>19</v>
      </c>
      <c r="F89" t="s">
        <v>2322</v>
      </c>
      <c r="G89" t="s">
        <v>322</v>
      </c>
      <c r="N89" s="107"/>
    </row>
    <row r="90" spans="1:14" hidden="1" x14ac:dyDescent="0.35">
      <c r="A90" t="s">
        <v>147</v>
      </c>
      <c r="B90" t="s">
        <v>939</v>
      </c>
      <c r="C90" t="s">
        <v>1378</v>
      </c>
      <c r="D90">
        <f t="shared" si="1"/>
        <v>0</v>
      </c>
      <c r="E90" t="s">
        <v>19</v>
      </c>
      <c r="F90" t="s">
        <v>2323</v>
      </c>
      <c r="G90" t="s">
        <v>322</v>
      </c>
      <c r="N90" s="107"/>
    </row>
    <row r="91" spans="1:14" hidden="1" x14ac:dyDescent="0.35">
      <c r="A91" t="s">
        <v>147</v>
      </c>
      <c r="B91" t="s">
        <v>940</v>
      </c>
      <c r="C91" t="s">
        <v>1378</v>
      </c>
      <c r="D91">
        <f t="shared" si="1"/>
        <v>0</v>
      </c>
      <c r="E91" t="s">
        <v>19</v>
      </c>
      <c r="F91" t="s">
        <v>2324</v>
      </c>
      <c r="G91" t="s">
        <v>322</v>
      </c>
      <c r="N91" s="107"/>
    </row>
    <row r="92" spans="1:14" hidden="1" x14ac:dyDescent="0.35">
      <c r="A92" t="s">
        <v>147</v>
      </c>
      <c r="B92" t="s">
        <v>447</v>
      </c>
      <c r="C92" t="s">
        <v>1378</v>
      </c>
      <c r="D92">
        <f t="shared" si="1"/>
        <v>0</v>
      </c>
      <c r="E92" t="s">
        <v>19</v>
      </c>
      <c r="F92" t="s">
        <v>2325</v>
      </c>
      <c r="G92" t="s">
        <v>322</v>
      </c>
      <c r="N92" s="107"/>
    </row>
    <row r="93" spans="1:14" hidden="1" x14ac:dyDescent="0.35">
      <c r="A93" t="s">
        <v>147</v>
      </c>
      <c r="B93" t="s">
        <v>941</v>
      </c>
      <c r="C93" t="s">
        <v>1378</v>
      </c>
      <c r="D93">
        <f t="shared" si="1"/>
        <v>0</v>
      </c>
      <c r="E93" t="s">
        <v>19</v>
      </c>
      <c r="F93" t="s">
        <v>2326</v>
      </c>
      <c r="G93" t="s">
        <v>322</v>
      </c>
      <c r="N93" s="107"/>
    </row>
    <row r="94" spans="1:14" hidden="1" x14ac:dyDescent="0.35">
      <c r="A94" t="s">
        <v>147</v>
      </c>
      <c r="B94" t="s">
        <v>450</v>
      </c>
      <c r="C94" t="s">
        <v>1378</v>
      </c>
      <c r="D94">
        <f t="shared" si="1"/>
        <v>0</v>
      </c>
      <c r="E94" t="s">
        <v>19</v>
      </c>
      <c r="F94" t="s">
        <v>2327</v>
      </c>
      <c r="G94" t="s">
        <v>322</v>
      </c>
      <c r="N94" s="107"/>
    </row>
    <row r="95" spans="1:14" hidden="1" x14ac:dyDescent="0.35">
      <c r="A95" t="s">
        <v>147</v>
      </c>
      <c r="B95" t="s">
        <v>451</v>
      </c>
      <c r="C95" t="s">
        <v>1378</v>
      </c>
      <c r="D95">
        <f t="shared" si="1"/>
        <v>0</v>
      </c>
      <c r="E95" t="s">
        <v>19</v>
      </c>
      <c r="F95" t="s">
        <v>2328</v>
      </c>
      <c r="G95" t="s">
        <v>322</v>
      </c>
      <c r="N95" s="107"/>
    </row>
    <row r="96" spans="1:14" hidden="1" x14ac:dyDescent="0.35">
      <c r="A96" t="s">
        <v>147</v>
      </c>
      <c r="B96" t="s">
        <v>942</v>
      </c>
      <c r="C96" t="s">
        <v>1378</v>
      </c>
      <c r="D96">
        <f t="shared" si="1"/>
        <v>0</v>
      </c>
      <c r="E96" t="s">
        <v>19</v>
      </c>
      <c r="F96" t="s">
        <v>2329</v>
      </c>
      <c r="G96" t="s">
        <v>322</v>
      </c>
      <c r="N96" s="107"/>
    </row>
    <row r="97" spans="1:14" hidden="1" x14ac:dyDescent="0.35">
      <c r="A97" t="s">
        <v>147</v>
      </c>
      <c r="B97" t="s">
        <v>752</v>
      </c>
      <c r="C97" t="s">
        <v>1378</v>
      </c>
      <c r="D97">
        <f t="shared" si="1"/>
        <v>0</v>
      </c>
      <c r="E97" t="s">
        <v>19</v>
      </c>
      <c r="F97" t="s">
        <v>2330</v>
      </c>
      <c r="G97" t="s">
        <v>322</v>
      </c>
      <c r="N97" s="107"/>
    </row>
    <row r="98" spans="1:14" hidden="1" x14ac:dyDescent="0.35">
      <c r="A98" t="s">
        <v>147</v>
      </c>
      <c r="B98" t="s">
        <v>943</v>
      </c>
      <c r="C98" t="s">
        <v>1384</v>
      </c>
      <c r="D98">
        <f t="shared" si="1"/>
        <v>0</v>
      </c>
      <c r="E98" t="s">
        <v>19</v>
      </c>
      <c r="F98" t="s">
        <v>1384</v>
      </c>
      <c r="G98" t="s">
        <v>322</v>
      </c>
      <c r="N98" s="107"/>
    </row>
    <row r="99" spans="1:14" hidden="1" x14ac:dyDescent="0.35">
      <c r="A99" t="s">
        <v>147</v>
      </c>
      <c r="B99" t="s">
        <v>554</v>
      </c>
      <c r="C99" t="s">
        <v>1382</v>
      </c>
      <c r="D99">
        <f t="shared" si="1"/>
        <v>0</v>
      </c>
      <c r="E99" t="s">
        <v>19</v>
      </c>
      <c r="F99" t="s">
        <v>2349</v>
      </c>
      <c r="G99" t="s">
        <v>322</v>
      </c>
      <c r="N99" s="107"/>
    </row>
    <row r="100" spans="1:14" hidden="1" x14ac:dyDescent="0.35">
      <c r="A100" t="s">
        <v>147</v>
      </c>
      <c r="B100" t="s">
        <v>951</v>
      </c>
      <c r="C100" t="s">
        <v>1390</v>
      </c>
      <c r="D100">
        <f t="shared" si="1"/>
        <v>0</v>
      </c>
      <c r="E100" t="s">
        <v>19</v>
      </c>
      <c r="F100" t="s">
        <v>2353</v>
      </c>
      <c r="G100" t="s">
        <v>322</v>
      </c>
      <c r="N100" s="107"/>
    </row>
    <row r="101" spans="1:14" hidden="1" x14ac:dyDescent="0.35">
      <c r="A101" t="s">
        <v>147</v>
      </c>
      <c r="B101" t="s">
        <v>552</v>
      </c>
      <c r="C101" t="s">
        <v>1415</v>
      </c>
      <c r="D101">
        <f t="shared" si="1"/>
        <v>0</v>
      </c>
      <c r="E101" t="s">
        <v>19</v>
      </c>
      <c r="F101" t="s">
        <v>2516</v>
      </c>
      <c r="G101" t="s">
        <v>322</v>
      </c>
      <c r="N101" s="107"/>
    </row>
    <row r="102" spans="1:14" hidden="1" x14ac:dyDescent="0.35">
      <c r="A102" t="s">
        <v>147</v>
      </c>
      <c r="B102" t="s">
        <v>734</v>
      </c>
      <c r="C102" t="s">
        <v>1416</v>
      </c>
      <c r="D102">
        <f t="shared" si="1"/>
        <v>0</v>
      </c>
      <c r="E102" t="s">
        <v>19</v>
      </c>
      <c r="F102" t="s">
        <v>2518</v>
      </c>
      <c r="G102" t="s">
        <v>322</v>
      </c>
      <c r="N102" s="107"/>
    </row>
    <row r="103" spans="1:14" hidden="1" x14ac:dyDescent="0.35">
      <c r="A103" t="s">
        <v>147</v>
      </c>
      <c r="B103" t="s">
        <v>752</v>
      </c>
      <c r="C103" t="s">
        <v>1416</v>
      </c>
      <c r="D103">
        <f t="shared" si="1"/>
        <v>0</v>
      </c>
      <c r="E103" t="s">
        <v>19</v>
      </c>
      <c r="F103" t="s">
        <v>2520</v>
      </c>
      <c r="G103" t="s">
        <v>322</v>
      </c>
      <c r="N103" s="107"/>
    </row>
    <row r="104" spans="1:14" hidden="1" x14ac:dyDescent="0.35">
      <c r="A104" t="s">
        <v>147</v>
      </c>
      <c r="B104" t="s">
        <v>1013</v>
      </c>
      <c r="C104" t="s">
        <v>1416</v>
      </c>
      <c r="D104">
        <f t="shared" si="1"/>
        <v>0</v>
      </c>
      <c r="E104" t="s">
        <v>19</v>
      </c>
      <c r="F104" t="s">
        <v>2521</v>
      </c>
      <c r="G104" t="s">
        <v>322</v>
      </c>
      <c r="N104" s="107"/>
    </row>
    <row r="105" spans="1:14" hidden="1" x14ac:dyDescent="0.35">
      <c r="A105" t="s">
        <v>147</v>
      </c>
      <c r="B105" t="s">
        <v>447</v>
      </c>
      <c r="C105" t="s">
        <v>1416</v>
      </c>
      <c r="D105">
        <f t="shared" si="1"/>
        <v>0</v>
      </c>
      <c r="E105" t="s">
        <v>19</v>
      </c>
      <c r="F105" t="s">
        <v>2522</v>
      </c>
      <c r="G105" t="s">
        <v>322</v>
      </c>
      <c r="N105" s="107"/>
    </row>
    <row r="106" spans="1:14" hidden="1" x14ac:dyDescent="0.35">
      <c r="A106" t="s">
        <v>147</v>
      </c>
      <c r="B106" t="s">
        <v>443</v>
      </c>
      <c r="C106" t="s">
        <v>1416</v>
      </c>
      <c r="D106">
        <f t="shared" si="1"/>
        <v>0</v>
      </c>
      <c r="E106" t="s">
        <v>19</v>
      </c>
      <c r="F106" t="s">
        <v>2523</v>
      </c>
      <c r="G106" t="s">
        <v>322</v>
      </c>
      <c r="N106" s="107"/>
    </row>
    <row r="107" spans="1:14" hidden="1" x14ac:dyDescent="0.35">
      <c r="A107" t="s">
        <v>147</v>
      </c>
      <c r="B107" t="s">
        <v>443</v>
      </c>
      <c r="C107" t="s">
        <v>1416</v>
      </c>
      <c r="D107">
        <f t="shared" si="1"/>
        <v>0</v>
      </c>
      <c r="E107" t="s">
        <v>19</v>
      </c>
      <c r="F107" t="s">
        <v>2524</v>
      </c>
      <c r="G107" t="s">
        <v>322</v>
      </c>
      <c r="N107" s="107"/>
    </row>
    <row r="108" spans="1:14" hidden="1" x14ac:dyDescent="0.35">
      <c r="A108" t="s">
        <v>147</v>
      </c>
      <c r="B108" t="s">
        <v>443</v>
      </c>
      <c r="C108" t="s">
        <v>1416</v>
      </c>
      <c r="D108">
        <f t="shared" si="1"/>
        <v>0</v>
      </c>
      <c r="E108" t="s">
        <v>19</v>
      </c>
      <c r="F108" t="s">
        <v>2525</v>
      </c>
      <c r="G108" t="s">
        <v>322</v>
      </c>
      <c r="N108" s="107"/>
    </row>
    <row r="109" spans="1:14" hidden="1" x14ac:dyDescent="0.35">
      <c r="A109" t="s">
        <v>147</v>
      </c>
      <c r="B109" t="s">
        <v>943</v>
      </c>
      <c r="C109" t="s">
        <v>1416</v>
      </c>
      <c r="D109">
        <f t="shared" si="1"/>
        <v>0</v>
      </c>
      <c r="E109" t="s">
        <v>19</v>
      </c>
      <c r="F109" t="s">
        <v>2526</v>
      </c>
      <c r="G109" t="s">
        <v>322</v>
      </c>
      <c r="N109" s="107"/>
    </row>
    <row r="110" spans="1:14" hidden="1" x14ac:dyDescent="0.35">
      <c r="A110" t="s">
        <v>147</v>
      </c>
      <c r="B110" t="s">
        <v>557</v>
      </c>
      <c r="C110" t="s">
        <v>1416</v>
      </c>
      <c r="D110">
        <f t="shared" si="1"/>
        <v>0</v>
      </c>
      <c r="E110" t="s">
        <v>19</v>
      </c>
      <c r="F110" t="s">
        <v>2530</v>
      </c>
      <c r="G110" t="s">
        <v>322</v>
      </c>
      <c r="N110" s="107"/>
    </row>
    <row r="111" spans="1:14" hidden="1" x14ac:dyDescent="0.35">
      <c r="A111" t="s">
        <v>147</v>
      </c>
      <c r="B111" t="s">
        <v>443</v>
      </c>
      <c r="C111" t="s">
        <v>1429</v>
      </c>
      <c r="D111">
        <f t="shared" si="1"/>
        <v>0</v>
      </c>
      <c r="E111" t="s">
        <v>19</v>
      </c>
      <c r="F111" t="s">
        <v>1429</v>
      </c>
      <c r="G111" t="s">
        <v>322</v>
      </c>
      <c r="N111" s="107"/>
    </row>
    <row r="112" spans="1:14" hidden="1" x14ac:dyDescent="0.35">
      <c r="A112" t="s">
        <v>147</v>
      </c>
      <c r="B112" t="s">
        <v>734</v>
      </c>
      <c r="C112" t="s">
        <v>1443</v>
      </c>
      <c r="D112">
        <f t="shared" si="1"/>
        <v>0</v>
      </c>
      <c r="E112" t="s">
        <v>19</v>
      </c>
      <c r="F112" t="s">
        <v>2574</v>
      </c>
      <c r="G112" t="s">
        <v>322</v>
      </c>
      <c r="N112" s="107"/>
    </row>
    <row r="113" spans="1:14" hidden="1" x14ac:dyDescent="0.35">
      <c r="A113" t="s">
        <v>147</v>
      </c>
      <c r="B113" t="s">
        <v>514</v>
      </c>
      <c r="C113" t="s">
        <v>1443</v>
      </c>
      <c r="D113">
        <f t="shared" si="1"/>
        <v>0</v>
      </c>
      <c r="E113" t="s">
        <v>19</v>
      </c>
      <c r="F113" t="s">
        <v>2605</v>
      </c>
      <c r="G113" t="s">
        <v>322</v>
      </c>
      <c r="N113" s="107"/>
    </row>
    <row r="114" spans="1:14" hidden="1" x14ac:dyDescent="0.35">
      <c r="A114" t="s">
        <v>147</v>
      </c>
      <c r="B114" t="s">
        <v>1052</v>
      </c>
      <c r="C114" t="s">
        <v>1443</v>
      </c>
      <c r="D114">
        <f t="shared" si="1"/>
        <v>0</v>
      </c>
      <c r="E114" t="s">
        <v>19</v>
      </c>
      <c r="F114" t="s">
        <v>2609</v>
      </c>
      <c r="G114" t="s">
        <v>322</v>
      </c>
      <c r="N114" s="107"/>
    </row>
    <row r="115" spans="1:14" hidden="1" x14ac:dyDescent="0.35">
      <c r="A115" t="s">
        <v>147</v>
      </c>
      <c r="B115" t="s">
        <v>557</v>
      </c>
      <c r="C115" t="s">
        <v>1443</v>
      </c>
      <c r="D115">
        <f t="shared" si="1"/>
        <v>0</v>
      </c>
      <c r="E115" t="s">
        <v>19</v>
      </c>
      <c r="F115" t="s">
        <v>2612</v>
      </c>
      <c r="G115" t="s">
        <v>322</v>
      </c>
      <c r="N115" s="107"/>
    </row>
    <row r="116" spans="1:14" hidden="1" x14ac:dyDescent="0.35">
      <c r="A116" t="s">
        <v>147</v>
      </c>
      <c r="B116" t="s">
        <v>443</v>
      </c>
      <c r="C116" t="s">
        <v>1444</v>
      </c>
      <c r="D116">
        <f t="shared" si="1"/>
        <v>0</v>
      </c>
      <c r="E116" t="s">
        <v>19</v>
      </c>
      <c r="F116" t="s">
        <v>1444</v>
      </c>
      <c r="G116" t="s">
        <v>322</v>
      </c>
      <c r="N116" s="107"/>
    </row>
    <row r="117" spans="1:14" hidden="1" x14ac:dyDescent="0.35">
      <c r="A117" t="s">
        <v>147</v>
      </c>
      <c r="B117" t="s">
        <v>734</v>
      </c>
      <c r="C117" t="s">
        <v>1453</v>
      </c>
      <c r="D117">
        <f t="shared" si="1"/>
        <v>0</v>
      </c>
      <c r="E117" t="s">
        <v>19</v>
      </c>
      <c r="F117" t="s">
        <v>1453</v>
      </c>
      <c r="G117" t="s">
        <v>322</v>
      </c>
      <c r="N117" s="107"/>
    </row>
    <row r="118" spans="1:14" hidden="1" x14ac:dyDescent="0.35">
      <c r="A118" t="s">
        <v>147</v>
      </c>
      <c r="B118" t="s">
        <v>1078</v>
      </c>
      <c r="C118" t="s">
        <v>1471</v>
      </c>
      <c r="D118">
        <f t="shared" si="1"/>
        <v>0</v>
      </c>
      <c r="E118" t="s">
        <v>19</v>
      </c>
      <c r="F118" t="s">
        <v>2682</v>
      </c>
      <c r="G118" t="s">
        <v>322</v>
      </c>
      <c r="N118" s="107"/>
    </row>
    <row r="119" spans="1:14" hidden="1" x14ac:dyDescent="0.35">
      <c r="A119" t="s">
        <v>147</v>
      </c>
      <c r="B119" t="s">
        <v>450</v>
      </c>
      <c r="C119" t="s">
        <v>1478</v>
      </c>
      <c r="D119">
        <f t="shared" si="1"/>
        <v>0</v>
      </c>
      <c r="E119" t="s">
        <v>19</v>
      </c>
      <c r="F119" t="s">
        <v>2687</v>
      </c>
      <c r="G119" t="s">
        <v>322</v>
      </c>
      <c r="N119" s="107"/>
    </row>
    <row r="120" spans="1:14" hidden="1" x14ac:dyDescent="0.35">
      <c r="A120" t="s">
        <v>147</v>
      </c>
      <c r="B120" t="s">
        <v>734</v>
      </c>
      <c r="C120" t="s">
        <v>1478</v>
      </c>
      <c r="D120">
        <f t="shared" si="1"/>
        <v>0</v>
      </c>
      <c r="E120" t="s">
        <v>19</v>
      </c>
      <c r="F120" t="s">
        <v>2688</v>
      </c>
      <c r="G120" t="s">
        <v>322</v>
      </c>
      <c r="N120" s="107"/>
    </row>
    <row r="121" spans="1:14" hidden="1" x14ac:dyDescent="0.35">
      <c r="A121" t="s">
        <v>147</v>
      </c>
      <c r="B121" t="s">
        <v>557</v>
      </c>
      <c r="C121" t="s">
        <v>1479</v>
      </c>
      <c r="D121">
        <f t="shared" si="1"/>
        <v>0</v>
      </c>
      <c r="E121" t="s">
        <v>19</v>
      </c>
      <c r="F121" t="s">
        <v>2690</v>
      </c>
      <c r="G121" t="s">
        <v>322</v>
      </c>
      <c r="N121" s="107"/>
    </row>
    <row r="122" spans="1:14" hidden="1" x14ac:dyDescent="0.35">
      <c r="A122" t="s">
        <v>147</v>
      </c>
      <c r="B122" t="s">
        <v>548</v>
      </c>
      <c r="C122" t="s">
        <v>1480</v>
      </c>
      <c r="D122">
        <f t="shared" si="1"/>
        <v>0</v>
      </c>
      <c r="E122" t="s">
        <v>19</v>
      </c>
      <c r="F122" t="s">
        <v>1480</v>
      </c>
      <c r="G122" t="s">
        <v>322</v>
      </c>
      <c r="N122" s="107"/>
    </row>
    <row r="123" spans="1:14" hidden="1" x14ac:dyDescent="0.35">
      <c r="A123" t="s">
        <v>147</v>
      </c>
      <c r="B123" t="s">
        <v>443</v>
      </c>
      <c r="C123" t="s">
        <v>1479</v>
      </c>
      <c r="D123">
        <f t="shared" si="1"/>
        <v>0</v>
      </c>
      <c r="E123" t="s">
        <v>19</v>
      </c>
      <c r="F123" t="s">
        <v>2691</v>
      </c>
      <c r="G123" t="s">
        <v>322</v>
      </c>
      <c r="N123" s="107"/>
    </row>
    <row r="124" spans="1:14" hidden="1" x14ac:dyDescent="0.35">
      <c r="A124" t="s">
        <v>147</v>
      </c>
      <c r="B124" t="s">
        <v>943</v>
      </c>
      <c r="C124" t="s">
        <v>1478</v>
      </c>
      <c r="D124">
        <f t="shared" si="1"/>
        <v>0</v>
      </c>
      <c r="E124" t="s">
        <v>19</v>
      </c>
      <c r="F124" t="s">
        <v>2695</v>
      </c>
      <c r="G124" t="s">
        <v>322</v>
      </c>
      <c r="N124" s="107"/>
    </row>
    <row r="125" spans="1:14" hidden="1" x14ac:dyDescent="0.35">
      <c r="A125" t="s">
        <v>147</v>
      </c>
      <c r="B125" t="s">
        <v>554</v>
      </c>
      <c r="C125" t="s">
        <v>1487</v>
      </c>
      <c r="D125">
        <f t="shared" si="1"/>
        <v>0</v>
      </c>
      <c r="E125" t="s">
        <v>19</v>
      </c>
      <c r="F125" t="s">
        <v>1487</v>
      </c>
      <c r="G125" t="s">
        <v>322</v>
      </c>
      <c r="N125" s="107"/>
    </row>
    <row r="126" spans="1:14" hidden="1" x14ac:dyDescent="0.35">
      <c r="A126" t="s">
        <v>147</v>
      </c>
      <c r="B126" t="s">
        <v>1098</v>
      </c>
      <c r="C126" t="s">
        <v>1497</v>
      </c>
      <c r="D126">
        <f t="shared" si="1"/>
        <v>0</v>
      </c>
      <c r="E126" t="s">
        <v>19</v>
      </c>
      <c r="F126" t="s">
        <v>1497</v>
      </c>
      <c r="G126" t="s">
        <v>322</v>
      </c>
      <c r="N126" s="107"/>
    </row>
    <row r="127" spans="1:14" hidden="1" x14ac:dyDescent="0.35">
      <c r="A127" t="s">
        <v>147</v>
      </c>
      <c r="B127" t="s">
        <v>896</v>
      </c>
      <c r="C127" t="s">
        <v>1498</v>
      </c>
      <c r="D127">
        <f t="shared" si="1"/>
        <v>0</v>
      </c>
      <c r="E127" t="s">
        <v>19</v>
      </c>
      <c r="F127" t="s">
        <v>1498</v>
      </c>
      <c r="G127" t="s">
        <v>322</v>
      </c>
      <c r="N127" s="107"/>
    </row>
    <row r="128" spans="1:14" hidden="1" x14ac:dyDescent="0.35">
      <c r="A128" t="s">
        <v>147</v>
      </c>
      <c r="B128" t="s">
        <v>552</v>
      </c>
      <c r="C128" t="s">
        <v>1509</v>
      </c>
      <c r="D128">
        <f t="shared" si="1"/>
        <v>0</v>
      </c>
      <c r="E128" t="s">
        <v>19</v>
      </c>
      <c r="F128" t="s">
        <v>2801</v>
      </c>
      <c r="G128" t="s">
        <v>322</v>
      </c>
      <c r="N128" s="107"/>
    </row>
    <row r="129" spans="1:14" hidden="1" x14ac:dyDescent="0.35">
      <c r="A129" t="s">
        <v>147</v>
      </c>
      <c r="B129" t="s">
        <v>554</v>
      </c>
      <c r="C129" t="s">
        <v>1511</v>
      </c>
      <c r="D129">
        <f t="shared" ref="D129:D192" si="2">SIGN(SUBTOTAL(3,E129))</f>
        <v>0</v>
      </c>
      <c r="E129" t="s">
        <v>19</v>
      </c>
      <c r="F129" t="s">
        <v>2802</v>
      </c>
      <c r="G129" t="s">
        <v>322</v>
      </c>
      <c r="N129" s="107"/>
    </row>
    <row r="130" spans="1:14" hidden="1" x14ac:dyDescent="0.35">
      <c r="A130" t="s">
        <v>147</v>
      </c>
      <c r="B130" t="s">
        <v>896</v>
      </c>
      <c r="C130" t="s">
        <v>1512</v>
      </c>
      <c r="D130">
        <f t="shared" si="2"/>
        <v>0</v>
      </c>
      <c r="E130" t="s">
        <v>19</v>
      </c>
      <c r="F130" t="s">
        <v>1512</v>
      </c>
      <c r="G130" t="s">
        <v>322</v>
      </c>
      <c r="N130" s="107"/>
    </row>
    <row r="131" spans="1:14" hidden="1" x14ac:dyDescent="0.35">
      <c r="A131" t="s">
        <v>147</v>
      </c>
      <c r="B131" t="s">
        <v>1117</v>
      </c>
      <c r="C131" t="s">
        <v>1513</v>
      </c>
      <c r="D131">
        <f t="shared" si="2"/>
        <v>0</v>
      </c>
      <c r="E131" t="s">
        <v>19</v>
      </c>
      <c r="F131" t="s">
        <v>2804</v>
      </c>
      <c r="G131" t="s">
        <v>322</v>
      </c>
      <c r="N131" s="107"/>
    </row>
    <row r="132" spans="1:14" hidden="1" x14ac:dyDescent="0.35">
      <c r="A132" t="s">
        <v>147</v>
      </c>
      <c r="B132" t="s">
        <v>557</v>
      </c>
      <c r="C132" t="s">
        <v>1522</v>
      </c>
      <c r="D132">
        <f t="shared" si="2"/>
        <v>0</v>
      </c>
      <c r="E132" t="s">
        <v>19</v>
      </c>
      <c r="F132" t="s">
        <v>1522</v>
      </c>
      <c r="G132" t="s">
        <v>322</v>
      </c>
      <c r="N132" s="107"/>
    </row>
    <row r="133" spans="1:14" hidden="1" x14ac:dyDescent="0.35">
      <c r="A133" t="s">
        <v>147</v>
      </c>
      <c r="B133" t="s">
        <v>443</v>
      </c>
      <c r="C133" t="s">
        <v>1523</v>
      </c>
      <c r="D133">
        <f t="shared" si="2"/>
        <v>0</v>
      </c>
      <c r="E133" t="s">
        <v>19</v>
      </c>
      <c r="F133" t="s">
        <v>1523</v>
      </c>
      <c r="G133" t="s">
        <v>322</v>
      </c>
      <c r="N133" s="107"/>
    </row>
    <row r="134" spans="1:14" hidden="1" x14ac:dyDescent="0.35">
      <c r="A134" t="s">
        <v>147</v>
      </c>
      <c r="B134" t="s">
        <v>734</v>
      </c>
      <c r="C134" t="s">
        <v>1532</v>
      </c>
      <c r="D134">
        <f t="shared" si="2"/>
        <v>0</v>
      </c>
      <c r="E134" t="s">
        <v>19</v>
      </c>
      <c r="F134" t="s">
        <v>2826</v>
      </c>
      <c r="G134" t="s">
        <v>322</v>
      </c>
      <c r="N134" s="107"/>
    </row>
    <row r="135" spans="1:14" hidden="1" x14ac:dyDescent="0.35">
      <c r="A135" t="s">
        <v>147</v>
      </c>
      <c r="B135" t="s">
        <v>443</v>
      </c>
      <c r="C135" t="s">
        <v>1539</v>
      </c>
      <c r="D135">
        <f t="shared" si="2"/>
        <v>0</v>
      </c>
      <c r="E135" t="s">
        <v>19</v>
      </c>
      <c r="F135" t="s">
        <v>1539</v>
      </c>
      <c r="G135" t="s">
        <v>322</v>
      </c>
      <c r="N135" s="107"/>
    </row>
    <row r="136" spans="1:14" hidden="1" x14ac:dyDescent="0.35">
      <c r="A136" t="s">
        <v>147</v>
      </c>
      <c r="B136" t="s">
        <v>443</v>
      </c>
      <c r="C136" t="s">
        <v>1542</v>
      </c>
      <c r="D136">
        <f t="shared" si="2"/>
        <v>0</v>
      </c>
      <c r="E136" t="s">
        <v>19</v>
      </c>
      <c r="F136" t="s">
        <v>1542</v>
      </c>
      <c r="G136" t="s">
        <v>322</v>
      </c>
      <c r="N136" s="107"/>
    </row>
    <row r="137" spans="1:14" hidden="1" x14ac:dyDescent="0.35">
      <c r="A137" t="s">
        <v>148</v>
      </c>
      <c r="B137" t="s">
        <v>454</v>
      </c>
      <c r="C137" t="s">
        <v>1175</v>
      </c>
      <c r="D137">
        <f t="shared" si="2"/>
        <v>0</v>
      </c>
      <c r="E137" t="s">
        <v>19</v>
      </c>
      <c r="F137" t="s">
        <v>1780</v>
      </c>
      <c r="G137" t="s">
        <v>322</v>
      </c>
      <c r="N137" s="107"/>
    </row>
    <row r="138" spans="1:14" hidden="1" x14ac:dyDescent="0.35">
      <c r="A138" t="s">
        <v>148</v>
      </c>
      <c r="B138" t="s">
        <v>594</v>
      </c>
      <c r="C138" t="s">
        <v>1175</v>
      </c>
      <c r="D138">
        <f t="shared" si="2"/>
        <v>0</v>
      </c>
      <c r="E138" t="s">
        <v>19</v>
      </c>
      <c r="F138" t="s">
        <v>1783</v>
      </c>
      <c r="G138" t="s">
        <v>322</v>
      </c>
      <c r="N138" s="107"/>
    </row>
    <row r="139" spans="1:14" hidden="1" x14ac:dyDescent="0.35">
      <c r="A139" t="s">
        <v>148</v>
      </c>
      <c r="B139" t="s">
        <v>596</v>
      </c>
      <c r="C139" t="s">
        <v>1175</v>
      </c>
      <c r="D139">
        <f t="shared" si="2"/>
        <v>0</v>
      </c>
      <c r="E139" t="s">
        <v>19</v>
      </c>
      <c r="F139" t="s">
        <v>1786</v>
      </c>
      <c r="G139" t="s">
        <v>322</v>
      </c>
      <c r="N139" s="107"/>
    </row>
    <row r="140" spans="1:14" hidden="1" x14ac:dyDescent="0.35">
      <c r="A140" t="s">
        <v>148</v>
      </c>
      <c r="B140" t="s">
        <v>600</v>
      </c>
      <c r="C140" t="s">
        <v>1175</v>
      </c>
      <c r="D140">
        <f t="shared" si="2"/>
        <v>0</v>
      </c>
      <c r="E140" t="s">
        <v>19</v>
      </c>
      <c r="F140" t="s">
        <v>1795</v>
      </c>
      <c r="G140" t="s">
        <v>322</v>
      </c>
      <c r="N140" s="107"/>
    </row>
    <row r="141" spans="1:14" hidden="1" x14ac:dyDescent="0.35">
      <c r="A141" t="s">
        <v>148</v>
      </c>
      <c r="B141" t="s">
        <v>454</v>
      </c>
      <c r="C141" t="s">
        <v>1255</v>
      </c>
      <c r="D141">
        <f t="shared" si="2"/>
        <v>0</v>
      </c>
      <c r="E141" t="s">
        <v>19</v>
      </c>
      <c r="F141" t="s">
        <v>1255</v>
      </c>
      <c r="G141" t="s">
        <v>322</v>
      </c>
      <c r="N141" s="107"/>
    </row>
    <row r="142" spans="1:14" hidden="1" x14ac:dyDescent="0.35">
      <c r="A142" t="s">
        <v>148</v>
      </c>
      <c r="B142" t="s">
        <v>767</v>
      </c>
      <c r="C142" t="s">
        <v>1254</v>
      </c>
      <c r="D142">
        <f t="shared" si="2"/>
        <v>0</v>
      </c>
      <c r="E142" t="s">
        <v>19</v>
      </c>
      <c r="F142" t="s">
        <v>2062</v>
      </c>
      <c r="G142" t="s">
        <v>322</v>
      </c>
      <c r="N142" s="107"/>
    </row>
    <row r="143" spans="1:14" hidden="1" x14ac:dyDescent="0.35">
      <c r="A143" t="s">
        <v>148</v>
      </c>
      <c r="B143" t="s">
        <v>594</v>
      </c>
      <c r="C143" t="s">
        <v>1331</v>
      </c>
      <c r="D143">
        <f t="shared" si="2"/>
        <v>0</v>
      </c>
      <c r="E143" t="s">
        <v>19</v>
      </c>
      <c r="F143" t="s">
        <v>1331</v>
      </c>
      <c r="G143" t="s">
        <v>322</v>
      </c>
      <c r="N143" s="107"/>
    </row>
    <row r="144" spans="1:14" hidden="1" x14ac:dyDescent="0.35">
      <c r="A144" t="s">
        <v>148</v>
      </c>
      <c r="B144" t="s">
        <v>454</v>
      </c>
      <c r="C144" t="s">
        <v>1335</v>
      </c>
      <c r="D144">
        <f t="shared" si="2"/>
        <v>0</v>
      </c>
      <c r="E144" t="s">
        <v>19</v>
      </c>
      <c r="F144" t="s">
        <v>2257</v>
      </c>
      <c r="G144" t="s">
        <v>322</v>
      </c>
      <c r="N144" s="107"/>
    </row>
    <row r="145" spans="1:14" hidden="1" x14ac:dyDescent="0.35">
      <c r="A145" t="s">
        <v>148</v>
      </c>
      <c r="B145" t="s">
        <v>817</v>
      </c>
      <c r="C145" t="s">
        <v>1404</v>
      </c>
      <c r="D145">
        <f t="shared" si="2"/>
        <v>0</v>
      </c>
      <c r="E145" t="s">
        <v>19</v>
      </c>
      <c r="F145" t="s">
        <v>2427</v>
      </c>
      <c r="G145" t="s">
        <v>322</v>
      </c>
      <c r="N145" s="107"/>
    </row>
    <row r="146" spans="1:14" hidden="1" x14ac:dyDescent="0.35">
      <c r="A146" t="s">
        <v>148</v>
      </c>
      <c r="B146" t="s">
        <v>987</v>
      </c>
      <c r="C146" t="s">
        <v>1404</v>
      </c>
      <c r="D146">
        <f t="shared" si="2"/>
        <v>0</v>
      </c>
      <c r="E146" t="s">
        <v>19</v>
      </c>
      <c r="F146" t="s">
        <v>2434</v>
      </c>
      <c r="G146" t="s">
        <v>322</v>
      </c>
      <c r="N146" s="107"/>
    </row>
    <row r="147" spans="1:14" hidden="1" x14ac:dyDescent="0.35">
      <c r="A147" t="s">
        <v>148</v>
      </c>
      <c r="B147" t="s">
        <v>816</v>
      </c>
      <c r="C147" t="s">
        <v>1404</v>
      </c>
      <c r="D147">
        <f t="shared" si="2"/>
        <v>0</v>
      </c>
      <c r="E147" t="s">
        <v>19</v>
      </c>
      <c r="F147" t="s">
        <v>2437</v>
      </c>
      <c r="G147" t="s">
        <v>322</v>
      </c>
      <c r="N147" s="107"/>
    </row>
    <row r="148" spans="1:14" hidden="1" x14ac:dyDescent="0.35">
      <c r="A148" t="s">
        <v>148</v>
      </c>
      <c r="B148" t="s">
        <v>453</v>
      </c>
      <c r="C148" t="s">
        <v>1443</v>
      </c>
      <c r="D148">
        <f t="shared" si="2"/>
        <v>0</v>
      </c>
      <c r="E148" t="s">
        <v>19</v>
      </c>
      <c r="F148" t="s">
        <v>2570</v>
      </c>
      <c r="G148" t="s">
        <v>322</v>
      </c>
      <c r="N148" s="107"/>
    </row>
    <row r="149" spans="1:14" hidden="1" x14ac:dyDescent="0.35">
      <c r="A149" t="s">
        <v>148</v>
      </c>
      <c r="B149" t="s">
        <v>454</v>
      </c>
      <c r="C149" t="s">
        <v>1443</v>
      </c>
      <c r="D149">
        <f t="shared" si="2"/>
        <v>0</v>
      </c>
      <c r="E149" t="s">
        <v>19</v>
      </c>
      <c r="F149" t="s">
        <v>2573</v>
      </c>
      <c r="G149" t="s">
        <v>322</v>
      </c>
      <c r="N149" s="107"/>
    </row>
    <row r="150" spans="1:14" hidden="1" x14ac:dyDescent="0.35">
      <c r="A150" t="s">
        <v>148</v>
      </c>
      <c r="B150" t="s">
        <v>454</v>
      </c>
      <c r="C150" t="s">
        <v>1513</v>
      </c>
      <c r="D150">
        <f t="shared" si="2"/>
        <v>0</v>
      </c>
      <c r="E150" t="s">
        <v>19</v>
      </c>
      <c r="F150" t="s">
        <v>2805</v>
      </c>
      <c r="G150" t="s">
        <v>322</v>
      </c>
      <c r="N150" s="107"/>
    </row>
    <row r="151" spans="1:14" hidden="1" x14ac:dyDescent="0.35">
      <c r="A151" t="s">
        <v>149</v>
      </c>
      <c r="B151" t="s">
        <v>456</v>
      </c>
      <c r="C151" t="s">
        <v>1182</v>
      </c>
      <c r="D151">
        <f t="shared" si="2"/>
        <v>0</v>
      </c>
      <c r="E151" t="s">
        <v>19</v>
      </c>
      <c r="F151" t="s">
        <v>1829</v>
      </c>
      <c r="G151" t="s">
        <v>322</v>
      </c>
      <c r="N151" s="107"/>
    </row>
    <row r="152" spans="1:14" hidden="1" x14ac:dyDescent="0.35">
      <c r="A152" t="s">
        <v>149</v>
      </c>
      <c r="B152" t="s">
        <v>510</v>
      </c>
      <c r="C152" t="s">
        <v>1206</v>
      </c>
      <c r="D152">
        <f t="shared" si="2"/>
        <v>0</v>
      </c>
      <c r="E152" t="s">
        <v>19</v>
      </c>
      <c r="F152" t="s">
        <v>1852</v>
      </c>
      <c r="G152" t="s">
        <v>322</v>
      </c>
      <c r="N152" s="107"/>
    </row>
    <row r="153" spans="1:14" hidden="1" x14ac:dyDescent="0.35">
      <c r="A153" t="s">
        <v>149</v>
      </c>
      <c r="B153" t="s">
        <v>653</v>
      </c>
      <c r="C153" t="s">
        <v>1206</v>
      </c>
      <c r="D153">
        <f t="shared" si="2"/>
        <v>0</v>
      </c>
      <c r="E153" t="s">
        <v>19</v>
      </c>
      <c r="F153" t="s">
        <v>1853</v>
      </c>
      <c r="G153" t="s">
        <v>322</v>
      </c>
      <c r="N153" s="107"/>
    </row>
    <row r="154" spans="1:14" hidden="1" x14ac:dyDescent="0.35">
      <c r="A154" t="s">
        <v>149</v>
      </c>
      <c r="B154" t="s">
        <v>697</v>
      </c>
      <c r="C154" t="s">
        <v>1227</v>
      </c>
      <c r="D154">
        <f t="shared" si="2"/>
        <v>0</v>
      </c>
      <c r="E154" t="s">
        <v>19</v>
      </c>
      <c r="F154" t="s">
        <v>1929</v>
      </c>
      <c r="G154" t="s">
        <v>322</v>
      </c>
      <c r="N154" s="107"/>
    </row>
    <row r="155" spans="1:14" hidden="1" x14ac:dyDescent="0.35">
      <c r="A155" t="s">
        <v>149</v>
      </c>
      <c r="B155" t="s">
        <v>717</v>
      </c>
      <c r="C155" t="s">
        <v>1227</v>
      </c>
      <c r="D155">
        <f t="shared" si="2"/>
        <v>0</v>
      </c>
      <c r="E155" t="s">
        <v>19</v>
      </c>
      <c r="F155" t="s">
        <v>1976</v>
      </c>
      <c r="G155" t="s">
        <v>322</v>
      </c>
      <c r="N155" s="107"/>
    </row>
    <row r="156" spans="1:14" hidden="1" x14ac:dyDescent="0.35">
      <c r="A156" t="s">
        <v>149</v>
      </c>
      <c r="B156" t="s">
        <v>456</v>
      </c>
      <c r="C156" t="s">
        <v>1227</v>
      </c>
      <c r="D156">
        <f t="shared" si="2"/>
        <v>0</v>
      </c>
      <c r="E156" t="s">
        <v>19</v>
      </c>
      <c r="F156" t="s">
        <v>1982</v>
      </c>
      <c r="G156" t="s">
        <v>322</v>
      </c>
      <c r="N156" s="107"/>
    </row>
    <row r="157" spans="1:14" hidden="1" x14ac:dyDescent="0.35">
      <c r="A157" t="s">
        <v>149</v>
      </c>
      <c r="B157" t="s">
        <v>456</v>
      </c>
      <c r="C157" t="s">
        <v>1227</v>
      </c>
      <c r="D157">
        <f t="shared" si="2"/>
        <v>0</v>
      </c>
      <c r="E157" t="s">
        <v>19</v>
      </c>
      <c r="F157" t="s">
        <v>1985</v>
      </c>
      <c r="G157" t="s">
        <v>322</v>
      </c>
      <c r="N157" s="107"/>
    </row>
    <row r="158" spans="1:14" hidden="1" x14ac:dyDescent="0.35">
      <c r="A158" t="s">
        <v>149</v>
      </c>
      <c r="B158" t="s">
        <v>456</v>
      </c>
      <c r="C158" t="s">
        <v>1227</v>
      </c>
      <c r="D158">
        <f t="shared" si="2"/>
        <v>0</v>
      </c>
      <c r="E158" t="s">
        <v>19</v>
      </c>
      <c r="F158" t="s">
        <v>1986</v>
      </c>
      <c r="G158" t="s">
        <v>322</v>
      </c>
      <c r="N158" s="107"/>
    </row>
    <row r="159" spans="1:14" hidden="1" x14ac:dyDescent="0.35">
      <c r="A159" t="s">
        <v>149</v>
      </c>
      <c r="B159" t="s">
        <v>697</v>
      </c>
      <c r="C159" t="s">
        <v>1329</v>
      </c>
      <c r="D159">
        <f t="shared" si="2"/>
        <v>0</v>
      </c>
      <c r="E159" t="s">
        <v>19</v>
      </c>
      <c r="F159" t="s">
        <v>2238</v>
      </c>
      <c r="G159" t="s">
        <v>322</v>
      </c>
      <c r="N159" s="107"/>
    </row>
    <row r="160" spans="1:14" hidden="1" x14ac:dyDescent="0.35">
      <c r="A160" t="s">
        <v>149</v>
      </c>
      <c r="B160" t="s">
        <v>887</v>
      </c>
      <c r="C160" t="s">
        <v>1329</v>
      </c>
      <c r="D160">
        <f t="shared" si="2"/>
        <v>0</v>
      </c>
      <c r="E160" t="s">
        <v>19</v>
      </c>
      <c r="F160" t="s">
        <v>2239</v>
      </c>
      <c r="G160" t="s">
        <v>322</v>
      </c>
      <c r="N160" s="107"/>
    </row>
    <row r="161" spans="1:14" hidden="1" x14ac:dyDescent="0.35">
      <c r="A161" t="s">
        <v>149</v>
      </c>
      <c r="B161" t="s">
        <v>887</v>
      </c>
      <c r="C161" t="s">
        <v>1339</v>
      </c>
      <c r="D161">
        <f t="shared" si="2"/>
        <v>0</v>
      </c>
      <c r="E161" t="s">
        <v>19</v>
      </c>
      <c r="F161" t="s">
        <v>1339</v>
      </c>
      <c r="G161" t="s">
        <v>322</v>
      </c>
      <c r="N161" s="107"/>
    </row>
    <row r="162" spans="1:14" hidden="1" x14ac:dyDescent="0.35">
      <c r="A162" t="s">
        <v>149</v>
      </c>
      <c r="B162" t="s">
        <v>904</v>
      </c>
      <c r="C162" t="s">
        <v>1342</v>
      </c>
      <c r="D162">
        <f t="shared" si="2"/>
        <v>0</v>
      </c>
      <c r="E162" t="s">
        <v>19</v>
      </c>
      <c r="F162" t="s">
        <v>2266</v>
      </c>
      <c r="G162" t="s">
        <v>322</v>
      </c>
      <c r="N162" s="107"/>
    </row>
    <row r="163" spans="1:14" hidden="1" x14ac:dyDescent="0.35">
      <c r="A163" t="s">
        <v>149</v>
      </c>
      <c r="B163" t="s">
        <v>887</v>
      </c>
      <c r="C163" t="s">
        <v>1342</v>
      </c>
      <c r="D163">
        <f t="shared" si="2"/>
        <v>0</v>
      </c>
      <c r="E163" t="s">
        <v>19</v>
      </c>
      <c r="F163" t="s">
        <v>2275</v>
      </c>
      <c r="G163" t="s">
        <v>322</v>
      </c>
      <c r="N163" s="107"/>
    </row>
    <row r="164" spans="1:14" hidden="1" x14ac:dyDescent="0.35">
      <c r="A164" t="s">
        <v>149</v>
      </c>
      <c r="B164" t="s">
        <v>917</v>
      </c>
      <c r="C164" t="s">
        <v>1351</v>
      </c>
      <c r="D164">
        <f t="shared" si="2"/>
        <v>0</v>
      </c>
      <c r="E164" t="s">
        <v>19</v>
      </c>
      <c r="F164" t="s">
        <v>2297</v>
      </c>
      <c r="G164" t="s">
        <v>322</v>
      </c>
      <c r="N164" s="107"/>
    </row>
    <row r="165" spans="1:14" hidden="1" x14ac:dyDescent="0.35">
      <c r="A165" t="s">
        <v>149</v>
      </c>
      <c r="B165" t="s">
        <v>1026</v>
      </c>
      <c r="C165" t="s">
        <v>1425</v>
      </c>
      <c r="D165">
        <f t="shared" si="2"/>
        <v>0</v>
      </c>
      <c r="E165" t="s">
        <v>19</v>
      </c>
      <c r="F165" t="s">
        <v>1425</v>
      </c>
      <c r="G165" t="s">
        <v>322</v>
      </c>
      <c r="N165" s="107"/>
    </row>
    <row r="166" spans="1:14" hidden="1" x14ac:dyDescent="0.35">
      <c r="A166" t="s">
        <v>149</v>
      </c>
      <c r="B166" t="s">
        <v>456</v>
      </c>
      <c r="C166" t="s">
        <v>1436</v>
      </c>
      <c r="D166">
        <f t="shared" si="2"/>
        <v>0</v>
      </c>
      <c r="E166" t="s">
        <v>19</v>
      </c>
      <c r="F166" t="s">
        <v>2561</v>
      </c>
      <c r="G166" t="s">
        <v>322</v>
      </c>
      <c r="N166" s="107"/>
    </row>
    <row r="167" spans="1:14" hidden="1" x14ac:dyDescent="0.35">
      <c r="A167" t="s">
        <v>149</v>
      </c>
      <c r="B167" t="s">
        <v>456</v>
      </c>
      <c r="C167" t="s">
        <v>1436</v>
      </c>
      <c r="D167">
        <f t="shared" si="2"/>
        <v>0</v>
      </c>
      <c r="E167" t="s">
        <v>19</v>
      </c>
      <c r="F167" t="s">
        <v>2562</v>
      </c>
      <c r="G167" t="s">
        <v>322</v>
      </c>
      <c r="N167" s="107"/>
    </row>
    <row r="168" spans="1:14" hidden="1" x14ac:dyDescent="0.35">
      <c r="A168" t="s">
        <v>149</v>
      </c>
      <c r="B168" t="s">
        <v>1069</v>
      </c>
      <c r="C168" t="s">
        <v>1461</v>
      </c>
      <c r="D168">
        <f t="shared" si="2"/>
        <v>0</v>
      </c>
      <c r="E168" t="s">
        <v>19</v>
      </c>
      <c r="F168" t="s">
        <v>2640</v>
      </c>
      <c r="G168" t="s">
        <v>322</v>
      </c>
      <c r="N168" s="107"/>
    </row>
    <row r="169" spans="1:14" hidden="1" x14ac:dyDescent="0.35">
      <c r="A169" t="s">
        <v>149</v>
      </c>
      <c r="B169" t="s">
        <v>456</v>
      </c>
      <c r="C169" t="s">
        <v>1479</v>
      </c>
      <c r="D169">
        <f t="shared" si="2"/>
        <v>0</v>
      </c>
      <c r="E169" t="s">
        <v>19</v>
      </c>
      <c r="F169" t="s">
        <v>2698</v>
      </c>
      <c r="G169" t="s">
        <v>322</v>
      </c>
      <c r="N169" s="107"/>
    </row>
    <row r="170" spans="1:14" hidden="1" x14ac:dyDescent="0.35">
      <c r="A170" t="s">
        <v>149</v>
      </c>
      <c r="B170" t="s">
        <v>887</v>
      </c>
      <c r="C170" t="s">
        <v>1482</v>
      </c>
      <c r="D170">
        <f t="shared" si="2"/>
        <v>0</v>
      </c>
      <c r="E170" t="s">
        <v>19</v>
      </c>
      <c r="F170" t="s">
        <v>1482</v>
      </c>
      <c r="G170" t="s">
        <v>322</v>
      </c>
      <c r="N170" s="107"/>
    </row>
    <row r="171" spans="1:14" hidden="1" x14ac:dyDescent="0.35">
      <c r="A171" t="s">
        <v>149</v>
      </c>
      <c r="B171" t="s">
        <v>456</v>
      </c>
      <c r="C171" t="s">
        <v>1526</v>
      </c>
      <c r="D171">
        <f t="shared" si="2"/>
        <v>0</v>
      </c>
      <c r="E171" t="s">
        <v>19</v>
      </c>
      <c r="F171" t="s">
        <v>1526</v>
      </c>
      <c r="G171" t="s">
        <v>322</v>
      </c>
      <c r="N171" s="107"/>
    </row>
    <row r="172" spans="1:14" hidden="1" x14ac:dyDescent="0.35">
      <c r="A172" t="s">
        <v>150</v>
      </c>
      <c r="B172" t="s">
        <v>557</v>
      </c>
      <c r="C172" t="s">
        <v>1227</v>
      </c>
      <c r="D172">
        <f t="shared" si="2"/>
        <v>0</v>
      </c>
      <c r="E172" t="s">
        <v>19</v>
      </c>
      <c r="F172" t="s">
        <v>1983</v>
      </c>
      <c r="G172" t="s">
        <v>322</v>
      </c>
      <c r="N172" s="107"/>
    </row>
    <row r="173" spans="1:14" hidden="1" x14ac:dyDescent="0.35">
      <c r="A173" t="s">
        <v>151</v>
      </c>
      <c r="B173" t="s">
        <v>457</v>
      </c>
      <c r="C173" t="s">
        <v>1156</v>
      </c>
      <c r="D173">
        <f t="shared" si="2"/>
        <v>0</v>
      </c>
      <c r="E173" t="s">
        <v>19</v>
      </c>
      <c r="F173" t="s">
        <v>1156</v>
      </c>
      <c r="G173" t="s">
        <v>322</v>
      </c>
      <c r="N173" s="107"/>
    </row>
    <row r="174" spans="1:14" hidden="1" x14ac:dyDescent="0.35">
      <c r="A174" t="s">
        <v>151</v>
      </c>
      <c r="B174" t="s">
        <v>470</v>
      </c>
      <c r="C174" t="s">
        <v>1157</v>
      </c>
      <c r="D174">
        <f t="shared" si="2"/>
        <v>0</v>
      </c>
      <c r="E174" t="s">
        <v>19</v>
      </c>
      <c r="F174" t="s">
        <v>1157</v>
      </c>
      <c r="G174" t="s">
        <v>322</v>
      </c>
      <c r="N174" s="107"/>
    </row>
    <row r="175" spans="1:14" hidden="1" x14ac:dyDescent="0.35">
      <c r="A175" t="s">
        <v>151</v>
      </c>
      <c r="B175" t="s">
        <v>458</v>
      </c>
      <c r="C175" t="s">
        <v>1159</v>
      </c>
      <c r="D175">
        <f t="shared" si="2"/>
        <v>0</v>
      </c>
      <c r="E175" t="s">
        <v>19</v>
      </c>
      <c r="F175" t="s">
        <v>1159</v>
      </c>
      <c r="G175" t="s">
        <v>322</v>
      </c>
      <c r="N175" s="107"/>
    </row>
    <row r="176" spans="1:14" hidden="1" x14ac:dyDescent="0.35">
      <c r="A176" t="s">
        <v>151</v>
      </c>
      <c r="B176" t="s">
        <v>459</v>
      </c>
      <c r="C176" t="s">
        <v>1164</v>
      </c>
      <c r="D176">
        <f t="shared" si="2"/>
        <v>0</v>
      </c>
      <c r="E176" t="s">
        <v>19</v>
      </c>
      <c r="F176" t="s">
        <v>1746</v>
      </c>
      <c r="G176" t="s">
        <v>322</v>
      </c>
      <c r="N176" s="107"/>
    </row>
    <row r="177" spans="1:14" hidden="1" x14ac:dyDescent="0.35">
      <c r="A177" t="s">
        <v>151</v>
      </c>
      <c r="B177" t="s">
        <v>470</v>
      </c>
      <c r="C177" t="s">
        <v>1180</v>
      </c>
      <c r="D177">
        <f t="shared" si="2"/>
        <v>0</v>
      </c>
      <c r="E177" t="s">
        <v>19</v>
      </c>
      <c r="F177" t="s">
        <v>1821</v>
      </c>
      <c r="G177" t="s">
        <v>322</v>
      </c>
      <c r="N177" s="107"/>
    </row>
    <row r="178" spans="1:14" hidden="1" x14ac:dyDescent="0.35">
      <c r="A178" t="s">
        <v>151</v>
      </c>
      <c r="B178" t="s">
        <v>621</v>
      </c>
      <c r="C178" t="s">
        <v>1180</v>
      </c>
      <c r="D178">
        <f t="shared" si="2"/>
        <v>0</v>
      </c>
      <c r="E178" t="s">
        <v>19</v>
      </c>
      <c r="F178" t="s">
        <v>1822</v>
      </c>
      <c r="G178" t="s">
        <v>322</v>
      </c>
      <c r="N178" s="107"/>
    </row>
    <row r="179" spans="1:14" hidden="1" x14ac:dyDescent="0.35">
      <c r="A179" t="s">
        <v>151</v>
      </c>
      <c r="B179" t="s">
        <v>644</v>
      </c>
      <c r="C179" t="s">
        <v>1193</v>
      </c>
      <c r="D179">
        <f t="shared" si="2"/>
        <v>0</v>
      </c>
      <c r="E179" t="s">
        <v>19</v>
      </c>
      <c r="F179" t="s">
        <v>1193</v>
      </c>
      <c r="G179" t="s">
        <v>322</v>
      </c>
      <c r="N179" s="107"/>
    </row>
    <row r="180" spans="1:14" hidden="1" x14ac:dyDescent="0.35">
      <c r="A180" t="s">
        <v>151</v>
      </c>
      <c r="B180" t="s">
        <v>470</v>
      </c>
      <c r="C180" t="s">
        <v>1197</v>
      </c>
      <c r="D180">
        <f t="shared" si="2"/>
        <v>0</v>
      </c>
      <c r="E180" t="s">
        <v>19</v>
      </c>
      <c r="F180" t="s">
        <v>1197</v>
      </c>
      <c r="G180" t="s">
        <v>322</v>
      </c>
      <c r="N180" s="107"/>
    </row>
    <row r="181" spans="1:14" hidden="1" x14ac:dyDescent="0.35">
      <c r="A181" t="s">
        <v>151</v>
      </c>
      <c r="B181" t="s">
        <v>470</v>
      </c>
      <c r="C181" t="s">
        <v>1227</v>
      </c>
      <c r="D181">
        <f t="shared" si="2"/>
        <v>0</v>
      </c>
      <c r="E181" t="s">
        <v>19</v>
      </c>
      <c r="F181" t="s">
        <v>1959</v>
      </c>
      <c r="G181" t="s">
        <v>322</v>
      </c>
      <c r="N181" s="107"/>
    </row>
    <row r="182" spans="1:14" hidden="1" x14ac:dyDescent="0.35">
      <c r="A182" t="s">
        <v>151</v>
      </c>
      <c r="B182" t="s">
        <v>458</v>
      </c>
      <c r="C182" t="s">
        <v>1227</v>
      </c>
      <c r="D182">
        <f t="shared" si="2"/>
        <v>0</v>
      </c>
      <c r="E182" t="s">
        <v>19</v>
      </c>
      <c r="F182" t="s">
        <v>1965</v>
      </c>
      <c r="G182" t="s">
        <v>322</v>
      </c>
      <c r="N182" s="107"/>
    </row>
    <row r="183" spans="1:14" hidden="1" x14ac:dyDescent="0.35">
      <c r="A183" t="s">
        <v>151</v>
      </c>
      <c r="B183" t="s">
        <v>459</v>
      </c>
      <c r="C183" t="s">
        <v>1227</v>
      </c>
      <c r="D183">
        <f t="shared" si="2"/>
        <v>0</v>
      </c>
      <c r="E183" t="s">
        <v>19</v>
      </c>
      <c r="F183" t="s">
        <v>1972</v>
      </c>
      <c r="G183" t="s">
        <v>322</v>
      </c>
      <c r="N183" s="107"/>
    </row>
    <row r="184" spans="1:14" hidden="1" x14ac:dyDescent="0.35">
      <c r="A184" t="s">
        <v>151</v>
      </c>
      <c r="B184" t="s">
        <v>470</v>
      </c>
      <c r="C184" t="s">
        <v>1227</v>
      </c>
      <c r="D184">
        <f t="shared" si="2"/>
        <v>0</v>
      </c>
      <c r="E184" t="s">
        <v>19</v>
      </c>
      <c r="F184" t="s">
        <v>1973</v>
      </c>
      <c r="G184" t="s">
        <v>322</v>
      </c>
      <c r="N184" s="107"/>
    </row>
    <row r="185" spans="1:14" hidden="1" x14ac:dyDescent="0.35">
      <c r="A185" t="s">
        <v>151</v>
      </c>
      <c r="B185" t="s">
        <v>459</v>
      </c>
      <c r="C185" t="s">
        <v>1287</v>
      </c>
      <c r="D185">
        <f t="shared" si="2"/>
        <v>0</v>
      </c>
      <c r="E185" t="s">
        <v>19</v>
      </c>
      <c r="F185" t="s">
        <v>2144</v>
      </c>
      <c r="G185" t="s">
        <v>322</v>
      </c>
      <c r="N185" s="107"/>
    </row>
    <row r="186" spans="1:14" hidden="1" x14ac:dyDescent="0.35">
      <c r="A186" t="s">
        <v>151</v>
      </c>
      <c r="B186" t="s">
        <v>458</v>
      </c>
      <c r="C186" t="s">
        <v>1319</v>
      </c>
      <c r="D186">
        <f t="shared" si="2"/>
        <v>0</v>
      </c>
      <c r="E186" t="s">
        <v>19</v>
      </c>
      <c r="F186" t="s">
        <v>2222</v>
      </c>
      <c r="G186" t="s">
        <v>322</v>
      </c>
      <c r="N186" s="107"/>
    </row>
    <row r="187" spans="1:14" hidden="1" x14ac:dyDescent="0.35">
      <c r="A187" t="s">
        <v>151</v>
      </c>
      <c r="B187" t="s">
        <v>470</v>
      </c>
      <c r="C187" t="s">
        <v>1380</v>
      </c>
      <c r="D187">
        <f t="shared" si="2"/>
        <v>0</v>
      </c>
      <c r="E187" t="s">
        <v>19</v>
      </c>
      <c r="F187" t="s">
        <v>2354</v>
      </c>
      <c r="G187" t="s">
        <v>322</v>
      </c>
      <c r="N187" s="107"/>
    </row>
    <row r="188" spans="1:14" hidden="1" x14ac:dyDescent="0.35">
      <c r="A188" t="s">
        <v>151</v>
      </c>
      <c r="B188" t="s">
        <v>460</v>
      </c>
      <c r="C188" t="s">
        <v>1393</v>
      </c>
      <c r="D188">
        <f t="shared" si="2"/>
        <v>0</v>
      </c>
      <c r="E188" t="s">
        <v>19</v>
      </c>
      <c r="F188" t="s">
        <v>2357</v>
      </c>
      <c r="G188" t="s">
        <v>322</v>
      </c>
      <c r="N188" s="107"/>
    </row>
    <row r="189" spans="1:14" hidden="1" x14ac:dyDescent="0.35">
      <c r="A189" t="s">
        <v>151</v>
      </c>
      <c r="B189" t="s">
        <v>990</v>
      </c>
      <c r="C189" t="s">
        <v>1411</v>
      </c>
      <c r="D189">
        <f t="shared" si="2"/>
        <v>0</v>
      </c>
      <c r="E189" t="s">
        <v>19</v>
      </c>
      <c r="F189" t="s">
        <v>2442</v>
      </c>
      <c r="G189" t="s">
        <v>322</v>
      </c>
      <c r="N189" s="107"/>
    </row>
    <row r="190" spans="1:14" hidden="1" x14ac:dyDescent="0.35">
      <c r="A190" t="s">
        <v>151</v>
      </c>
      <c r="B190" t="s">
        <v>458</v>
      </c>
      <c r="C190" t="s">
        <v>1414</v>
      </c>
      <c r="D190">
        <f t="shared" si="2"/>
        <v>0</v>
      </c>
      <c r="E190" t="s">
        <v>19</v>
      </c>
      <c r="F190" t="s">
        <v>2496</v>
      </c>
      <c r="G190" t="s">
        <v>322</v>
      </c>
      <c r="N190" s="107"/>
    </row>
    <row r="191" spans="1:14" hidden="1" x14ac:dyDescent="0.35">
      <c r="A191" t="s">
        <v>151</v>
      </c>
      <c r="B191" t="s">
        <v>470</v>
      </c>
      <c r="C191" t="s">
        <v>1414</v>
      </c>
      <c r="D191">
        <f t="shared" si="2"/>
        <v>0</v>
      </c>
      <c r="E191" t="s">
        <v>19</v>
      </c>
      <c r="F191" t="s">
        <v>2500</v>
      </c>
      <c r="G191" t="s">
        <v>322</v>
      </c>
      <c r="N191" s="107"/>
    </row>
    <row r="192" spans="1:14" hidden="1" x14ac:dyDescent="0.35">
      <c r="A192" t="s">
        <v>151</v>
      </c>
      <c r="B192" t="s">
        <v>458</v>
      </c>
      <c r="C192" t="s">
        <v>1414</v>
      </c>
      <c r="D192">
        <f t="shared" si="2"/>
        <v>0</v>
      </c>
      <c r="E192" t="s">
        <v>19</v>
      </c>
      <c r="F192" t="s">
        <v>2508</v>
      </c>
      <c r="G192" t="s">
        <v>322</v>
      </c>
      <c r="N192" s="107"/>
    </row>
    <row r="193" spans="1:14" hidden="1" x14ac:dyDescent="0.35">
      <c r="A193" t="s">
        <v>151</v>
      </c>
      <c r="B193" t="s">
        <v>470</v>
      </c>
      <c r="C193" t="s">
        <v>1420</v>
      </c>
      <c r="D193">
        <f t="shared" ref="D193:D256" si="3">SIGN(SUBTOTAL(3,E193))</f>
        <v>0</v>
      </c>
      <c r="E193" t="s">
        <v>19</v>
      </c>
      <c r="F193" t="s">
        <v>1420</v>
      </c>
      <c r="G193" t="s">
        <v>322</v>
      </c>
      <c r="N193" s="107"/>
    </row>
    <row r="194" spans="1:14" hidden="1" x14ac:dyDescent="0.35">
      <c r="A194" t="s">
        <v>151</v>
      </c>
      <c r="B194" t="s">
        <v>459</v>
      </c>
      <c r="C194" t="s">
        <v>1424</v>
      </c>
      <c r="D194">
        <f t="shared" si="3"/>
        <v>0</v>
      </c>
      <c r="E194" t="s">
        <v>19</v>
      </c>
      <c r="F194" t="s">
        <v>2554</v>
      </c>
      <c r="G194" t="s">
        <v>322</v>
      </c>
      <c r="N194" s="107"/>
    </row>
    <row r="195" spans="1:14" hidden="1" x14ac:dyDescent="0.35">
      <c r="A195" t="s">
        <v>151</v>
      </c>
      <c r="B195" t="s">
        <v>459</v>
      </c>
      <c r="C195" t="s">
        <v>1446</v>
      </c>
      <c r="D195">
        <f t="shared" si="3"/>
        <v>0</v>
      </c>
      <c r="E195" t="s">
        <v>19</v>
      </c>
      <c r="F195" t="s">
        <v>2616</v>
      </c>
      <c r="G195" t="s">
        <v>322</v>
      </c>
      <c r="N195" s="107"/>
    </row>
    <row r="196" spans="1:14" hidden="1" x14ac:dyDescent="0.35">
      <c r="A196" t="s">
        <v>151</v>
      </c>
      <c r="B196" t="s">
        <v>470</v>
      </c>
      <c r="C196" t="s">
        <v>1462</v>
      </c>
      <c r="D196">
        <f t="shared" si="3"/>
        <v>0</v>
      </c>
      <c r="E196" t="s">
        <v>19</v>
      </c>
      <c r="F196" t="s">
        <v>2659</v>
      </c>
      <c r="G196" t="s">
        <v>322</v>
      </c>
      <c r="N196" s="107"/>
    </row>
    <row r="197" spans="1:14" hidden="1" x14ac:dyDescent="0.35">
      <c r="A197" t="s">
        <v>151</v>
      </c>
      <c r="B197" t="s">
        <v>458</v>
      </c>
      <c r="C197" t="s">
        <v>1462</v>
      </c>
      <c r="D197">
        <f t="shared" si="3"/>
        <v>0</v>
      </c>
      <c r="E197" t="s">
        <v>19</v>
      </c>
      <c r="F197" t="s">
        <v>2661</v>
      </c>
      <c r="G197" t="s">
        <v>322</v>
      </c>
      <c r="N197" s="107"/>
    </row>
    <row r="198" spans="1:14" hidden="1" x14ac:dyDescent="0.35">
      <c r="A198" t="s">
        <v>151</v>
      </c>
      <c r="B198" t="s">
        <v>1073</v>
      </c>
      <c r="C198" t="s">
        <v>1462</v>
      </c>
      <c r="D198">
        <f t="shared" si="3"/>
        <v>0</v>
      </c>
      <c r="E198" t="s">
        <v>19</v>
      </c>
      <c r="F198" t="s">
        <v>2666</v>
      </c>
      <c r="G198" t="s">
        <v>322</v>
      </c>
      <c r="N198" s="107"/>
    </row>
    <row r="199" spans="1:14" hidden="1" x14ac:dyDescent="0.35">
      <c r="A199" t="s">
        <v>151</v>
      </c>
      <c r="B199" t="s">
        <v>470</v>
      </c>
      <c r="C199" t="s">
        <v>1471</v>
      </c>
      <c r="D199">
        <f t="shared" si="3"/>
        <v>0</v>
      </c>
      <c r="E199" t="s">
        <v>19</v>
      </c>
      <c r="F199" t="s">
        <v>2685</v>
      </c>
      <c r="G199" t="s">
        <v>322</v>
      </c>
      <c r="N199" s="107"/>
    </row>
    <row r="200" spans="1:14" hidden="1" x14ac:dyDescent="0.35">
      <c r="A200" t="s">
        <v>151</v>
      </c>
      <c r="B200" t="s">
        <v>470</v>
      </c>
      <c r="C200" t="s">
        <v>1483</v>
      </c>
      <c r="D200">
        <f t="shared" si="3"/>
        <v>0</v>
      </c>
      <c r="E200" t="s">
        <v>19</v>
      </c>
      <c r="F200" t="s">
        <v>2718</v>
      </c>
      <c r="G200" t="s">
        <v>322</v>
      </c>
      <c r="N200" s="107"/>
    </row>
    <row r="201" spans="1:14" hidden="1" x14ac:dyDescent="0.35">
      <c r="A201" t="s">
        <v>151</v>
      </c>
      <c r="B201" t="s">
        <v>458</v>
      </c>
      <c r="C201" t="s">
        <v>1483</v>
      </c>
      <c r="D201">
        <f t="shared" si="3"/>
        <v>0</v>
      </c>
      <c r="E201" t="s">
        <v>19</v>
      </c>
      <c r="F201" t="s">
        <v>2719</v>
      </c>
      <c r="G201" t="s">
        <v>322</v>
      </c>
      <c r="N201" s="107"/>
    </row>
    <row r="202" spans="1:14" hidden="1" x14ac:dyDescent="0.35">
      <c r="A202" t="s">
        <v>151</v>
      </c>
      <c r="B202" t="s">
        <v>458</v>
      </c>
      <c r="C202" t="s">
        <v>1483</v>
      </c>
      <c r="D202">
        <f t="shared" si="3"/>
        <v>0</v>
      </c>
      <c r="E202" t="s">
        <v>19</v>
      </c>
      <c r="F202" t="s">
        <v>2727</v>
      </c>
      <c r="G202" t="s">
        <v>322</v>
      </c>
      <c r="N202" s="107"/>
    </row>
    <row r="203" spans="1:14" hidden="1" x14ac:dyDescent="0.35">
      <c r="A203" t="s">
        <v>151</v>
      </c>
      <c r="B203" t="s">
        <v>458</v>
      </c>
      <c r="C203" t="s">
        <v>1483</v>
      </c>
      <c r="D203">
        <f t="shared" si="3"/>
        <v>0</v>
      </c>
      <c r="E203" t="s">
        <v>19</v>
      </c>
      <c r="F203" t="s">
        <v>2729</v>
      </c>
      <c r="G203" t="s">
        <v>322</v>
      </c>
      <c r="N203" s="107"/>
    </row>
    <row r="204" spans="1:14" hidden="1" x14ac:dyDescent="0.35">
      <c r="A204" t="s">
        <v>151</v>
      </c>
      <c r="B204" t="s">
        <v>1091</v>
      </c>
      <c r="C204" t="s">
        <v>1488</v>
      </c>
      <c r="D204">
        <f t="shared" si="3"/>
        <v>0</v>
      </c>
      <c r="E204" t="s">
        <v>19</v>
      </c>
      <c r="F204" t="s">
        <v>2730</v>
      </c>
      <c r="G204" t="s">
        <v>322</v>
      </c>
      <c r="N204" s="107"/>
    </row>
    <row r="205" spans="1:14" hidden="1" x14ac:dyDescent="0.35">
      <c r="A205" t="s">
        <v>151</v>
      </c>
      <c r="B205" t="s">
        <v>1092</v>
      </c>
      <c r="C205" t="s">
        <v>1488</v>
      </c>
      <c r="D205">
        <f t="shared" si="3"/>
        <v>0</v>
      </c>
      <c r="E205" t="s">
        <v>19</v>
      </c>
      <c r="F205" t="s">
        <v>2731</v>
      </c>
      <c r="G205" t="s">
        <v>322</v>
      </c>
      <c r="N205" s="107"/>
    </row>
    <row r="206" spans="1:14" hidden="1" x14ac:dyDescent="0.35">
      <c r="A206" t="s">
        <v>151</v>
      </c>
      <c r="B206" t="s">
        <v>458</v>
      </c>
      <c r="C206" t="s">
        <v>1488</v>
      </c>
      <c r="D206">
        <f t="shared" si="3"/>
        <v>0</v>
      </c>
      <c r="E206" t="s">
        <v>19</v>
      </c>
      <c r="F206" t="s">
        <v>2734</v>
      </c>
      <c r="G206" t="s">
        <v>322</v>
      </c>
      <c r="N206" s="107"/>
    </row>
    <row r="207" spans="1:14" hidden="1" x14ac:dyDescent="0.35">
      <c r="A207" t="s">
        <v>151</v>
      </c>
      <c r="B207" t="s">
        <v>1099</v>
      </c>
      <c r="C207" t="s">
        <v>1500</v>
      </c>
      <c r="D207">
        <f t="shared" si="3"/>
        <v>0</v>
      </c>
      <c r="E207" t="s">
        <v>19</v>
      </c>
      <c r="F207" t="s">
        <v>2740</v>
      </c>
      <c r="G207" t="s">
        <v>322</v>
      </c>
      <c r="N207" s="107"/>
    </row>
    <row r="208" spans="1:14" hidden="1" x14ac:dyDescent="0.35">
      <c r="A208" t="s">
        <v>151</v>
      </c>
      <c r="B208" t="s">
        <v>1105</v>
      </c>
      <c r="C208" t="s">
        <v>1509</v>
      </c>
      <c r="D208">
        <f t="shared" si="3"/>
        <v>0</v>
      </c>
      <c r="E208" t="s">
        <v>19</v>
      </c>
      <c r="F208" t="s">
        <v>2755</v>
      </c>
      <c r="G208" t="s">
        <v>322</v>
      </c>
      <c r="N208" s="107"/>
    </row>
    <row r="209" spans="1:14" hidden="1" x14ac:dyDescent="0.35">
      <c r="A209" t="s">
        <v>151</v>
      </c>
      <c r="B209" t="s">
        <v>459</v>
      </c>
      <c r="C209" t="s">
        <v>1509</v>
      </c>
      <c r="D209">
        <f t="shared" si="3"/>
        <v>0</v>
      </c>
      <c r="E209" t="s">
        <v>19</v>
      </c>
      <c r="F209" t="s">
        <v>2757</v>
      </c>
      <c r="G209" t="s">
        <v>322</v>
      </c>
      <c r="N209" s="107"/>
    </row>
    <row r="210" spans="1:14" hidden="1" x14ac:dyDescent="0.35">
      <c r="A210" t="s">
        <v>151</v>
      </c>
      <c r="B210" t="s">
        <v>1106</v>
      </c>
      <c r="C210" t="s">
        <v>1509</v>
      </c>
      <c r="D210">
        <f t="shared" si="3"/>
        <v>0</v>
      </c>
      <c r="E210" t="s">
        <v>19</v>
      </c>
      <c r="F210" t="s">
        <v>2758</v>
      </c>
      <c r="G210" t="s">
        <v>322</v>
      </c>
      <c r="N210" s="107"/>
    </row>
    <row r="211" spans="1:14" hidden="1" x14ac:dyDescent="0.35">
      <c r="A211" t="s">
        <v>151</v>
      </c>
      <c r="B211" t="s">
        <v>466</v>
      </c>
      <c r="C211" t="s">
        <v>1509</v>
      </c>
      <c r="D211">
        <f t="shared" si="3"/>
        <v>0</v>
      </c>
      <c r="E211" t="s">
        <v>19</v>
      </c>
      <c r="F211" t="s">
        <v>2759</v>
      </c>
      <c r="G211" t="s">
        <v>322</v>
      </c>
      <c r="N211" s="107"/>
    </row>
    <row r="212" spans="1:14" hidden="1" x14ac:dyDescent="0.35">
      <c r="A212" t="s">
        <v>151</v>
      </c>
      <c r="B212" t="s">
        <v>458</v>
      </c>
      <c r="C212" t="s">
        <v>1509</v>
      </c>
      <c r="D212">
        <f t="shared" si="3"/>
        <v>0</v>
      </c>
      <c r="E212" t="s">
        <v>19</v>
      </c>
      <c r="F212" t="s">
        <v>2795</v>
      </c>
      <c r="G212" t="s">
        <v>322</v>
      </c>
      <c r="N212" s="107"/>
    </row>
    <row r="213" spans="1:14" hidden="1" x14ac:dyDescent="0.35">
      <c r="A213" t="s">
        <v>151</v>
      </c>
      <c r="B213" t="s">
        <v>458</v>
      </c>
      <c r="C213" t="s">
        <v>1509</v>
      </c>
      <c r="D213">
        <f t="shared" si="3"/>
        <v>0</v>
      </c>
      <c r="E213" t="s">
        <v>19</v>
      </c>
      <c r="F213" t="s">
        <v>2796</v>
      </c>
      <c r="G213" t="s">
        <v>322</v>
      </c>
      <c r="N213" s="107"/>
    </row>
    <row r="214" spans="1:14" hidden="1" x14ac:dyDescent="0.35">
      <c r="A214" t="s">
        <v>151</v>
      </c>
      <c r="B214" t="s">
        <v>470</v>
      </c>
      <c r="C214" t="s">
        <v>1509</v>
      </c>
      <c r="D214">
        <f t="shared" si="3"/>
        <v>0</v>
      </c>
      <c r="E214" t="s">
        <v>19</v>
      </c>
      <c r="F214" t="s">
        <v>2797</v>
      </c>
      <c r="G214" t="s">
        <v>322</v>
      </c>
      <c r="N214" s="107"/>
    </row>
    <row r="215" spans="1:14" hidden="1" x14ac:dyDescent="0.35">
      <c r="A215" t="s">
        <v>151</v>
      </c>
      <c r="B215" t="s">
        <v>1115</v>
      </c>
      <c r="C215" t="s">
        <v>1509</v>
      </c>
      <c r="D215">
        <f t="shared" si="3"/>
        <v>0</v>
      </c>
      <c r="E215" t="s">
        <v>19</v>
      </c>
      <c r="F215" t="s">
        <v>2798</v>
      </c>
      <c r="G215" t="s">
        <v>322</v>
      </c>
      <c r="N215" s="107"/>
    </row>
    <row r="216" spans="1:14" hidden="1" x14ac:dyDescent="0.35">
      <c r="A216" t="s">
        <v>151</v>
      </c>
      <c r="B216" t="s">
        <v>459</v>
      </c>
      <c r="C216" t="s">
        <v>1513</v>
      </c>
      <c r="D216">
        <f t="shared" si="3"/>
        <v>0</v>
      </c>
      <c r="E216" t="s">
        <v>19</v>
      </c>
      <c r="F216" t="s">
        <v>2807</v>
      </c>
      <c r="G216" t="s">
        <v>322</v>
      </c>
      <c r="N216" s="107"/>
    </row>
    <row r="217" spans="1:14" hidden="1" x14ac:dyDescent="0.35">
      <c r="A217" t="s">
        <v>151</v>
      </c>
      <c r="B217" t="s">
        <v>1115</v>
      </c>
      <c r="C217" t="s">
        <v>1518</v>
      </c>
      <c r="D217">
        <f t="shared" si="3"/>
        <v>0</v>
      </c>
      <c r="E217" t="s">
        <v>19</v>
      </c>
      <c r="F217" t="s">
        <v>1518</v>
      </c>
      <c r="G217" t="s">
        <v>322</v>
      </c>
      <c r="N217" s="107"/>
    </row>
    <row r="218" spans="1:14" hidden="1" x14ac:dyDescent="0.35">
      <c r="A218" t="s">
        <v>152</v>
      </c>
      <c r="B218" t="s">
        <v>555</v>
      </c>
      <c r="C218" t="s">
        <v>1155</v>
      </c>
      <c r="D218">
        <f t="shared" si="3"/>
        <v>0</v>
      </c>
      <c r="E218" t="s">
        <v>19</v>
      </c>
      <c r="F218" t="s">
        <v>1155</v>
      </c>
      <c r="G218" t="s">
        <v>322</v>
      </c>
      <c r="N218" s="107"/>
    </row>
    <row r="219" spans="1:14" hidden="1" x14ac:dyDescent="0.35">
      <c r="A219" t="s">
        <v>152</v>
      </c>
      <c r="B219" t="s">
        <v>473</v>
      </c>
      <c r="C219" t="s">
        <v>1166</v>
      </c>
      <c r="D219">
        <f t="shared" si="3"/>
        <v>0</v>
      </c>
      <c r="E219" t="s">
        <v>19</v>
      </c>
      <c r="F219" t="s">
        <v>1166</v>
      </c>
      <c r="G219" t="s">
        <v>322</v>
      </c>
      <c r="N219" s="107"/>
    </row>
    <row r="220" spans="1:14" hidden="1" x14ac:dyDescent="0.35">
      <c r="A220" t="s">
        <v>152</v>
      </c>
      <c r="B220" t="s">
        <v>473</v>
      </c>
      <c r="C220" t="s">
        <v>1168</v>
      </c>
      <c r="D220">
        <f t="shared" si="3"/>
        <v>0</v>
      </c>
      <c r="E220" t="s">
        <v>19</v>
      </c>
      <c r="F220" t="s">
        <v>1168</v>
      </c>
      <c r="G220" t="s">
        <v>322</v>
      </c>
      <c r="N220" s="107"/>
    </row>
    <row r="221" spans="1:14" hidden="1" x14ac:dyDescent="0.35">
      <c r="A221" t="s">
        <v>152</v>
      </c>
      <c r="B221" t="s">
        <v>473</v>
      </c>
      <c r="C221" t="s">
        <v>1169</v>
      </c>
      <c r="D221">
        <f t="shared" si="3"/>
        <v>0</v>
      </c>
      <c r="E221" t="s">
        <v>19</v>
      </c>
      <c r="F221" t="s">
        <v>1169</v>
      </c>
      <c r="G221" t="s">
        <v>322</v>
      </c>
      <c r="N221" s="107"/>
    </row>
    <row r="222" spans="1:14" hidden="1" x14ac:dyDescent="0.35">
      <c r="A222" t="s">
        <v>152</v>
      </c>
      <c r="B222" t="s">
        <v>586</v>
      </c>
      <c r="C222" t="s">
        <v>1171</v>
      </c>
      <c r="D222">
        <f t="shared" si="3"/>
        <v>0</v>
      </c>
      <c r="E222" t="s">
        <v>19</v>
      </c>
      <c r="F222" t="s">
        <v>1773</v>
      </c>
      <c r="G222" t="s">
        <v>322</v>
      </c>
      <c r="N222" s="107"/>
    </row>
    <row r="223" spans="1:14" hidden="1" x14ac:dyDescent="0.35">
      <c r="A223" t="s">
        <v>152</v>
      </c>
      <c r="B223" t="s">
        <v>598</v>
      </c>
      <c r="C223" t="s">
        <v>1175</v>
      </c>
      <c r="D223">
        <f t="shared" si="3"/>
        <v>0</v>
      </c>
      <c r="E223" t="s">
        <v>19</v>
      </c>
      <c r="F223" t="s">
        <v>1790</v>
      </c>
      <c r="G223" t="s">
        <v>322</v>
      </c>
      <c r="N223" s="107"/>
    </row>
    <row r="224" spans="1:14" hidden="1" x14ac:dyDescent="0.35">
      <c r="A224" t="s">
        <v>152</v>
      </c>
      <c r="B224" t="s">
        <v>506</v>
      </c>
      <c r="C224" t="s">
        <v>1188</v>
      </c>
      <c r="D224">
        <f t="shared" si="3"/>
        <v>0</v>
      </c>
      <c r="E224" t="s">
        <v>19</v>
      </c>
      <c r="F224" t="s">
        <v>1845</v>
      </c>
      <c r="G224" t="s">
        <v>322</v>
      </c>
      <c r="N224" s="107"/>
    </row>
    <row r="225" spans="1:14" hidden="1" x14ac:dyDescent="0.35">
      <c r="A225" t="s">
        <v>152</v>
      </c>
      <c r="B225" t="s">
        <v>494</v>
      </c>
      <c r="C225" t="s">
        <v>1188</v>
      </c>
      <c r="D225">
        <f t="shared" si="3"/>
        <v>0</v>
      </c>
      <c r="E225" t="s">
        <v>19</v>
      </c>
      <c r="F225" t="s">
        <v>1846</v>
      </c>
      <c r="G225" t="s">
        <v>322</v>
      </c>
      <c r="N225" s="107"/>
    </row>
    <row r="226" spans="1:14" hidden="1" x14ac:dyDescent="0.35">
      <c r="A226" t="s">
        <v>152</v>
      </c>
      <c r="B226" t="s">
        <v>645</v>
      </c>
      <c r="C226" t="s">
        <v>1194</v>
      </c>
      <c r="D226">
        <f t="shared" si="3"/>
        <v>0</v>
      </c>
      <c r="E226" t="s">
        <v>19</v>
      </c>
      <c r="F226" t="s">
        <v>1194</v>
      </c>
      <c r="G226" t="s">
        <v>322</v>
      </c>
      <c r="N226" s="107"/>
    </row>
    <row r="227" spans="1:14" hidden="1" x14ac:dyDescent="0.35">
      <c r="A227" t="s">
        <v>152</v>
      </c>
      <c r="B227" t="s">
        <v>555</v>
      </c>
      <c r="C227" t="s">
        <v>1233</v>
      </c>
      <c r="D227">
        <f t="shared" si="3"/>
        <v>0</v>
      </c>
      <c r="E227" t="s">
        <v>19</v>
      </c>
      <c r="F227" t="s">
        <v>2000</v>
      </c>
      <c r="G227" t="s">
        <v>322</v>
      </c>
      <c r="N227" s="107"/>
    </row>
    <row r="228" spans="1:14" hidden="1" x14ac:dyDescent="0.35">
      <c r="A228" t="s">
        <v>152</v>
      </c>
      <c r="B228" t="s">
        <v>731</v>
      </c>
      <c r="C228" t="s">
        <v>1233</v>
      </c>
      <c r="D228">
        <f t="shared" si="3"/>
        <v>0</v>
      </c>
      <c r="E228" t="s">
        <v>19</v>
      </c>
      <c r="F228" t="s">
        <v>2001</v>
      </c>
      <c r="G228" t="s">
        <v>322</v>
      </c>
      <c r="N228" s="107"/>
    </row>
    <row r="229" spans="1:14" hidden="1" x14ac:dyDescent="0.35">
      <c r="A229" t="s">
        <v>152</v>
      </c>
      <c r="B229" t="s">
        <v>494</v>
      </c>
      <c r="C229" t="s">
        <v>1233</v>
      </c>
      <c r="D229">
        <f t="shared" si="3"/>
        <v>0</v>
      </c>
      <c r="E229" t="s">
        <v>19</v>
      </c>
      <c r="F229" t="s">
        <v>2002</v>
      </c>
      <c r="G229" t="s">
        <v>322</v>
      </c>
      <c r="N229" s="107"/>
    </row>
    <row r="230" spans="1:14" hidden="1" x14ac:dyDescent="0.35">
      <c r="A230" t="s">
        <v>152</v>
      </c>
      <c r="B230" t="s">
        <v>555</v>
      </c>
      <c r="C230" t="s">
        <v>1233</v>
      </c>
      <c r="D230">
        <f t="shared" si="3"/>
        <v>0</v>
      </c>
      <c r="E230" t="s">
        <v>19</v>
      </c>
      <c r="F230" t="s">
        <v>2005</v>
      </c>
      <c r="G230" t="s">
        <v>322</v>
      </c>
      <c r="N230" s="107"/>
    </row>
    <row r="231" spans="1:14" hidden="1" x14ac:dyDescent="0.35">
      <c r="A231" t="s">
        <v>152</v>
      </c>
      <c r="B231" t="s">
        <v>472</v>
      </c>
      <c r="C231" t="s">
        <v>1233</v>
      </c>
      <c r="D231">
        <f t="shared" si="3"/>
        <v>0</v>
      </c>
      <c r="E231" t="s">
        <v>19</v>
      </c>
      <c r="F231" t="s">
        <v>2007</v>
      </c>
      <c r="G231" t="s">
        <v>322</v>
      </c>
      <c r="N231" s="107"/>
    </row>
    <row r="232" spans="1:14" hidden="1" x14ac:dyDescent="0.35">
      <c r="A232" t="s">
        <v>152</v>
      </c>
      <c r="B232" t="s">
        <v>750</v>
      </c>
      <c r="C232" t="s">
        <v>1245</v>
      </c>
      <c r="D232">
        <f t="shared" si="3"/>
        <v>0</v>
      </c>
      <c r="E232" t="s">
        <v>19</v>
      </c>
      <c r="F232" t="s">
        <v>2028</v>
      </c>
      <c r="G232" t="s">
        <v>322</v>
      </c>
      <c r="N232" s="107"/>
    </row>
    <row r="233" spans="1:14" hidden="1" x14ac:dyDescent="0.35">
      <c r="A233" t="s">
        <v>152</v>
      </c>
      <c r="B233" t="s">
        <v>750</v>
      </c>
      <c r="C233" t="s">
        <v>1248</v>
      </c>
      <c r="D233">
        <f t="shared" si="3"/>
        <v>0</v>
      </c>
      <c r="E233" t="s">
        <v>19</v>
      </c>
      <c r="F233" t="s">
        <v>1248</v>
      </c>
      <c r="G233" t="s">
        <v>322</v>
      </c>
      <c r="N233" s="107"/>
    </row>
    <row r="234" spans="1:14" hidden="1" x14ac:dyDescent="0.35">
      <c r="A234" t="s">
        <v>152</v>
      </c>
      <c r="B234" t="s">
        <v>473</v>
      </c>
      <c r="C234" t="s">
        <v>1252</v>
      </c>
      <c r="D234">
        <f t="shared" si="3"/>
        <v>0</v>
      </c>
      <c r="E234" t="s">
        <v>19</v>
      </c>
      <c r="F234" t="s">
        <v>2050</v>
      </c>
      <c r="G234" t="s">
        <v>322</v>
      </c>
      <c r="N234" s="107"/>
    </row>
    <row r="235" spans="1:14" hidden="1" x14ac:dyDescent="0.35">
      <c r="A235" t="s">
        <v>152</v>
      </c>
      <c r="B235" t="s">
        <v>792</v>
      </c>
      <c r="C235" t="s">
        <v>1280</v>
      </c>
      <c r="D235">
        <f t="shared" si="3"/>
        <v>0</v>
      </c>
      <c r="E235" t="s">
        <v>19</v>
      </c>
      <c r="F235" t="s">
        <v>2093</v>
      </c>
      <c r="G235" t="s">
        <v>322</v>
      </c>
      <c r="N235" s="107"/>
    </row>
    <row r="236" spans="1:14" hidden="1" x14ac:dyDescent="0.35">
      <c r="A236" t="s">
        <v>152</v>
      </c>
      <c r="B236" t="s">
        <v>793</v>
      </c>
      <c r="C236" t="s">
        <v>1280</v>
      </c>
      <c r="D236">
        <f t="shared" si="3"/>
        <v>0</v>
      </c>
      <c r="E236" t="s">
        <v>19</v>
      </c>
      <c r="F236" t="s">
        <v>2094</v>
      </c>
      <c r="G236" t="s">
        <v>322</v>
      </c>
      <c r="N236" s="107"/>
    </row>
    <row r="237" spans="1:14" hidden="1" x14ac:dyDescent="0.35">
      <c r="A237" t="s">
        <v>152</v>
      </c>
      <c r="B237" t="s">
        <v>831</v>
      </c>
      <c r="C237" t="s">
        <v>1301</v>
      </c>
      <c r="D237">
        <f t="shared" si="3"/>
        <v>0</v>
      </c>
      <c r="E237" t="s">
        <v>19</v>
      </c>
      <c r="F237" t="s">
        <v>2171</v>
      </c>
      <c r="G237" t="s">
        <v>322</v>
      </c>
      <c r="N237" s="107"/>
    </row>
    <row r="238" spans="1:14" hidden="1" x14ac:dyDescent="0.35">
      <c r="A238" t="s">
        <v>152</v>
      </c>
      <c r="B238" t="s">
        <v>494</v>
      </c>
      <c r="C238" t="s">
        <v>1301</v>
      </c>
      <c r="D238">
        <f t="shared" si="3"/>
        <v>0</v>
      </c>
      <c r="E238" t="s">
        <v>19</v>
      </c>
      <c r="F238" t="s">
        <v>2172</v>
      </c>
      <c r="G238" t="s">
        <v>322</v>
      </c>
      <c r="N238" s="107"/>
    </row>
    <row r="239" spans="1:14" hidden="1" x14ac:dyDescent="0.35">
      <c r="A239" t="s">
        <v>152</v>
      </c>
      <c r="B239" t="s">
        <v>494</v>
      </c>
      <c r="C239" t="s">
        <v>1301</v>
      </c>
      <c r="D239">
        <f t="shared" si="3"/>
        <v>0</v>
      </c>
      <c r="E239" t="s">
        <v>19</v>
      </c>
      <c r="F239" t="s">
        <v>2173</v>
      </c>
      <c r="G239" t="s">
        <v>322</v>
      </c>
      <c r="N239" s="107"/>
    </row>
    <row r="240" spans="1:14" hidden="1" x14ac:dyDescent="0.35">
      <c r="A240" t="s">
        <v>152</v>
      </c>
      <c r="B240" t="s">
        <v>865</v>
      </c>
      <c r="C240" t="s">
        <v>1309</v>
      </c>
      <c r="D240">
        <f t="shared" si="3"/>
        <v>0</v>
      </c>
      <c r="E240" t="s">
        <v>19</v>
      </c>
      <c r="F240" t="s">
        <v>1309</v>
      </c>
      <c r="G240" t="s">
        <v>322</v>
      </c>
      <c r="N240" s="107"/>
    </row>
    <row r="241" spans="1:14" hidden="1" x14ac:dyDescent="0.35">
      <c r="A241" t="s">
        <v>152</v>
      </c>
      <c r="B241" t="s">
        <v>472</v>
      </c>
      <c r="C241" t="s">
        <v>1382</v>
      </c>
      <c r="D241">
        <f t="shared" si="3"/>
        <v>0</v>
      </c>
      <c r="E241" t="s">
        <v>19</v>
      </c>
      <c r="F241" t="s">
        <v>2341</v>
      </c>
      <c r="G241" t="s">
        <v>322</v>
      </c>
      <c r="N241" s="107"/>
    </row>
    <row r="242" spans="1:14" hidden="1" x14ac:dyDescent="0.35">
      <c r="A242" t="s">
        <v>152</v>
      </c>
      <c r="B242" t="s">
        <v>555</v>
      </c>
      <c r="C242" t="s">
        <v>1382</v>
      </c>
      <c r="D242">
        <f t="shared" si="3"/>
        <v>0</v>
      </c>
      <c r="E242" t="s">
        <v>19</v>
      </c>
      <c r="F242" t="s">
        <v>2345</v>
      </c>
      <c r="G242" t="s">
        <v>322</v>
      </c>
      <c r="N242" s="107"/>
    </row>
    <row r="243" spans="1:14" hidden="1" x14ac:dyDescent="0.35">
      <c r="A243" t="s">
        <v>152</v>
      </c>
      <c r="B243" t="s">
        <v>555</v>
      </c>
      <c r="C243" t="s">
        <v>1382</v>
      </c>
      <c r="D243">
        <f t="shared" si="3"/>
        <v>0</v>
      </c>
      <c r="E243" t="s">
        <v>19</v>
      </c>
      <c r="F243" t="s">
        <v>2346</v>
      </c>
      <c r="G243" t="s">
        <v>322</v>
      </c>
      <c r="N243" s="107"/>
    </row>
    <row r="244" spans="1:14" hidden="1" x14ac:dyDescent="0.35">
      <c r="A244" t="s">
        <v>152</v>
      </c>
      <c r="B244" t="s">
        <v>903</v>
      </c>
      <c r="C244" t="s">
        <v>1392</v>
      </c>
      <c r="D244">
        <f t="shared" si="3"/>
        <v>0</v>
      </c>
      <c r="E244" t="s">
        <v>19</v>
      </c>
      <c r="F244" t="s">
        <v>2361</v>
      </c>
      <c r="G244" t="s">
        <v>322</v>
      </c>
      <c r="N244" s="107"/>
    </row>
    <row r="245" spans="1:14" hidden="1" x14ac:dyDescent="0.35">
      <c r="A245" t="s">
        <v>152</v>
      </c>
      <c r="B245" t="s">
        <v>956</v>
      </c>
      <c r="C245" t="s">
        <v>1403</v>
      </c>
      <c r="D245">
        <f t="shared" si="3"/>
        <v>0</v>
      </c>
      <c r="E245" t="s">
        <v>19</v>
      </c>
      <c r="F245" t="s">
        <v>2384</v>
      </c>
      <c r="G245" t="s">
        <v>322</v>
      </c>
      <c r="N245" s="107"/>
    </row>
    <row r="246" spans="1:14" hidden="1" x14ac:dyDescent="0.35">
      <c r="A246" t="s">
        <v>152</v>
      </c>
      <c r="B246" t="s">
        <v>731</v>
      </c>
      <c r="C246" t="s">
        <v>1403</v>
      </c>
      <c r="D246">
        <f t="shared" si="3"/>
        <v>0</v>
      </c>
      <c r="E246" t="s">
        <v>19</v>
      </c>
      <c r="F246" t="s">
        <v>2385</v>
      </c>
      <c r="G246" t="s">
        <v>322</v>
      </c>
      <c r="N246" s="107"/>
    </row>
    <row r="247" spans="1:14" hidden="1" x14ac:dyDescent="0.35">
      <c r="A247" t="s">
        <v>152</v>
      </c>
      <c r="B247" t="s">
        <v>506</v>
      </c>
      <c r="C247" t="s">
        <v>1411</v>
      </c>
      <c r="D247">
        <f t="shared" si="3"/>
        <v>0</v>
      </c>
      <c r="E247" t="s">
        <v>19</v>
      </c>
      <c r="F247" t="s">
        <v>2446</v>
      </c>
      <c r="G247" t="s">
        <v>322</v>
      </c>
      <c r="N247" s="107"/>
    </row>
    <row r="248" spans="1:14" hidden="1" x14ac:dyDescent="0.35">
      <c r="A248" t="s">
        <v>152</v>
      </c>
      <c r="B248" t="s">
        <v>555</v>
      </c>
      <c r="C248" t="s">
        <v>1414</v>
      </c>
      <c r="D248">
        <f t="shared" si="3"/>
        <v>0</v>
      </c>
      <c r="E248" t="s">
        <v>19</v>
      </c>
      <c r="F248" t="s">
        <v>2501</v>
      </c>
      <c r="G248" t="s">
        <v>322</v>
      </c>
      <c r="N248" s="107"/>
    </row>
    <row r="249" spans="1:14" hidden="1" x14ac:dyDescent="0.35">
      <c r="A249" t="s">
        <v>152</v>
      </c>
      <c r="B249" t="s">
        <v>750</v>
      </c>
      <c r="C249" t="s">
        <v>1414</v>
      </c>
      <c r="D249">
        <f t="shared" si="3"/>
        <v>0</v>
      </c>
      <c r="E249" t="s">
        <v>19</v>
      </c>
      <c r="F249" t="s">
        <v>2502</v>
      </c>
      <c r="G249" t="s">
        <v>322</v>
      </c>
      <c r="N249" s="107"/>
    </row>
    <row r="250" spans="1:14" hidden="1" x14ac:dyDescent="0.35">
      <c r="A250" t="s">
        <v>152</v>
      </c>
      <c r="B250" t="s">
        <v>731</v>
      </c>
      <c r="C250" t="s">
        <v>1414</v>
      </c>
      <c r="D250">
        <f t="shared" si="3"/>
        <v>0</v>
      </c>
      <c r="E250" t="s">
        <v>19</v>
      </c>
      <c r="F250" t="s">
        <v>2504</v>
      </c>
      <c r="G250" t="s">
        <v>322</v>
      </c>
      <c r="N250" s="107"/>
    </row>
    <row r="251" spans="1:14" hidden="1" x14ac:dyDescent="0.35">
      <c r="A251" t="s">
        <v>152</v>
      </c>
      <c r="B251" t="s">
        <v>1024</v>
      </c>
      <c r="C251" t="s">
        <v>1422</v>
      </c>
      <c r="D251">
        <f t="shared" si="3"/>
        <v>0</v>
      </c>
      <c r="E251" t="s">
        <v>19</v>
      </c>
      <c r="F251" t="s">
        <v>1422</v>
      </c>
      <c r="G251" t="s">
        <v>322</v>
      </c>
      <c r="N251" s="107"/>
    </row>
    <row r="252" spans="1:14" hidden="1" x14ac:dyDescent="0.35">
      <c r="A252" t="s">
        <v>152</v>
      </c>
      <c r="B252" t="s">
        <v>506</v>
      </c>
      <c r="C252" t="s">
        <v>1445</v>
      </c>
      <c r="D252">
        <f t="shared" si="3"/>
        <v>0</v>
      </c>
      <c r="E252" t="s">
        <v>19</v>
      </c>
      <c r="F252" t="s">
        <v>1445</v>
      </c>
      <c r="G252" t="s">
        <v>322</v>
      </c>
      <c r="N252" s="107"/>
    </row>
    <row r="253" spans="1:14" hidden="1" x14ac:dyDescent="0.35">
      <c r="A253" t="s">
        <v>152</v>
      </c>
      <c r="B253" t="s">
        <v>555</v>
      </c>
      <c r="C253" t="s">
        <v>1461</v>
      </c>
      <c r="D253">
        <f t="shared" si="3"/>
        <v>0</v>
      </c>
      <c r="E253" t="s">
        <v>19</v>
      </c>
      <c r="F253" t="s">
        <v>2665</v>
      </c>
      <c r="G253" t="s">
        <v>322</v>
      </c>
      <c r="N253" s="107"/>
    </row>
    <row r="254" spans="1:14" hidden="1" x14ac:dyDescent="0.35">
      <c r="A254" t="s">
        <v>152</v>
      </c>
      <c r="B254" t="s">
        <v>1080</v>
      </c>
      <c r="C254" t="s">
        <v>1472</v>
      </c>
      <c r="D254">
        <f t="shared" si="3"/>
        <v>0</v>
      </c>
      <c r="E254" t="s">
        <v>19</v>
      </c>
      <c r="F254" t="s">
        <v>1472</v>
      </c>
      <c r="G254" t="s">
        <v>322</v>
      </c>
      <c r="N254" s="107"/>
    </row>
    <row r="255" spans="1:14" hidden="1" x14ac:dyDescent="0.35">
      <c r="A255" t="s">
        <v>152</v>
      </c>
      <c r="B255" t="s">
        <v>750</v>
      </c>
      <c r="C255" t="s">
        <v>1474</v>
      </c>
      <c r="D255">
        <f t="shared" si="3"/>
        <v>0</v>
      </c>
      <c r="E255" t="s">
        <v>19</v>
      </c>
      <c r="F255" t="s">
        <v>1474</v>
      </c>
      <c r="G255" t="s">
        <v>322</v>
      </c>
      <c r="N255" s="107"/>
    </row>
    <row r="256" spans="1:14" hidden="1" x14ac:dyDescent="0.35">
      <c r="A256" t="s">
        <v>152</v>
      </c>
      <c r="B256" t="s">
        <v>555</v>
      </c>
      <c r="C256" t="s">
        <v>1483</v>
      </c>
      <c r="D256">
        <f t="shared" si="3"/>
        <v>0</v>
      </c>
      <c r="E256" t="s">
        <v>19</v>
      </c>
      <c r="F256" t="s">
        <v>2708</v>
      </c>
      <c r="G256" t="s">
        <v>322</v>
      </c>
      <c r="N256" s="107"/>
    </row>
    <row r="257" spans="1:14" hidden="1" x14ac:dyDescent="0.35">
      <c r="A257" t="s">
        <v>152</v>
      </c>
      <c r="B257" t="s">
        <v>598</v>
      </c>
      <c r="C257" t="s">
        <v>1483</v>
      </c>
      <c r="D257">
        <f t="shared" ref="D257:D320" si="4">SIGN(SUBTOTAL(3,E257))</f>
        <v>0</v>
      </c>
      <c r="E257" t="s">
        <v>19</v>
      </c>
      <c r="F257" t="s">
        <v>2714</v>
      </c>
      <c r="G257" t="s">
        <v>322</v>
      </c>
      <c r="N257" s="107"/>
    </row>
    <row r="258" spans="1:14" hidden="1" x14ac:dyDescent="0.35">
      <c r="A258" t="s">
        <v>152</v>
      </c>
      <c r="B258" t="s">
        <v>555</v>
      </c>
      <c r="C258" t="s">
        <v>1483</v>
      </c>
      <c r="D258">
        <f t="shared" si="4"/>
        <v>0</v>
      </c>
      <c r="E258" t="s">
        <v>19</v>
      </c>
      <c r="F258" t="s">
        <v>2716</v>
      </c>
      <c r="G258" t="s">
        <v>322</v>
      </c>
      <c r="N258" s="107"/>
    </row>
    <row r="259" spans="1:14" hidden="1" x14ac:dyDescent="0.35">
      <c r="A259" t="s">
        <v>152</v>
      </c>
      <c r="B259" t="s">
        <v>731</v>
      </c>
      <c r="C259" t="s">
        <v>1488</v>
      </c>
      <c r="D259">
        <f t="shared" si="4"/>
        <v>0</v>
      </c>
      <c r="E259" t="s">
        <v>19</v>
      </c>
      <c r="F259" t="s">
        <v>2732</v>
      </c>
      <c r="G259" t="s">
        <v>322</v>
      </c>
      <c r="N259" s="107"/>
    </row>
    <row r="260" spans="1:14" hidden="1" x14ac:dyDescent="0.35">
      <c r="A260" t="s">
        <v>152</v>
      </c>
      <c r="B260" t="s">
        <v>1102</v>
      </c>
      <c r="C260" t="s">
        <v>1501</v>
      </c>
      <c r="D260">
        <f t="shared" si="4"/>
        <v>0</v>
      </c>
      <c r="E260" t="s">
        <v>19</v>
      </c>
      <c r="F260" t="s">
        <v>2746</v>
      </c>
      <c r="G260" t="s">
        <v>322</v>
      </c>
      <c r="N260" s="107"/>
    </row>
    <row r="261" spans="1:14" hidden="1" x14ac:dyDescent="0.35">
      <c r="A261" t="s">
        <v>152</v>
      </c>
      <c r="B261" t="s">
        <v>494</v>
      </c>
      <c r="C261" t="s">
        <v>1509</v>
      </c>
      <c r="D261">
        <f t="shared" si="4"/>
        <v>0</v>
      </c>
      <c r="E261" t="s">
        <v>19</v>
      </c>
      <c r="F261" t="s">
        <v>2760</v>
      </c>
      <c r="G261" t="s">
        <v>322</v>
      </c>
      <c r="N261" s="107"/>
    </row>
    <row r="262" spans="1:14" hidden="1" x14ac:dyDescent="0.35">
      <c r="A262" t="s">
        <v>152</v>
      </c>
      <c r="B262" t="s">
        <v>1107</v>
      </c>
      <c r="C262" t="s">
        <v>1509</v>
      </c>
      <c r="D262">
        <f t="shared" si="4"/>
        <v>0</v>
      </c>
      <c r="E262" t="s">
        <v>19</v>
      </c>
      <c r="F262" t="s">
        <v>2761</v>
      </c>
      <c r="G262" t="s">
        <v>322</v>
      </c>
      <c r="N262" s="107"/>
    </row>
    <row r="263" spans="1:14" hidden="1" x14ac:dyDescent="0.35">
      <c r="A263" t="s">
        <v>152</v>
      </c>
      <c r="B263" t="s">
        <v>903</v>
      </c>
      <c r="C263" t="s">
        <v>1509</v>
      </c>
      <c r="D263">
        <f t="shared" si="4"/>
        <v>0</v>
      </c>
      <c r="E263" t="s">
        <v>19</v>
      </c>
      <c r="F263" t="s">
        <v>2762</v>
      </c>
      <c r="G263" t="s">
        <v>322</v>
      </c>
      <c r="N263" s="107"/>
    </row>
    <row r="264" spans="1:14" hidden="1" x14ac:dyDescent="0.35">
      <c r="A264" t="s">
        <v>152</v>
      </c>
      <c r="B264" t="s">
        <v>598</v>
      </c>
      <c r="C264" t="s">
        <v>1509</v>
      </c>
      <c r="D264">
        <f t="shared" si="4"/>
        <v>0</v>
      </c>
      <c r="E264" t="s">
        <v>19</v>
      </c>
      <c r="F264" t="s">
        <v>2763</v>
      </c>
      <c r="G264" t="s">
        <v>322</v>
      </c>
      <c r="N264" s="107"/>
    </row>
    <row r="265" spans="1:14" hidden="1" x14ac:dyDescent="0.35">
      <c r="A265" t="s">
        <v>152</v>
      </c>
      <c r="B265" t="s">
        <v>555</v>
      </c>
      <c r="C265" t="s">
        <v>1509</v>
      </c>
      <c r="D265">
        <f t="shared" si="4"/>
        <v>0</v>
      </c>
      <c r="E265" t="s">
        <v>19</v>
      </c>
      <c r="F265" t="s">
        <v>2764</v>
      </c>
      <c r="G265" t="s">
        <v>322</v>
      </c>
      <c r="N265" s="107"/>
    </row>
    <row r="266" spans="1:14" hidden="1" x14ac:dyDescent="0.35">
      <c r="A266" t="s">
        <v>152</v>
      </c>
      <c r="B266" t="s">
        <v>1108</v>
      </c>
      <c r="C266" t="s">
        <v>1509</v>
      </c>
      <c r="D266">
        <f t="shared" si="4"/>
        <v>0</v>
      </c>
      <c r="E266" t="s">
        <v>19</v>
      </c>
      <c r="F266" t="s">
        <v>2765</v>
      </c>
      <c r="G266" t="s">
        <v>322</v>
      </c>
      <c r="N266" s="107"/>
    </row>
    <row r="267" spans="1:14" hidden="1" x14ac:dyDescent="0.35">
      <c r="A267" t="s">
        <v>152</v>
      </c>
      <c r="B267" t="s">
        <v>731</v>
      </c>
      <c r="C267" t="s">
        <v>1509</v>
      </c>
      <c r="D267">
        <f t="shared" si="4"/>
        <v>0</v>
      </c>
      <c r="E267" t="s">
        <v>19</v>
      </c>
      <c r="F267" t="s">
        <v>2766</v>
      </c>
      <c r="G267" t="s">
        <v>322</v>
      </c>
      <c r="N267" s="107"/>
    </row>
    <row r="268" spans="1:14" hidden="1" x14ac:dyDescent="0.35">
      <c r="A268" t="s">
        <v>152</v>
      </c>
      <c r="B268" t="s">
        <v>1109</v>
      </c>
      <c r="C268" t="s">
        <v>1509</v>
      </c>
      <c r="D268">
        <f t="shared" si="4"/>
        <v>0</v>
      </c>
      <c r="E268" t="s">
        <v>19</v>
      </c>
      <c r="F268" t="s">
        <v>2767</v>
      </c>
      <c r="G268" t="s">
        <v>322</v>
      </c>
      <c r="N268" s="107"/>
    </row>
    <row r="269" spans="1:14" hidden="1" x14ac:dyDescent="0.35">
      <c r="A269" t="s">
        <v>152</v>
      </c>
      <c r="B269" t="s">
        <v>1112</v>
      </c>
      <c r="C269" t="s">
        <v>1509</v>
      </c>
      <c r="D269">
        <f t="shared" si="4"/>
        <v>0</v>
      </c>
      <c r="E269" t="s">
        <v>19</v>
      </c>
      <c r="F269" t="s">
        <v>2780</v>
      </c>
      <c r="G269" t="s">
        <v>322</v>
      </c>
      <c r="N269" s="107"/>
    </row>
    <row r="270" spans="1:14" hidden="1" x14ac:dyDescent="0.35">
      <c r="A270" t="s">
        <v>152</v>
      </c>
      <c r="B270" t="s">
        <v>472</v>
      </c>
      <c r="C270" t="s">
        <v>1513</v>
      </c>
      <c r="D270">
        <f t="shared" si="4"/>
        <v>0</v>
      </c>
      <c r="E270" t="s">
        <v>19</v>
      </c>
      <c r="F270" t="s">
        <v>2803</v>
      </c>
      <c r="G270" t="s">
        <v>322</v>
      </c>
      <c r="N270" s="107"/>
    </row>
    <row r="271" spans="1:14" hidden="1" x14ac:dyDescent="0.35">
      <c r="A271" t="s">
        <v>152</v>
      </c>
      <c r="B271" t="s">
        <v>586</v>
      </c>
      <c r="C271" t="s">
        <v>1521</v>
      </c>
      <c r="D271">
        <f t="shared" si="4"/>
        <v>0</v>
      </c>
      <c r="E271" t="s">
        <v>19</v>
      </c>
      <c r="F271" t="s">
        <v>2821</v>
      </c>
      <c r="G271" t="s">
        <v>322</v>
      </c>
      <c r="N271" s="107"/>
    </row>
    <row r="272" spans="1:14" x14ac:dyDescent="0.35">
      <c r="A272" t="s">
        <v>153</v>
      </c>
      <c r="B272" t="s">
        <v>590</v>
      </c>
      <c r="C272" t="s">
        <v>1171</v>
      </c>
      <c r="D272">
        <f t="shared" si="4"/>
        <v>1</v>
      </c>
      <c r="E272" t="s">
        <v>19</v>
      </c>
      <c r="F272" t="s">
        <v>1777</v>
      </c>
      <c r="G272" t="s">
        <v>322</v>
      </c>
      <c r="N272" s="107"/>
    </row>
    <row r="273" spans="1:14" x14ac:dyDescent="0.35">
      <c r="A273" t="s">
        <v>153</v>
      </c>
      <c r="B273" t="s">
        <v>590</v>
      </c>
      <c r="C273" t="s">
        <v>1335</v>
      </c>
      <c r="D273">
        <f t="shared" si="4"/>
        <v>1</v>
      </c>
      <c r="E273" t="s">
        <v>19</v>
      </c>
      <c r="F273" t="s">
        <v>2259</v>
      </c>
      <c r="G273" t="s">
        <v>322</v>
      </c>
      <c r="N273" s="107"/>
    </row>
    <row r="274" spans="1:14" x14ac:dyDescent="0.35">
      <c r="A274" t="s">
        <v>153</v>
      </c>
      <c r="B274" t="s">
        <v>898</v>
      </c>
      <c r="C274" t="s">
        <v>1335</v>
      </c>
      <c r="D274">
        <f t="shared" si="4"/>
        <v>1</v>
      </c>
      <c r="E274" t="s">
        <v>19</v>
      </c>
      <c r="F274" t="s">
        <v>2260</v>
      </c>
      <c r="G274" t="s">
        <v>322</v>
      </c>
      <c r="N274" s="107"/>
    </row>
    <row r="275" spans="1:14" x14ac:dyDescent="0.35">
      <c r="A275" t="s">
        <v>153</v>
      </c>
      <c r="B275" t="s">
        <v>590</v>
      </c>
      <c r="C275" t="s">
        <v>1335</v>
      </c>
      <c r="D275">
        <f t="shared" si="4"/>
        <v>1</v>
      </c>
      <c r="E275" t="s">
        <v>19</v>
      </c>
      <c r="F275" t="s">
        <v>2263</v>
      </c>
      <c r="G275" t="s">
        <v>322</v>
      </c>
      <c r="N275" s="107"/>
    </row>
    <row r="276" spans="1:14" x14ac:dyDescent="0.35">
      <c r="A276" t="s">
        <v>153</v>
      </c>
      <c r="B276" t="s">
        <v>898</v>
      </c>
      <c r="C276" t="s">
        <v>1416</v>
      </c>
      <c r="D276">
        <f t="shared" si="4"/>
        <v>1</v>
      </c>
      <c r="E276" t="s">
        <v>19</v>
      </c>
      <c r="F276" t="s">
        <v>2517</v>
      </c>
      <c r="G276" t="s">
        <v>322</v>
      </c>
      <c r="N276" s="107"/>
    </row>
    <row r="277" spans="1:14" x14ac:dyDescent="0.35">
      <c r="A277" t="s">
        <v>153</v>
      </c>
      <c r="B277" t="s">
        <v>590</v>
      </c>
      <c r="C277" t="s">
        <v>1416</v>
      </c>
      <c r="D277">
        <f t="shared" si="4"/>
        <v>1</v>
      </c>
      <c r="E277" t="s">
        <v>19</v>
      </c>
      <c r="F277" t="s">
        <v>2528</v>
      </c>
      <c r="G277" t="s">
        <v>322</v>
      </c>
      <c r="N277" s="107"/>
    </row>
    <row r="278" spans="1:14" x14ac:dyDescent="0.35">
      <c r="A278" t="s">
        <v>153</v>
      </c>
      <c r="B278" t="s">
        <v>1014</v>
      </c>
      <c r="C278" t="s">
        <v>1416</v>
      </c>
      <c r="D278">
        <f t="shared" si="4"/>
        <v>1</v>
      </c>
      <c r="E278" t="s">
        <v>19</v>
      </c>
      <c r="F278" t="s">
        <v>2529</v>
      </c>
      <c r="G278" t="s">
        <v>322</v>
      </c>
      <c r="N278" s="107"/>
    </row>
    <row r="279" spans="1:14" x14ac:dyDescent="0.35">
      <c r="A279" t="s">
        <v>153</v>
      </c>
      <c r="B279" t="s">
        <v>590</v>
      </c>
      <c r="C279" t="s">
        <v>1475</v>
      </c>
      <c r="D279">
        <f t="shared" si="4"/>
        <v>1</v>
      </c>
      <c r="E279" t="s">
        <v>19</v>
      </c>
      <c r="F279" t="s">
        <v>1475</v>
      </c>
      <c r="G279" t="s">
        <v>322</v>
      </c>
      <c r="N279" s="107"/>
    </row>
    <row r="280" spans="1:14" hidden="1" x14ac:dyDescent="0.35">
      <c r="A280" t="s">
        <v>154</v>
      </c>
      <c r="B280" t="s">
        <v>541</v>
      </c>
      <c r="C280" t="s">
        <v>1137</v>
      </c>
      <c r="D280">
        <f t="shared" si="4"/>
        <v>0</v>
      </c>
      <c r="E280" t="s">
        <v>19</v>
      </c>
      <c r="F280" t="s">
        <v>1730</v>
      </c>
      <c r="G280" t="s">
        <v>322</v>
      </c>
      <c r="N280" s="107"/>
    </row>
    <row r="281" spans="1:14" hidden="1" x14ac:dyDescent="0.35">
      <c r="A281" t="s">
        <v>154</v>
      </c>
      <c r="B281" t="s">
        <v>559</v>
      </c>
      <c r="C281" t="s">
        <v>1163</v>
      </c>
      <c r="D281">
        <f t="shared" si="4"/>
        <v>0</v>
      </c>
      <c r="E281" t="s">
        <v>19</v>
      </c>
      <c r="F281" t="s">
        <v>1735</v>
      </c>
      <c r="G281" t="s">
        <v>322</v>
      </c>
      <c r="N281" s="107"/>
    </row>
    <row r="282" spans="1:14" hidden="1" x14ac:dyDescent="0.35">
      <c r="A282" t="s">
        <v>154</v>
      </c>
      <c r="B282" t="s">
        <v>564</v>
      </c>
      <c r="C282" t="s">
        <v>1164</v>
      </c>
      <c r="D282">
        <f t="shared" si="4"/>
        <v>0</v>
      </c>
      <c r="E282" t="s">
        <v>19</v>
      </c>
      <c r="F282" t="s">
        <v>1742</v>
      </c>
      <c r="G282" t="s">
        <v>322</v>
      </c>
      <c r="N282" s="107"/>
    </row>
    <row r="283" spans="1:14" hidden="1" x14ac:dyDescent="0.35">
      <c r="A283" t="s">
        <v>154</v>
      </c>
      <c r="B283" t="s">
        <v>642</v>
      </c>
      <c r="C283" t="s">
        <v>1192</v>
      </c>
      <c r="D283">
        <f t="shared" si="4"/>
        <v>0</v>
      </c>
      <c r="E283" t="s">
        <v>19</v>
      </c>
      <c r="F283" t="s">
        <v>1850</v>
      </c>
      <c r="G283" t="s">
        <v>322</v>
      </c>
      <c r="N283" s="107"/>
    </row>
    <row r="284" spans="1:14" hidden="1" x14ac:dyDescent="0.35">
      <c r="A284" t="s">
        <v>154</v>
      </c>
      <c r="B284" t="s">
        <v>643</v>
      </c>
      <c r="C284" t="s">
        <v>1192</v>
      </c>
      <c r="D284">
        <f t="shared" si="4"/>
        <v>0</v>
      </c>
      <c r="E284" t="s">
        <v>19</v>
      </c>
      <c r="F284" t="s">
        <v>1851</v>
      </c>
      <c r="G284" t="s">
        <v>322</v>
      </c>
      <c r="N284" s="107"/>
    </row>
    <row r="285" spans="1:14" hidden="1" x14ac:dyDescent="0.35">
      <c r="A285" t="s">
        <v>154</v>
      </c>
      <c r="B285" t="s">
        <v>668</v>
      </c>
      <c r="C285" t="s">
        <v>1211</v>
      </c>
      <c r="D285">
        <f t="shared" si="4"/>
        <v>0</v>
      </c>
      <c r="E285" t="s">
        <v>19</v>
      </c>
      <c r="F285" t="s">
        <v>1887</v>
      </c>
      <c r="G285" t="s">
        <v>322</v>
      </c>
      <c r="N285" s="107"/>
    </row>
    <row r="286" spans="1:14" hidden="1" x14ac:dyDescent="0.35">
      <c r="A286" t="s">
        <v>154</v>
      </c>
      <c r="B286" t="s">
        <v>680</v>
      </c>
      <c r="C286" t="s">
        <v>1227</v>
      </c>
      <c r="D286">
        <f t="shared" si="4"/>
        <v>0</v>
      </c>
      <c r="E286" t="s">
        <v>19</v>
      </c>
      <c r="F286" t="s">
        <v>1898</v>
      </c>
      <c r="G286" t="s">
        <v>322</v>
      </c>
      <c r="N286" s="107"/>
    </row>
    <row r="287" spans="1:14" hidden="1" x14ac:dyDescent="0.35">
      <c r="A287" t="s">
        <v>154</v>
      </c>
      <c r="B287" t="s">
        <v>681</v>
      </c>
      <c r="C287" t="s">
        <v>1227</v>
      </c>
      <c r="D287">
        <f t="shared" si="4"/>
        <v>0</v>
      </c>
      <c r="E287" t="s">
        <v>19</v>
      </c>
      <c r="F287" t="s">
        <v>1900</v>
      </c>
      <c r="G287" t="s">
        <v>322</v>
      </c>
      <c r="N287" s="107"/>
    </row>
    <row r="288" spans="1:14" hidden="1" x14ac:dyDescent="0.35">
      <c r="A288" t="s">
        <v>154</v>
      </c>
      <c r="B288" t="s">
        <v>682</v>
      </c>
      <c r="C288" t="s">
        <v>1227</v>
      </c>
      <c r="D288">
        <f t="shared" si="4"/>
        <v>0</v>
      </c>
      <c r="E288" t="s">
        <v>19</v>
      </c>
      <c r="F288" t="s">
        <v>1901</v>
      </c>
      <c r="G288" t="s">
        <v>322</v>
      </c>
      <c r="N288" s="107"/>
    </row>
    <row r="289" spans="1:14" hidden="1" x14ac:dyDescent="0.35">
      <c r="A289" t="s">
        <v>154</v>
      </c>
      <c r="B289" t="s">
        <v>683</v>
      </c>
      <c r="C289" t="s">
        <v>1227</v>
      </c>
      <c r="D289">
        <f t="shared" si="4"/>
        <v>0</v>
      </c>
      <c r="E289" t="s">
        <v>19</v>
      </c>
      <c r="F289" t="s">
        <v>1902</v>
      </c>
      <c r="G289" t="s">
        <v>322</v>
      </c>
      <c r="N289" s="107"/>
    </row>
    <row r="290" spans="1:14" hidden="1" x14ac:dyDescent="0.35">
      <c r="A290" t="s">
        <v>154</v>
      </c>
      <c r="B290" t="s">
        <v>699</v>
      </c>
      <c r="C290" t="s">
        <v>1227</v>
      </c>
      <c r="D290">
        <f t="shared" si="4"/>
        <v>0</v>
      </c>
      <c r="E290" t="s">
        <v>19</v>
      </c>
      <c r="F290" t="s">
        <v>1931</v>
      </c>
      <c r="G290" t="s">
        <v>322</v>
      </c>
      <c r="N290" s="107"/>
    </row>
    <row r="291" spans="1:14" hidden="1" x14ac:dyDescent="0.35">
      <c r="A291" t="s">
        <v>154</v>
      </c>
      <c r="B291" t="s">
        <v>727</v>
      </c>
      <c r="C291" t="s">
        <v>1231</v>
      </c>
      <c r="D291">
        <f t="shared" si="4"/>
        <v>0</v>
      </c>
      <c r="E291" t="s">
        <v>19</v>
      </c>
      <c r="F291" t="s">
        <v>1990</v>
      </c>
      <c r="G291" t="s">
        <v>322</v>
      </c>
      <c r="N291" s="107"/>
    </row>
    <row r="292" spans="1:14" hidden="1" x14ac:dyDescent="0.35">
      <c r="A292" t="s">
        <v>154</v>
      </c>
      <c r="B292" t="s">
        <v>760</v>
      </c>
      <c r="C292" t="s">
        <v>1252</v>
      </c>
      <c r="D292">
        <f t="shared" si="4"/>
        <v>0</v>
      </c>
      <c r="E292" t="s">
        <v>19</v>
      </c>
      <c r="F292" t="s">
        <v>2049</v>
      </c>
      <c r="G292" t="s">
        <v>322</v>
      </c>
      <c r="N292" s="107"/>
    </row>
    <row r="293" spans="1:14" hidden="1" x14ac:dyDescent="0.35">
      <c r="A293" t="s">
        <v>154</v>
      </c>
      <c r="B293" t="s">
        <v>765</v>
      </c>
      <c r="C293" t="s">
        <v>1254</v>
      </c>
      <c r="D293">
        <f t="shared" si="4"/>
        <v>0</v>
      </c>
      <c r="E293" t="s">
        <v>19</v>
      </c>
      <c r="F293" t="s">
        <v>2060</v>
      </c>
      <c r="G293" t="s">
        <v>322</v>
      </c>
      <c r="N293" s="107"/>
    </row>
    <row r="294" spans="1:14" hidden="1" x14ac:dyDescent="0.35">
      <c r="A294" t="s">
        <v>154</v>
      </c>
      <c r="B294" t="s">
        <v>760</v>
      </c>
      <c r="C294" t="s">
        <v>1251</v>
      </c>
      <c r="D294">
        <f t="shared" si="4"/>
        <v>0</v>
      </c>
      <c r="E294" t="s">
        <v>19</v>
      </c>
      <c r="F294" t="s">
        <v>2066</v>
      </c>
      <c r="G294" t="s">
        <v>322</v>
      </c>
      <c r="N294" s="107"/>
    </row>
    <row r="295" spans="1:14" hidden="1" x14ac:dyDescent="0.35">
      <c r="A295" t="s">
        <v>154</v>
      </c>
      <c r="B295" t="s">
        <v>668</v>
      </c>
      <c r="C295" t="s">
        <v>1287</v>
      </c>
      <c r="D295">
        <f t="shared" si="4"/>
        <v>0</v>
      </c>
      <c r="E295" t="s">
        <v>19</v>
      </c>
      <c r="F295" t="s">
        <v>2143</v>
      </c>
      <c r="G295" t="s">
        <v>322</v>
      </c>
      <c r="N295" s="107"/>
    </row>
    <row r="296" spans="1:14" hidden="1" x14ac:dyDescent="0.35">
      <c r="A296" t="s">
        <v>154</v>
      </c>
      <c r="B296" t="s">
        <v>834</v>
      </c>
      <c r="C296" t="s">
        <v>1302</v>
      </c>
      <c r="D296">
        <f t="shared" si="4"/>
        <v>0</v>
      </c>
      <c r="E296" t="s">
        <v>19</v>
      </c>
      <c r="F296" t="s">
        <v>2176</v>
      </c>
      <c r="G296" t="s">
        <v>322</v>
      </c>
      <c r="N296" s="107"/>
    </row>
    <row r="297" spans="1:14" hidden="1" x14ac:dyDescent="0.35">
      <c r="A297" t="s">
        <v>154</v>
      </c>
      <c r="B297" t="s">
        <v>847</v>
      </c>
      <c r="C297" t="s">
        <v>1302</v>
      </c>
      <c r="D297">
        <f t="shared" si="4"/>
        <v>0</v>
      </c>
      <c r="E297" t="s">
        <v>19</v>
      </c>
      <c r="F297" t="s">
        <v>2189</v>
      </c>
      <c r="G297" t="s">
        <v>322</v>
      </c>
      <c r="N297" s="107"/>
    </row>
    <row r="298" spans="1:14" hidden="1" x14ac:dyDescent="0.35">
      <c r="A298" t="s">
        <v>154</v>
      </c>
      <c r="B298" t="s">
        <v>867</v>
      </c>
      <c r="C298" t="s">
        <v>1311</v>
      </c>
      <c r="D298">
        <f t="shared" si="4"/>
        <v>0</v>
      </c>
      <c r="E298" t="s">
        <v>19</v>
      </c>
      <c r="F298" t="s">
        <v>1311</v>
      </c>
      <c r="G298" t="s">
        <v>322</v>
      </c>
      <c r="N298" s="107"/>
    </row>
    <row r="299" spans="1:14" hidden="1" x14ac:dyDescent="0.35">
      <c r="A299" t="s">
        <v>154</v>
      </c>
      <c r="B299" t="s">
        <v>868</v>
      </c>
      <c r="C299" t="s">
        <v>1313</v>
      </c>
      <c r="D299">
        <f t="shared" si="4"/>
        <v>0</v>
      </c>
      <c r="E299" t="s">
        <v>19</v>
      </c>
      <c r="F299" t="s">
        <v>2211</v>
      </c>
      <c r="G299" t="s">
        <v>322</v>
      </c>
      <c r="N299" s="107"/>
    </row>
    <row r="300" spans="1:14" hidden="1" x14ac:dyDescent="0.35">
      <c r="A300" t="s">
        <v>154</v>
      </c>
      <c r="B300" t="s">
        <v>869</v>
      </c>
      <c r="C300" t="s">
        <v>1314</v>
      </c>
      <c r="D300">
        <f t="shared" si="4"/>
        <v>0</v>
      </c>
      <c r="E300" t="s">
        <v>19</v>
      </c>
      <c r="F300" t="s">
        <v>2218</v>
      </c>
      <c r="G300" t="s">
        <v>322</v>
      </c>
      <c r="N300" s="107"/>
    </row>
    <row r="301" spans="1:14" hidden="1" x14ac:dyDescent="0.35">
      <c r="A301" t="s">
        <v>154</v>
      </c>
      <c r="B301" t="s">
        <v>875</v>
      </c>
      <c r="C301" t="s">
        <v>1322</v>
      </c>
      <c r="D301">
        <f t="shared" si="4"/>
        <v>0</v>
      </c>
      <c r="E301" t="s">
        <v>19</v>
      </c>
      <c r="F301" t="s">
        <v>2226</v>
      </c>
      <c r="G301" t="s">
        <v>322</v>
      </c>
      <c r="N301" s="107"/>
    </row>
    <row r="302" spans="1:14" hidden="1" x14ac:dyDescent="0.35">
      <c r="A302" t="s">
        <v>154</v>
      </c>
      <c r="B302" t="s">
        <v>877</v>
      </c>
      <c r="C302" t="s">
        <v>1322</v>
      </c>
      <c r="D302">
        <f t="shared" si="4"/>
        <v>0</v>
      </c>
      <c r="E302" t="s">
        <v>19</v>
      </c>
      <c r="F302" t="s">
        <v>2228</v>
      </c>
      <c r="G302" t="s">
        <v>322</v>
      </c>
      <c r="N302" s="107"/>
    </row>
    <row r="303" spans="1:14" hidden="1" x14ac:dyDescent="0.35">
      <c r="A303" t="s">
        <v>154</v>
      </c>
      <c r="B303" t="s">
        <v>880</v>
      </c>
      <c r="C303" t="s">
        <v>1322</v>
      </c>
      <c r="D303">
        <f t="shared" si="4"/>
        <v>0</v>
      </c>
      <c r="E303" t="s">
        <v>19</v>
      </c>
      <c r="F303" t="s">
        <v>2231</v>
      </c>
      <c r="G303" t="s">
        <v>322</v>
      </c>
      <c r="N303" s="107"/>
    </row>
    <row r="304" spans="1:14" hidden="1" x14ac:dyDescent="0.35">
      <c r="A304" t="s">
        <v>154</v>
      </c>
      <c r="B304" t="s">
        <v>882</v>
      </c>
      <c r="C304" t="s">
        <v>1322</v>
      </c>
      <c r="D304">
        <f t="shared" si="4"/>
        <v>0</v>
      </c>
      <c r="E304" t="s">
        <v>19</v>
      </c>
      <c r="F304" t="s">
        <v>2233</v>
      </c>
      <c r="G304" t="s">
        <v>322</v>
      </c>
      <c r="N304" s="107"/>
    </row>
    <row r="305" spans="1:14" hidden="1" x14ac:dyDescent="0.35">
      <c r="A305" t="s">
        <v>154</v>
      </c>
      <c r="B305" t="s">
        <v>474</v>
      </c>
      <c r="C305" t="s">
        <v>1347</v>
      </c>
      <c r="D305">
        <f t="shared" si="4"/>
        <v>0</v>
      </c>
      <c r="E305" t="s">
        <v>19</v>
      </c>
      <c r="F305" t="s">
        <v>2283</v>
      </c>
      <c r="G305" t="s">
        <v>322</v>
      </c>
      <c r="N305" s="107"/>
    </row>
    <row r="306" spans="1:14" hidden="1" x14ac:dyDescent="0.35">
      <c r="A306" t="s">
        <v>154</v>
      </c>
      <c r="B306" t="s">
        <v>760</v>
      </c>
      <c r="C306" t="s">
        <v>1357</v>
      </c>
      <c r="D306">
        <f t="shared" si="4"/>
        <v>0</v>
      </c>
      <c r="E306" t="s">
        <v>19</v>
      </c>
      <c r="F306" t="s">
        <v>1357</v>
      </c>
      <c r="G306" t="s">
        <v>322</v>
      </c>
      <c r="N306" s="107"/>
    </row>
    <row r="307" spans="1:14" hidden="1" x14ac:dyDescent="0.35">
      <c r="A307" t="s">
        <v>154</v>
      </c>
      <c r="B307" t="s">
        <v>921</v>
      </c>
      <c r="C307" t="s">
        <v>1358</v>
      </c>
      <c r="D307">
        <f t="shared" si="4"/>
        <v>0</v>
      </c>
      <c r="E307" t="s">
        <v>19</v>
      </c>
      <c r="F307" t="s">
        <v>2301</v>
      </c>
      <c r="G307" t="s">
        <v>322</v>
      </c>
      <c r="N307" s="107"/>
    </row>
    <row r="308" spans="1:14" hidden="1" x14ac:dyDescent="0.35">
      <c r="A308" t="s">
        <v>154</v>
      </c>
      <c r="B308" t="s">
        <v>882</v>
      </c>
      <c r="C308" t="s">
        <v>1360</v>
      </c>
      <c r="D308">
        <f t="shared" si="4"/>
        <v>0</v>
      </c>
      <c r="E308" t="s">
        <v>19</v>
      </c>
      <c r="F308" t="s">
        <v>1360</v>
      </c>
      <c r="G308" t="s">
        <v>322</v>
      </c>
      <c r="N308" s="107"/>
    </row>
    <row r="309" spans="1:14" hidden="1" x14ac:dyDescent="0.35">
      <c r="A309" t="s">
        <v>154</v>
      </c>
      <c r="B309" t="s">
        <v>928</v>
      </c>
      <c r="C309" t="s">
        <v>1366</v>
      </c>
      <c r="D309">
        <f t="shared" si="4"/>
        <v>0</v>
      </c>
      <c r="E309" t="s">
        <v>19</v>
      </c>
      <c r="F309" t="s">
        <v>2308</v>
      </c>
      <c r="G309" t="s">
        <v>322</v>
      </c>
      <c r="N309" s="107"/>
    </row>
    <row r="310" spans="1:14" hidden="1" x14ac:dyDescent="0.35">
      <c r="A310" t="s">
        <v>154</v>
      </c>
      <c r="B310" t="s">
        <v>929</v>
      </c>
      <c r="C310" t="s">
        <v>1368</v>
      </c>
      <c r="D310">
        <f t="shared" si="4"/>
        <v>0</v>
      </c>
      <c r="E310" t="s">
        <v>19</v>
      </c>
      <c r="F310" t="s">
        <v>1368</v>
      </c>
      <c r="G310" t="s">
        <v>322</v>
      </c>
      <c r="N310" s="107"/>
    </row>
    <row r="311" spans="1:14" hidden="1" x14ac:dyDescent="0.35">
      <c r="A311" t="s">
        <v>154</v>
      </c>
      <c r="B311" t="s">
        <v>945</v>
      </c>
      <c r="C311" t="s">
        <v>1386</v>
      </c>
      <c r="D311">
        <f t="shared" si="4"/>
        <v>0</v>
      </c>
      <c r="E311" t="s">
        <v>19</v>
      </c>
      <c r="F311" t="s">
        <v>1386</v>
      </c>
      <c r="G311" t="s">
        <v>322</v>
      </c>
      <c r="N311" s="107"/>
    </row>
    <row r="312" spans="1:14" hidden="1" x14ac:dyDescent="0.35">
      <c r="A312" t="s">
        <v>154</v>
      </c>
      <c r="B312" t="s">
        <v>559</v>
      </c>
      <c r="C312" t="s">
        <v>1382</v>
      </c>
      <c r="D312">
        <f t="shared" si="4"/>
        <v>0</v>
      </c>
      <c r="E312" t="s">
        <v>19</v>
      </c>
      <c r="F312" t="s">
        <v>2338</v>
      </c>
      <c r="G312" t="s">
        <v>322</v>
      </c>
      <c r="N312" s="107"/>
    </row>
    <row r="313" spans="1:14" hidden="1" x14ac:dyDescent="0.35">
      <c r="A313" t="s">
        <v>154</v>
      </c>
      <c r="B313" t="s">
        <v>947</v>
      </c>
      <c r="C313" t="s">
        <v>1389</v>
      </c>
      <c r="D313">
        <f t="shared" si="4"/>
        <v>0</v>
      </c>
      <c r="E313" t="s">
        <v>19</v>
      </c>
      <c r="F313" t="s">
        <v>1389</v>
      </c>
      <c r="G313" t="s">
        <v>322</v>
      </c>
      <c r="N313" s="107"/>
    </row>
    <row r="314" spans="1:14" hidden="1" x14ac:dyDescent="0.35">
      <c r="A314" t="s">
        <v>154</v>
      </c>
      <c r="B314" t="s">
        <v>948</v>
      </c>
      <c r="C314" t="s">
        <v>1382</v>
      </c>
      <c r="D314">
        <f t="shared" si="4"/>
        <v>0</v>
      </c>
      <c r="E314" t="s">
        <v>19</v>
      </c>
      <c r="F314" t="s">
        <v>2348</v>
      </c>
      <c r="G314" t="s">
        <v>322</v>
      </c>
      <c r="N314" s="107"/>
    </row>
    <row r="315" spans="1:14" hidden="1" x14ac:dyDescent="0.35">
      <c r="A315" t="s">
        <v>154</v>
      </c>
      <c r="B315" t="s">
        <v>949</v>
      </c>
      <c r="C315" t="s">
        <v>1382</v>
      </c>
      <c r="D315">
        <f t="shared" si="4"/>
        <v>0</v>
      </c>
      <c r="E315" t="s">
        <v>19</v>
      </c>
      <c r="F315" t="s">
        <v>2350</v>
      </c>
      <c r="G315" t="s">
        <v>322</v>
      </c>
      <c r="N315" s="107"/>
    </row>
    <row r="316" spans="1:14" hidden="1" x14ac:dyDescent="0.35">
      <c r="A316" t="s">
        <v>154</v>
      </c>
      <c r="B316" t="s">
        <v>960</v>
      </c>
      <c r="C316" t="s">
        <v>1404</v>
      </c>
      <c r="D316">
        <f t="shared" si="4"/>
        <v>0</v>
      </c>
      <c r="E316" t="s">
        <v>19</v>
      </c>
      <c r="F316" t="s">
        <v>2392</v>
      </c>
      <c r="G316" t="s">
        <v>322</v>
      </c>
      <c r="N316" s="107"/>
    </row>
    <row r="317" spans="1:14" hidden="1" x14ac:dyDescent="0.35">
      <c r="A317" t="s">
        <v>154</v>
      </c>
      <c r="B317" t="s">
        <v>760</v>
      </c>
      <c r="C317" t="s">
        <v>1413</v>
      </c>
      <c r="D317">
        <f t="shared" si="4"/>
        <v>0</v>
      </c>
      <c r="E317" t="s">
        <v>19</v>
      </c>
      <c r="F317" t="s">
        <v>2464</v>
      </c>
      <c r="G317" t="s">
        <v>322</v>
      </c>
      <c r="N317" s="107"/>
    </row>
    <row r="318" spans="1:14" hidden="1" x14ac:dyDescent="0.35">
      <c r="A318" t="s">
        <v>154</v>
      </c>
      <c r="B318" t="s">
        <v>1002</v>
      </c>
      <c r="C318" t="s">
        <v>1413</v>
      </c>
      <c r="D318">
        <f t="shared" si="4"/>
        <v>0</v>
      </c>
      <c r="E318" t="s">
        <v>19</v>
      </c>
      <c r="F318" t="s">
        <v>2465</v>
      </c>
      <c r="G318" t="s">
        <v>322</v>
      </c>
      <c r="N318" s="107"/>
    </row>
    <row r="319" spans="1:14" hidden="1" x14ac:dyDescent="0.35">
      <c r="A319" t="s">
        <v>154</v>
      </c>
      <c r="B319" t="s">
        <v>1007</v>
      </c>
      <c r="C319" t="s">
        <v>1414</v>
      </c>
      <c r="D319">
        <f t="shared" si="4"/>
        <v>0</v>
      </c>
      <c r="E319" t="s">
        <v>19</v>
      </c>
      <c r="F319" t="s">
        <v>2486</v>
      </c>
      <c r="G319" t="s">
        <v>322</v>
      </c>
      <c r="N319" s="107"/>
    </row>
    <row r="320" spans="1:14" hidden="1" x14ac:dyDescent="0.35">
      <c r="A320" t="s">
        <v>154</v>
      </c>
      <c r="B320" t="s">
        <v>1002</v>
      </c>
      <c r="C320" t="s">
        <v>1414</v>
      </c>
      <c r="D320">
        <f t="shared" si="4"/>
        <v>0</v>
      </c>
      <c r="E320" t="s">
        <v>19</v>
      </c>
      <c r="F320" t="s">
        <v>2499</v>
      </c>
      <c r="G320" t="s">
        <v>322</v>
      </c>
      <c r="N320" s="107"/>
    </row>
    <row r="321" spans="1:14" hidden="1" x14ac:dyDescent="0.35">
      <c r="A321" t="s">
        <v>154</v>
      </c>
      <c r="B321" t="s">
        <v>1025</v>
      </c>
      <c r="C321" t="s">
        <v>1424</v>
      </c>
      <c r="D321">
        <f t="shared" ref="D321:D384" si="5">SIGN(SUBTOTAL(3,E321))</f>
        <v>0</v>
      </c>
      <c r="E321" t="s">
        <v>19</v>
      </c>
      <c r="F321" t="s">
        <v>2552</v>
      </c>
      <c r="G321" t="s">
        <v>322</v>
      </c>
      <c r="N321" s="107"/>
    </row>
    <row r="322" spans="1:14" hidden="1" x14ac:dyDescent="0.35">
      <c r="A322" t="s">
        <v>154</v>
      </c>
      <c r="B322" t="s">
        <v>681</v>
      </c>
      <c r="C322" t="s">
        <v>1424</v>
      </c>
      <c r="D322">
        <f t="shared" si="5"/>
        <v>0</v>
      </c>
      <c r="E322" t="s">
        <v>19</v>
      </c>
      <c r="F322" t="s">
        <v>2553</v>
      </c>
      <c r="G322" t="s">
        <v>322</v>
      </c>
      <c r="N322" s="107"/>
    </row>
    <row r="323" spans="1:14" hidden="1" x14ac:dyDescent="0.35">
      <c r="A323" t="s">
        <v>154</v>
      </c>
      <c r="B323" t="s">
        <v>760</v>
      </c>
      <c r="C323" t="s">
        <v>1446</v>
      </c>
      <c r="D323">
        <f t="shared" si="5"/>
        <v>0</v>
      </c>
      <c r="E323" t="s">
        <v>19</v>
      </c>
      <c r="F323" t="s">
        <v>2617</v>
      </c>
      <c r="G323" t="s">
        <v>322</v>
      </c>
      <c r="N323" s="107"/>
    </row>
    <row r="324" spans="1:14" hidden="1" x14ac:dyDescent="0.35">
      <c r="A324" t="s">
        <v>154</v>
      </c>
      <c r="B324" t="s">
        <v>1061</v>
      </c>
      <c r="C324" t="s">
        <v>1449</v>
      </c>
      <c r="D324">
        <f t="shared" si="5"/>
        <v>0</v>
      </c>
      <c r="E324" t="s">
        <v>19</v>
      </c>
      <c r="F324" t="s">
        <v>2627</v>
      </c>
      <c r="G324" t="s">
        <v>322</v>
      </c>
      <c r="N324" s="107"/>
    </row>
    <row r="325" spans="1:14" hidden="1" x14ac:dyDescent="0.35">
      <c r="A325" t="s">
        <v>154</v>
      </c>
      <c r="B325" t="s">
        <v>1062</v>
      </c>
      <c r="C325" t="s">
        <v>1449</v>
      </c>
      <c r="D325">
        <f t="shared" si="5"/>
        <v>0</v>
      </c>
      <c r="E325" t="s">
        <v>19</v>
      </c>
      <c r="F325" t="s">
        <v>2628</v>
      </c>
      <c r="G325" t="s">
        <v>322</v>
      </c>
      <c r="N325" s="107"/>
    </row>
    <row r="326" spans="1:14" hidden="1" x14ac:dyDescent="0.35">
      <c r="A326" t="s">
        <v>154</v>
      </c>
      <c r="B326" t="s">
        <v>929</v>
      </c>
      <c r="C326" t="s">
        <v>1449</v>
      </c>
      <c r="D326">
        <f t="shared" si="5"/>
        <v>0</v>
      </c>
      <c r="E326" t="s">
        <v>19</v>
      </c>
      <c r="F326" t="s">
        <v>2629</v>
      </c>
      <c r="G326" t="s">
        <v>322</v>
      </c>
      <c r="N326" s="107"/>
    </row>
    <row r="327" spans="1:14" hidden="1" x14ac:dyDescent="0.35">
      <c r="A327" t="s">
        <v>154</v>
      </c>
      <c r="B327" t="s">
        <v>681</v>
      </c>
      <c r="C327" t="s">
        <v>1449</v>
      </c>
      <c r="D327">
        <f t="shared" si="5"/>
        <v>0</v>
      </c>
      <c r="E327" t="s">
        <v>19</v>
      </c>
      <c r="F327" t="s">
        <v>2630</v>
      </c>
      <c r="G327" t="s">
        <v>322</v>
      </c>
      <c r="N327" s="107"/>
    </row>
    <row r="328" spans="1:14" hidden="1" x14ac:dyDescent="0.35">
      <c r="A328" t="s">
        <v>154</v>
      </c>
      <c r="B328" t="s">
        <v>1025</v>
      </c>
      <c r="C328" t="s">
        <v>1461</v>
      </c>
      <c r="D328">
        <f t="shared" si="5"/>
        <v>0</v>
      </c>
      <c r="E328" t="s">
        <v>19</v>
      </c>
      <c r="F328" t="s">
        <v>2642</v>
      </c>
      <c r="G328" t="s">
        <v>322</v>
      </c>
      <c r="N328" s="107"/>
    </row>
    <row r="329" spans="1:14" hidden="1" x14ac:dyDescent="0.35">
      <c r="A329" t="s">
        <v>154</v>
      </c>
      <c r="B329" t="s">
        <v>867</v>
      </c>
      <c r="C329" t="s">
        <v>1461</v>
      </c>
      <c r="D329">
        <f t="shared" si="5"/>
        <v>0</v>
      </c>
      <c r="E329" t="s">
        <v>19</v>
      </c>
      <c r="F329" t="s">
        <v>2643</v>
      </c>
      <c r="G329" t="s">
        <v>322</v>
      </c>
      <c r="N329" s="107"/>
    </row>
    <row r="330" spans="1:14" hidden="1" x14ac:dyDescent="0.35">
      <c r="A330" t="s">
        <v>154</v>
      </c>
      <c r="B330" t="s">
        <v>869</v>
      </c>
      <c r="C330" t="s">
        <v>1461</v>
      </c>
      <c r="D330">
        <f t="shared" si="5"/>
        <v>0</v>
      </c>
      <c r="E330" t="s">
        <v>19</v>
      </c>
      <c r="F330" t="s">
        <v>2675</v>
      </c>
      <c r="G330" t="s">
        <v>322</v>
      </c>
      <c r="N330" s="107"/>
    </row>
    <row r="331" spans="1:14" hidden="1" x14ac:dyDescent="0.35">
      <c r="A331" t="s">
        <v>154</v>
      </c>
      <c r="B331" t="s">
        <v>867</v>
      </c>
      <c r="C331" t="s">
        <v>1478</v>
      </c>
      <c r="D331">
        <f t="shared" si="5"/>
        <v>0</v>
      </c>
      <c r="E331" t="s">
        <v>19</v>
      </c>
      <c r="F331" t="s">
        <v>2689</v>
      </c>
      <c r="G331" t="s">
        <v>322</v>
      </c>
      <c r="N331" s="107"/>
    </row>
    <row r="332" spans="1:14" hidden="1" x14ac:dyDescent="0.35">
      <c r="A332" t="s">
        <v>154</v>
      </c>
      <c r="B332" t="s">
        <v>1089</v>
      </c>
      <c r="C332" t="s">
        <v>1485</v>
      </c>
      <c r="D332">
        <f t="shared" si="5"/>
        <v>0</v>
      </c>
      <c r="E332" t="s">
        <v>19</v>
      </c>
      <c r="F332" t="s">
        <v>1485</v>
      </c>
      <c r="G332" t="s">
        <v>322</v>
      </c>
      <c r="N332" s="107"/>
    </row>
    <row r="333" spans="1:14" hidden="1" x14ac:dyDescent="0.35">
      <c r="A333" t="s">
        <v>154</v>
      </c>
      <c r="B333" t="s">
        <v>1120</v>
      </c>
      <c r="C333" t="s">
        <v>1513</v>
      </c>
      <c r="D333">
        <f t="shared" si="5"/>
        <v>0</v>
      </c>
      <c r="E333" t="s">
        <v>19</v>
      </c>
      <c r="F333" t="s">
        <v>2814</v>
      </c>
      <c r="G333" t="s">
        <v>322</v>
      </c>
      <c r="N333" s="107"/>
    </row>
    <row r="334" spans="1:14" hidden="1" x14ac:dyDescent="0.35">
      <c r="A334" t="s">
        <v>154</v>
      </c>
      <c r="B334" t="s">
        <v>1133</v>
      </c>
      <c r="C334" t="s">
        <v>1541</v>
      </c>
      <c r="D334">
        <f t="shared" si="5"/>
        <v>0</v>
      </c>
      <c r="E334" t="s">
        <v>19</v>
      </c>
      <c r="F334" t="s">
        <v>1541</v>
      </c>
      <c r="G334" t="s">
        <v>322</v>
      </c>
      <c r="N334" s="107"/>
    </row>
    <row r="335" spans="1:14" hidden="1" x14ac:dyDescent="0.35">
      <c r="A335" t="s">
        <v>155</v>
      </c>
      <c r="B335" t="s">
        <v>475</v>
      </c>
      <c r="C335" t="s">
        <v>1208</v>
      </c>
      <c r="D335">
        <f t="shared" si="5"/>
        <v>0</v>
      </c>
      <c r="E335" t="s">
        <v>19</v>
      </c>
      <c r="F335" t="s">
        <v>1873</v>
      </c>
      <c r="G335" t="s">
        <v>322</v>
      </c>
      <c r="N335" s="107"/>
    </row>
    <row r="336" spans="1:14" hidden="1" x14ac:dyDescent="0.35">
      <c r="A336" t="s">
        <v>155</v>
      </c>
      <c r="B336" t="s">
        <v>667</v>
      </c>
      <c r="C336" t="s">
        <v>1211</v>
      </c>
      <c r="D336">
        <f t="shared" si="5"/>
        <v>0</v>
      </c>
      <c r="E336" t="s">
        <v>19</v>
      </c>
      <c r="F336" t="s">
        <v>1886</v>
      </c>
      <c r="G336" t="s">
        <v>322</v>
      </c>
      <c r="N336" s="107"/>
    </row>
    <row r="337" spans="1:14" hidden="1" x14ac:dyDescent="0.35">
      <c r="A337" t="s">
        <v>155</v>
      </c>
      <c r="B337" t="s">
        <v>679</v>
      </c>
      <c r="C337" t="s">
        <v>1227</v>
      </c>
      <c r="D337">
        <f t="shared" si="5"/>
        <v>0</v>
      </c>
      <c r="E337" t="s">
        <v>19</v>
      </c>
      <c r="F337" t="s">
        <v>1896</v>
      </c>
      <c r="G337" t="s">
        <v>322</v>
      </c>
      <c r="N337" s="107"/>
    </row>
    <row r="338" spans="1:14" hidden="1" x14ac:dyDescent="0.35">
      <c r="A338" t="s">
        <v>155</v>
      </c>
      <c r="B338" t="s">
        <v>687</v>
      </c>
      <c r="C338" t="s">
        <v>1227</v>
      </c>
      <c r="D338">
        <f t="shared" si="5"/>
        <v>0</v>
      </c>
      <c r="E338" t="s">
        <v>19</v>
      </c>
      <c r="F338" t="s">
        <v>1906</v>
      </c>
      <c r="G338" t="s">
        <v>322</v>
      </c>
      <c r="N338" s="107"/>
    </row>
    <row r="339" spans="1:14" hidden="1" x14ac:dyDescent="0.35">
      <c r="A339" t="s">
        <v>155</v>
      </c>
      <c r="B339" t="s">
        <v>475</v>
      </c>
      <c r="C339" t="s">
        <v>1227</v>
      </c>
      <c r="D339">
        <f t="shared" si="5"/>
        <v>0</v>
      </c>
      <c r="E339" t="s">
        <v>19</v>
      </c>
      <c r="F339" t="s">
        <v>1909</v>
      </c>
      <c r="G339" t="s">
        <v>322</v>
      </c>
      <c r="N339" s="107"/>
    </row>
    <row r="340" spans="1:14" hidden="1" x14ac:dyDescent="0.35">
      <c r="A340" t="s">
        <v>155</v>
      </c>
      <c r="B340" t="s">
        <v>667</v>
      </c>
      <c r="C340" t="s">
        <v>1227</v>
      </c>
      <c r="D340">
        <f t="shared" si="5"/>
        <v>0</v>
      </c>
      <c r="E340" t="s">
        <v>19</v>
      </c>
      <c r="F340" t="s">
        <v>1913</v>
      </c>
      <c r="G340" t="s">
        <v>322</v>
      </c>
      <c r="N340" s="107"/>
    </row>
    <row r="341" spans="1:14" hidden="1" x14ac:dyDescent="0.35">
      <c r="A341" t="s">
        <v>155</v>
      </c>
      <c r="B341" t="s">
        <v>475</v>
      </c>
      <c r="C341" t="s">
        <v>1227</v>
      </c>
      <c r="D341">
        <f t="shared" si="5"/>
        <v>0</v>
      </c>
      <c r="E341" t="s">
        <v>19</v>
      </c>
      <c r="F341" t="s">
        <v>1926</v>
      </c>
      <c r="G341" t="s">
        <v>322</v>
      </c>
      <c r="N341" s="107"/>
    </row>
    <row r="342" spans="1:14" hidden="1" x14ac:dyDescent="0.35">
      <c r="A342" t="s">
        <v>155</v>
      </c>
      <c r="B342" t="s">
        <v>698</v>
      </c>
      <c r="C342" t="s">
        <v>1227</v>
      </c>
      <c r="D342">
        <f t="shared" si="5"/>
        <v>0</v>
      </c>
      <c r="E342" t="s">
        <v>19</v>
      </c>
      <c r="F342" t="s">
        <v>1930</v>
      </c>
      <c r="G342" t="s">
        <v>322</v>
      </c>
      <c r="N342" s="107"/>
    </row>
    <row r="343" spans="1:14" hidden="1" x14ac:dyDescent="0.35">
      <c r="A343" t="s">
        <v>155</v>
      </c>
      <c r="B343" t="s">
        <v>702</v>
      </c>
      <c r="C343" t="s">
        <v>1227</v>
      </c>
      <c r="D343">
        <f t="shared" si="5"/>
        <v>0</v>
      </c>
      <c r="E343" t="s">
        <v>19</v>
      </c>
      <c r="F343" t="s">
        <v>1934</v>
      </c>
      <c r="G343" t="s">
        <v>322</v>
      </c>
      <c r="N343" s="107"/>
    </row>
    <row r="344" spans="1:14" hidden="1" x14ac:dyDescent="0.35">
      <c r="A344" t="s">
        <v>155</v>
      </c>
      <c r="B344" t="s">
        <v>475</v>
      </c>
      <c r="C344" t="s">
        <v>1227</v>
      </c>
      <c r="D344">
        <f t="shared" si="5"/>
        <v>0</v>
      </c>
      <c r="E344" t="s">
        <v>19</v>
      </c>
      <c r="F344" t="s">
        <v>1937</v>
      </c>
      <c r="G344" t="s">
        <v>322</v>
      </c>
      <c r="N344" s="107"/>
    </row>
    <row r="345" spans="1:14" hidden="1" x14ac:dyDescent="0.35">
      <c r="A345" t="s">
        <v>155</v>
      </c>
      <c r="B345" t="s">
        <v>728</v>
      </c>
      <c r="C345" t="s">
        <v>1231</v>
      </c>
      <c r="D345">
        <f t="shared" si="5"/>
        <v>0</v>
      </c>
      <c r="E345" t="s">
        <v>19</v>
      </c>
      <c r="F345" t="s">
        <v>1991</v>
      </c>
      <c r="G345" t="s">
        <v>322</v>
      </c>
      <c r="N345" s="107"/>
    </row>
    <row r="346" spans="1:14" hidden="1" x14ac:dyDescent="0.35">
      <c r="A346" t="s">
        <v>155</v>
      </c>
      <c r="B346" t="s">
        <v>774</v>
      </c>
      <c r="C346" t="s">
        <v>1260</v>
      </c>
      <c r="D346">
        <f t="shared" si="5"/>
        <v>0</v>
      </c>
      <c r="E346" t="s">
        <v>19</v>
      </c>
      <c r="F346" t="s">
        <v>2072</v>
      </c>
      <c r="G346" t="s">
        <v>322</v>
      </c>
      <c r="N346" s="107"/>
    </row>
    <row r="347" spans="1:14" hidden="1" x14ac:dyDescent="0.35">
      <c r="A347" t="s">
        <v>155</v>
      </c>
      <c r="B347" t="s">
        <v>775</v>
      </c>
      <c r="C347" t="s">
        <v>1260</v>
      </c>
      <c r="D347">
        <f t="shared" si="5"/>
        <v>0</v>
      </c>
      <c r="E347" t="s">
        <v>19</v>
      </c>
      <c r="F347" t="s">
        <v>2073</v>
      </c>
      <c r="G347" t="s">
        <v>322</v>
      </c>
      <c r="N347" s="107"/>
    </row>
    <row r="348" spans="1:14" hidden="1" x14ac:dyDescent="0.35">
      <c r="A348" t="s">
        <v>155</v>
      </c>
      <c r="B348" t="s">
        <v>776</v>
      </c>
      <c r="C348" t="s">
        <v>1260</v>
      </c>
      <c r="D348">
        <f t="shared" si="5"/>
        <v>0</v>
      </c>
      <c r="E348" t="s">
        <v>19</v>
      </c>
      <c r="F348" t="s">
        <v>2074</v>
      </c>
      <c r="G348" t="s">
        <v>322</v>
      </c>
      <c r="N348" s="107"/>
    </row>
    <row r="349" spans="1:14" hidden="1" x14ac:dyDescent="0.35">
      <c r="A349" t="s">
        <v>155</v>
      </c>
      <c r="B349" t="s">
        <v>728</v>
      </c>
      <c r="C349" t="s">
        <v>1285</v>
      </c>
      <c r="D349">
        <f t="shared" si="5"/>
        <v>0</v>
      </c>
      <c r="E349" t="s">
        <v>19</v>
      </c>
      <c r="F349" t="s">
        <v>2105</v>
      </c>
      <c r="G349" t="s">
        <v>322</v>
      </c>
      <c r="N349" s="107"/>
    </row>
    <row r="350" spans="1:14" hidden="1" x14ac:dyDescent="0.35">
      <c r="A350" t="s">
        <v>155</v>
      </c>
      <c r="B350" t="s">
        <v>862</v>
      </c>
      <c r="C350" t="s">
        <v>1307</v>
      </c>
      <c r="D350">
        <f t="shared" si="5"/>
        <v>0</v>
      </c>
      <c r="E350" t="s">
        <v>19</v>
      </c>
      <c r="F350" t="s">
        <v>2207</v>
      </c>
      <c r="G350" t="s">
        <v>322</v>
      </c>
      <c r="N350" s="107"/>
    </row>
    <row r="351" spans="1:14" hidden="1" x14ac:dyDescent="0.35">
      <c r="A351" t="s">
        <v>155</v>
      </c>
      <c r="B351" t="s">
        <v>667</v>
      </c>
      <c r="C351" t="s">
        <v>1312</v>
      </c>
      <c r="D351">
        <f t="shared" si="5"/>
        <v>0</v>
      </c>
      <c r="E351" t="s">
        <v>19</v>
      </c>
      <c r="F351" t="s">
        <v>1312</v>
      </c>
      <c r="G351" t="s">
        <v>322</v>
      </c>
      <c r="N351" s="107"/>
    </row>
    <row r="352" spans="1:14" hidden="1" x14ac:dyDescent="0.35">
      <c r="A352" t="s">
        <v>155</v>
      </c>
      <c r="B352" t="s">
        <v>909</v>
      </c>
      <c r="C352" t="s">
        <v>1347</v>
      </c>
      <c r="D352">
        <f t="shared" si="5"/>
        <v>0</v>
      </c>
      <c r="E352" t="s">
        <v>19</v>
      </c>
      <c r="F352" t="s">
        <v>2285</v>
      </c>
      <c r="G352" t="s">
        <v>322</v>
      </c>
      <c r="N352" s="107"/>
    </row>
    <row r="353" spans="1:14" hidden="1" x14ac:dyDescent="0.35">
      <c r="A353" t="s">
        <v>155</v>
      </c>
      <c r="B353" t="s">
        <v>763</v>
      </c>
      <c r="C353" t="s">
        <v>1347</v>
      </c>
      <c r="D353">
        <f t="shared" si="5"/>
        <v>0</v>
      </c>
      <c r="E353" t="s">
        <v>19</v>
      </c>
      <c r="F353" t="s">
        <v>2286</v>
      </c>
      <c r="G353" t="s">
        <v>322</v>
      </c>
      <c r="N353" s="107"/>
    </row>
    <row r="354" spans="1:14" hidden="1" x14ac:dyDescent="0.35">
      <c r="A354" t="s">
        <v>155</v>
      </c>
      <c r="B354" t="s">
        <v>920</v>
      </c>
      <c r="C354" t="s">
        <v>1358</v>
      </c>
      <c r="D354">
        <f t="shared" si="5"/>
        <v>0</v>
      </c>
      <c r="E354" t="s">
        <v>19</v>
      </c>
      <c r="F354" t="s">
        <v>2299</v>
      </c>
      <c r="G354" t="s">
        <v>322</v>
      </c>
      <c r="N354" s="107"/>
    </row>
    <row r="355" spans="1:14" hidden="1" x14ac:dyDescent="0.35">
      <c r="A355" t="s">
        <v>155</v>
      </c>
      <c r="B355" t="s">
        <v>475</v>
      </c>
      <c r="C355" t="s">
        <v>1382</v>
      </c>
      <c r="D355">
        <f t="shared" si="5"/>
        <v>0</v>
      </c>
      <c r="E355" t="s">
        <v>19</v>
      </c>
      <c r="F355" t="s">
        <v>2347</v>
      </c>
      <c r="G355" t="s">
        <v>322</v>
      </c>
      <c r="N355" s="107"/>
    </row>
    <row r="356" spans="1:14" hidden="1" x14ac:dyDescent="0.35">
      <c r="A356" t="s">
        <v>155</v>
      </c>
      <c r="B356" t="s">
        <v>728</v>
      </c>
      <c r="C356" t="s">
        <v>1400</v>
      </c>
      <c r="D356">
        <f t="shared" si="5"/>
        <v>0</v>
      </c>
      <c r="E356" t="s">
        <v>19</v>
      </c>
      <c r="F356" t="s">
        <v>1400</v>
      </c>
      <c r="G356" t="s">
        <v>322</v>
      </c>
      <c r="N356" s="107"/>
    </row>
    <row r="357" spans="1:14" hidden="1" x14ac:dyDescent="0.35">
      <c r="A357" t="s">
        <v>155</v>
      </c>
      <c r="B357" t="s">
        <v>475</v>
      </c>
      <c r="C357" t="s">
        <v>1411</v>
      </c>
      <c r="D357">
        <f t="shared" si="5"/>
        <v>0</v>
      </c>
      <c r="E357" t="s">
        <v>19</v>
      </c>
      <c r="F357" t="s">
        <v>2456</v>
      </c>
      <c r="G357" t="s">
        <v>322</v>
      </c>
      <c r="N357" s="107"/>
    </row>
    <row r="358" spans="1:14" hidden="1" x14ac:dyDescent="0.35">
      <c r="A358" t="s">
        <v>155</v>
      </c>
      <c r="B358" t="s">
        <v>667</v>
      </c>
      <c r="C358" t="s">
        <v>1414</v>
      </c>
      <c r="D358">
        <f t="shared" si="5"/>
        <v>0</v>
      </c>
      <c r="E358" t="s">
        <v>19</v>
      </c>
      <c r="F358" t="s">
        <v>2466</v>
      </c>
      <c r="G358" t="s">
        <v>322</v>
      </c>
      <c r="N358" s="107"/>
    </row>
    <row r="359" spans="1:14" hidden="1" x14ac:dyDescent="0.35">
      <c r="A359" t="s">
        <v>155</v>
      </c>
      <c r="B359" t="s">
        <v>687</v>
      </c>
      <c r="C359" t="s">
        <v>1414</v>
      </c>
      <c r="D359">
        <f t="shared" si="5"/>
        <v>0</v>
      </c>
      <c r="E359" t="s">
        <v>19</v>
      </c>
      <c r="F359" t="s">
        <v>2476</v>
      </c>
      <c r="G359" t="s">
        <v>322</v>
      </c>
      <c r="N359" s="107"/>
    </row>
    <row r="360" spans="1:14" hidden="1" x14ac:dyDescent="0.35">
      <c r="A360" t="s">
        <v>155</v>
      </c>
      <c r="B360" t="s">
        <v>475</v>
      </c>
      <c r="C360" t="s">
        <v>1414</v>
      </c>
      <c r="D360">
        <f t="shared" si="5"/>
        <v>0</v>
      </c>
      <c r="E360" t="s">
        <v>19</v>
      </c>
      <c r="F360" t="s">
        <v>2480</v>
      </c>
      <c r="G360" t="s">
        <v>322</v>
      </c>
      <c r="N360" s="107"/>
    </row>
    <row r="361" spans="1:14" hidden="1" x14ac:dyDescent="0.35">
      <c r="A361" t="s">
        <v>155</v>
      </c>
      <c r="B361" t="s">
        <v>475</v>
      </c>
      <c r="C361" t="s">
        <v>1414</v>
      </c>
      <c r="D361">
        <f t="shared" si="5"/>
        <v>0</v>
      </c>
      <c r="E361" t="s">
        <v>19</v>
      </c>
      <c r="F361" t="s">
        <v>2481</v>
      </c>
      <c r="G361" t="s">
        <v>322</v>
      </c>
      <c r="N361" s="107"/>
    </row>
    <row r="362" spans="1:14" hidden="1" x14ac:dyDescent="0.35">
      <c r="A362" t="s">
        <v>155</v>
      </c>
      <c r="B362" t="s">
        <v>728</v>
      </c>
      <c r="C362" t="s">
        <v>1414</v>
      </c>
      <c r="D362">
        <f t="shared" si="5"/>
        <v>0</v>
      </c>
      <c r="E362" t="s">
        <v>19</v>
      </c>
      <c r="F362" t="s">
        <v>2490</v>
      </c>
      <c r="G362" t="s">
        <v>322</v>
      </c>
      <c r="N362" s="107"/>
    </row>
    <row r="363" spans="1:14" hidden="1" x14ac:dyDescent="0.35">
      <c r="A363" t="s">
        <v>155</v>
      </c>
      <c r="B363" t="s">
        <v>770</v>
      </c>
      <c r="C363" t="s">
        <v>1414</v>
      </c>
      <c r="D363">
        <f t="shared" si="5"/>
        <v>0</v>
      </c>
      <c r="E363" t="s">
        <v>19</v>
      </c>
      <c r="F363" t="s">
        <v>2497</v>
      </c>
      <c r="G363" t="s">
        <v>322</v>
      </c>
      <c r="N363" s="107"/>
    </row>
    <row r="364" spans="1:14" hidden="1" x14ac:dyDescent="0.35">
      <c r="A364" t="s">
        <v>155</v>
      </c>
      <c r="B364" t="s">
        <v>763</v>
      </c>
      <c r="C364" t="s">
        <v>1414</v>
      </c>
      <c r="D364">
        <f t="shared" si="5"/>
        <v>0</v>
      </c>
      <c r="E364" t="s">
        <v>19</v>
      </c>
      <c r="F364" t="s">
        <v>2510</v>
      </c>
      <c r="G364" t="s">
        <v>322</v>
      </c>
      <c r="N364" s="107"/>
    </row>
    <row r="365" spans="1:14" hidden="1" x14ac:dyDescent="0.35">
      <c r="A365" t="s">
        <v>155</v>
      </c>
      <c r="B365" t="s">
        <v>860</v>
      </c>
      <c r="C365" t="s">
        <v>1439</v>
      </c>
      <c r="D365">
        <f t="shared" si="5"/>
        <v>0</v>
      </c>
      <c r="E365" t="s">
        <v>19</v>
      </c>
      <c r="F365" t="s">
        <v>2568</v>
      </c>
      <c r="G365" t="s">
        <v>322</v>
      </c>
      <c r="N365" s="107"/>
    </row>
    <row r="366" spans="1:14" hidden="1" x14ac:dyDescent="0.35">
      <c r="A366" t="s">
        <v>155</v>
      </c>
      <c r="B366" t="s">
        <v>964</v>
      </c>
      <c r="C366" t="s">
        <v>1454</v>
      </c>
      <c r="D366">
        <f t="shared" si="5"/>
        <v>0</v>
      </c>
      <c r="E366" t="s">
        <v>19</v>
      </c>
      <c r="F366" t="s">
        <v>2638</v>
      </c>
      <c r="G366" t="s">
        <v>322</v>
      </c>
      <c r="N366" s="107"/>
    </row>
    <row r="367" spans="1:14" hidden="1" x14ac:dyDescent="0.35">
      <c r="A367" t="s">
        <v>155</v>
      </c>
      <c r="B367" t="s">
        <v>1067</v>
      </c>
      <c r="C367" t="s">
        <v>1459</v>
      </c>
      <c r="D367">
        <f t="shared" si="5"/>
        <v>0</v>
      </c>
      <c r="E367" t="s">
        <v>19</v>
      </c>
      <c r="F367" t="s">
        <v>1459</v>
      </c>
      <c r="G367" t="s">
        <v>322</v>
      </c>
      <c r="N367" s="107"/>
    </row>
    <row r="368" spans="1:14" hidden="1" x14ac:dyDescent="0.35">
      <c r="A368" t="s">
        <v>155</v>
      </c>
      <c r="B368" t="s">
        <v>728</v>
      </c>
      <c r="C368" t="s">
        <v>1461</v>
      </c>
      <c r="D368">
        <f t="shared" si="5"/>
        <v>0</v>
      </c>
      <c r="E368" t="s">
        <v>19</v>
      </c>
      <c r="F368" t="s">
        <v>2644</v>
      </c>
      <c r="G368" t="s">
        <v>322</v>
      </c>
      <c r="N368" s="107"/>
    </row>
    <row r="369" spans="1:14" hidden="1" x14ac:dyDescent="0.35">
      <c r="A369" t="s">
        <v>155</v>
      </c>
      <c r="B369" t="s">
        <v>698</v>
      </c>
      <c r="C369" t="s">
        <v>1463</v>
      </c>
      <c r="D369">
        <f t="shared" si="5"/>
        <v>0</v>
      </c>
      <c r="E369" t="s">
        <v>19</v>
      </c>
      <c r="F369" t="s">
        <v>2679</v>
      </c>
      <c r="G369" t="s">
        <v>322</v>
      </c>
      <c r="N369" s="107"/>
    </row>
    <row r="370" spans="1:14" hidden="1" x14ac:dyDescent="0.35">
      <c r="A370" t="s">
        <v>155</v>
      </c>
      <c r="B370" t="s">
        <v>1110</v>
      </c>
      <c r="C370" t="s">
        <v>1509</v>
      </c>
      <c r="D370">
        <f t="shared" si="5"/>
        <v>0</v>
      </c>
      <c r="E370" t="s">
        <v>19</v>
      </c>
      <c r="F370" t="s">
        <v>2768</v>
      </c>
      <c r="G370" t="s">
        <v>322</v>
      </c>
      <c r="N370" s="107"/>
    </row>
    <row r="371" spans="1:14" hidden="1" x14ac:dyDescent="0.35">
      <c r="A371" t="s">
        <v>155</v>
      </c>
      <c r="B371" t="s">
        <v>770</v>
      </c>
      <c r="C371" t="s">
        <v>1509</v>
      </c>
      <c r="D371">
        <f t="shared" si="5"/>
        <v>0</v>
      </c>
      <c r="E371" t="s">
        <v>19</v>
      </c>
      <c r="F371" t="s">
        <v>2790</v>
      </c>
      <c r="G371" t="s">
        <v>322</v>
      </c>
      <c r="N371" s="107"/>
    </row>
    <row r="372" spans="1:14" hidden="1" x14ac:dyDescent="0.35">
      <c r="A372" t="s">
        <v>155</v>
      </c>
      <c r="B372" t="s">
        <v>967</v>
      </c>
      <c r="C372" t="s">
        <v>1519</v>
      </c>
      <c r="D372">
        <f t="shared" si="5"/>
        <v>0</v>
      </c>
      <c r="E372" t="s">
        <v>19</v>
      </c>
      <c r="F372" t="s">
        <v>1519</v>
      </c>
      <c r="G372" t="s">
        <v>322</v>
      </c>
      <c r="N372" s="107"/>
    </row>
    <row r="373" spans="1:14" hidden="1" x14ac:dyDescent="0.35">
      <c r="A373" t="s">
        <v>155</v>
      </c>
      <c r="B373" t="s">
        <v>667</v>
      </c>
      <c r="C373" t="s">
        <v>1536</v>
      </c>
      <c r="D373">
        <f t="shared" si="5"/>
        <v>0</v>
      </c>
      <c r="E373" t="s">
        <v>19</v>
      </c>
      <c r="F373" t="s">
        <v>1536</v>
      </c>
      <c r="G373" t="s">
        <v>322</v>
      </c>
      <c r="N373" s="107"/>
    </row>
    <row r="374" spans="1:14" hidden="1" x14ac:dyDescent="0.35">
      <c r="A374" t="s">
        <v>156</v>
      </c>
      <c r="B374" t="s">
        <v>607</v>
      </c>
      <c r="C374" t="s">
        <v>1179</v>
      </c>
      <c r="D374">
        <f t="shared" si="5"/>
        <v>0</v>
      </c>
      <c r="E374" t="s">
        <v>19</v>
      </c>
      <c r="F374" t="s">
        <v>1805</v>
      </c>
      <c r="G374" t="s">
        <v>322</v>
      </c>
      <c r="N374" s="107"/>
    </row>
    <row r="375" spans="1:14" hidden="1" x14ac:dyDescent="0.35">
      <c r="A375" t="s">
        <v>156</v>
      </c>
      <c r="B375" t="s">
        <v>608</v>
      </c>
      <c r="C375" t="s">
        <v>1178</v>
      </c>
      <c r="D375">
        <f t="shared" si="5"/>
        <v>0</v>
      </c>
      <c r="E375" t="s">
        <v>19</v>
      </c>
      <c r="F375" t="s">
        <v>1806</v>
      </c>
      <c r="G375" t="s">
        <v>322</v>
      </c>
      <c r="N375" s="107"/>
    </row>
    <row r="376" spans="1:14" hidden="1" x14ac:dyDescent="0.35">
      <c r="A376" t="s">
        <v>156</v>
      </c>
      <c r="B376" t="s">
        <v>609</v>
      </c>
      <c r="C376" t="s">
        <v>1178</v>
      </c>
      <c r="D376">
        <f t="shared" si="5"/>
        <v>0</v>
      </c>
      <c r="E376" t="s">
        <v>19</v>
      </c>
      <c r="F376" t="s">
        <v>1807</v>
      </c>
      <c r="G376" t="s">
        <v>322</v>
      </c>
      <c r="N376" s="107"/>
    </row>
    <row r="377" spans="1:14" hidden="1" x14ac:dyDescent="0.35">
      <c r="A377" t="s">
        <v>156</v>
      </c>
      <c r="B377" t="s">
        <v>657</v>
      </c>
      <c r="C377" t="s">
        <v>1208</v>
      </c>
      <c r="D377">
        <f t="shared" si="5"/>
        <v>0</v>
      </c>
      <c r="E377" t="s">
        <v>19</v>
      </c>
      <c r="F377" t="s">
        <v>1866</v>
      </c>
      <c r="G377" t="s">
        <v>322</v>
      </c>
      <c r="N377" s="107"/>
    </row>
    <row r="378" spans="1:14" hidden="1" x14ac:dyDescent="0.35">
      <c r="A378" t="s">
        <v>156</v>
      </c>
      <c r="B378" t="s">
        <v>609</v>
      </c>
      <c r="C378" t="s">
        <v>1222</v>
      </c>
      <c r="D378">
        <f t="shared" si="5"/>
        <v>0</v>
      </c>
      <c r="E378" t="s">
        <v>19</v>
      </c>
      <c r="F378" t="s">
        <v>1222</v>
      </c>
      <c r="G378" t="s">
        <v>322</v>
      </c>
      <c r="N378" s="107"/>
    </row>
    <row r="379" spans="1:14" hidden="1" x14ac:dyDescent="0.35">
      <c r="A379" t="s">
        <v>156</v>
      </c>
      <c r="B379" t="s">
        <v>657</v>
      </c>
      <c r="C379" t="s">
        <v>1227</v>
      </c>
      <c r="D379">
        <f t="shared" si="5"/>
        <v>0</v>
      </c>
      <c r="E379" t="s">
        <v>19</v>
      </c>
      <c r="F379" t="s">
        <v>1944</v>
      </c>
      <c r="G379" t="s">
        <v>322</v>
      </c>
      <c r="N379" s="107"/>
    </row>
    <row r="380" spans="1:14" hidden="1" x14ac:dyDescent="0.35">
      <c r="A380" t="s">
        <v>156</v>
      </c>
      <c r="B380" t="s">
        <v>707</v>
      </c>
      <c r="C380" t="s">
        <v>1227</v>
      </c>
      <c r="D380">
        <f t="shared" si="5"/>
        <v>0</v>
      </c>
      <c r="E380" t="s">
        <v>19</v>
      </c>
      <c r="F380" t="s">
        <v>1945</v>
      </c>
      <c r="G380" t="s">
        <v>322</v>
      </c>
      <c r="N380" s="107"/>
    </row>
    <row r="381" spans="1:14" hidden="1" x14ac:dyDescent="0.35">
      <c r="A381" t="s">
        <v>156</v>
      </c>
      <c r="B381" t="s">
        <v>476</v>
      </c>
      <c r="C381" t="s">
        <v>1227</v>
      </c>
      <c r="D381">
        <f t="shared" si="5"/>
        <v>0</v>
      </c>
      <c r="E381" t="s">
        <v>19</v>
      </c>
      <c r="F381" t="s">
        <v>1946</v>
      </c>
      <c r="G381" t="s">
        <v>322</v>
      </c>
      <c r="N381" s="107"/>
    </row>
    <row r="382" spans="1:14" hidden="1" x14ac:dyDescent="0.35">
      <c r="A382" t="s">
        <v>156</v>
      </c>
      <c r="B382" t="s">
        <v>709</v>
      </c>
      <c r="C382" t="s">
        <v>1227</v>
      </c>
      <c r="D382">
        <f t="shared" si="5"/>
        <v>0</v>
      </c>
      <c r="E382" t="s">
        <v>19</v>
      </c>
      <c r="F382" t="s">
        <v>1950</v>
      </c>
      <c r="G382" t="s">
        <v>322</v>
      </c>
      <c r="N382" s="107"/>
    </row>
    <row r="383" spans="1:14" hidden="1" x14ac:dyDescent="0.35">
      <c r="A383" t="s">
        <v>156</v>
      </c>
      <c r="B383" t="s">
        <v>712</v>
      </c>
      <c r="C383" t="s">
        <v>1227</v>
      </c>
      <c r="D383">
        <f t="shared" si="5"/>
        <v>0</v>
      </c>
      <c r="E383" t="s">
        <v>19</v>
      </c>
      <c r="F383" t="s">
        <v>1961</v>
      </c>
      <c r="G383" t="s">
        <v>322</v>
      </c>
      <c r="N383" s="107"/>
    </row>
    <row r="384" spans="1:14" hidden="1" x14ac:dyDescent="0.35">
      <c r="A384" t="s">
        <v>156</v>
      </c>
      <c r="B384" t="s">
        <v>476</v>
      </c>
      <c r="C384" t="s">
        <v>1250</v>
      </c>
      <c r="D384">
        <f t="shared" si="5"/>
        <v>0</v>
      </c>
      <c r="E384" t="s">
        <v>19</v>
      </c>
      <c r="F384" t="s">
        <v>1250</v>
      </c>
      <c r="G384" t="s">
        <v>322</v>
      </c>
      <c r="N384" s="107"/>
    </row>
    <row r="385" spans="1:14" hidden="1" x14ac:dyDescent="0.35">
      <c r="A385" t="s">
        <v>156</v>
      </c>
      <c r="B385" t="s">
        <v>843</v>
      </c>
      <c r="C385" t="s">
        <v>1303</v>
      </c>
      <c r="D385">
        <f t="shared" ref="D385:D448" si="6">SIGN(SUBTOTAL(3,E385))</f>
        <v>0</v>
      </c>
      <c r="E385" t="s">
        <v>19</v>
      </c>
      <c r="F385" t="s">
        <v>1303</v>
      </c>
      <c r="G385" t="s">
        <v>322</v>
      </c>
      <c r="N385" s="107"/>
    </row>
    <row r="386" spans="1:14" hidden="1" x14ac:dyDescent="0.35">
      <c r="A386" t="s">
        <v>156</v>
      </c>
      <c r="B386" t="s">
        <v>844</v>
      </c>
      <c r="C386" t="s">
        <v>1302</v>
      </c>
      <c r="D386">
        <f t="shared" si="6"/>
        <v>0</v>
      </c>
      <c r="E386" t="s">
        <v>19</v>
      </c>
      <c r="F386" t="s">
        <v>2187</v>
      </c>
      <c r="G386" t="s">
        <v>322</v>
      </c>
      <c r="N386" s="107"/>
    </row>
    <row r="387" spans="1:14" hidden="1" x14ac:dyDescent="0.35">
      <c r="A387" t="s">
        <v>156</v>
      </c>
      <c r="B387" t="s">
        <v>846</v>
      </c>
      <c r="C387" t="s">
        <v>1302</v>
      </c>
      <c r="D387">
        <f t="shared" si="6"/>
        <v>0</v>
      </c>
      <c r="E387" t="s">
        <v>19</v>
      </c>
      <c r="F387" t="s">
        <v>2188</v>
      </c>
      <c r="G387" t="s">
        <v>322</v>
      </c>
      <c r="N387" s="107"/>
    </row>
    <row r="388" spans="1:14" hidden="1" x14ac:dyDescent="0.35">
      <c r="A388" t="s">
        <v>156</v>
      </c>
      <c r="B388" t="s">
        <v>852</v>
      </c>
      <c r="C388" t="s">
        <v>1302</v>
      </c>
      <c r="D388">
        <f t="shared" si="6"/>
        <v>0</v>
      </c>
      <c r="E388" t="s">
        <v>19</v>
      </c>
      <c r="F388" t="s">
        <v>2194</v>
      </c>
      <c r="G388" t="s">
        <v>322</v>
      </c>
      <c r="N388" s="107"/>
    </row>
    <row r="389" spans="1:14" hidden="1" x14ac:dyDescent="0.35">
      <c r="A389" t="s">
        <v>156</v>
      </c>
      <c r="B389" t="s">
        <v>853</v>
      </c>
      <c r="C389" t="s">
        <v>1302</v>
      </c>
      <c r="D389">
        <f t="shared" si="6"/>
        <v>0</v>
      </c>
      <c r="E389" t="s">
        <v>19</v>
      </c>
      <c r="F389" t="s">
        <v>2196</v>
      </c>
      <c r="G389" t="s">
        <v>322</v>
      </c>
      <c r="N389" s="107"/>
    </row>
    <row r="390" spans="1:14" hidden="1" x14ac:dyDescent="0.35">
      <c r="A390" t="s">
        <v>156</v>
      </c>
      <c r="B390" t="s">
        <v>854</v>
      </c>
      <c r="C390" t="s">
        <v>1302</v>
      </c>
      <c r="D390">
        <f t="shared" si="6"/>
        <v>0</v>
      </c>
      <c r="E390" t="s">
        <v>19</v>
      </c>
      <c r="F390" t="s">
        <v>2197</v>
      </c>
      <c r="G390" t="s">
        <v>322</v>
      </c>
      <c r="N390" s="107"/>
    </row>
    <row r="391" spans="1:14" hidden="1" x14ac:dyDescent="0.35">
      <c r="A391" t="s">
        <v>156</v>
      </c>
      <c r="B391" t="s">
        <v>876</v>
      </c>
      <c r="C391" t="s">
        <v>1322</v>
      </c>
      <c r="D391">
        <f t="shared" si="6"/>
        <v>0</v>
      </c>
      <c r="E391" t="s">
        <v>19</v>
      </c>
      <c r="F391" t="s">
        <v>2227</v>
      </c>
      <c r="G391" t="s">
        <v>322</v>
      </c>
      <c r="N391" s="107"/>
    </row>
    <row r="392" spans="1:14" hidden="1" x14ac:dyDescent="0.35">
      <c r="A392" t="s">
        <v>156</v>
      </c>
      <c r="B392" t="s">
        <v>879</v>
      </c>
      <c r="C392" t="s">
        <v>1322</v>
      </c>
      <c r="D392">
        <f t="shared" si="6"/>
        <v>0</v>
      </c>
      <c r="E392" t="s">
        <v>19</v>
      </c>
      <c r="F392" t="s">
        <v>2230</v>
      </c>
      <c r="G392" t="s">
        <v>322</v>
      </c>
      <c r="N392" s="107"/>
    </row>
    <row r="393" spans="1:14" hidden="1" x14ac:dyDescent="0.35">
      <c r="A393" t="s">
        <v>156</v>
      </c>
      <c r="B393" t="s">
        <v>881</v>
      </c>
      <c r="C393" t="s">
        <v>1322</v>
      </c>
      <c r="D393">
        <f t="shared" si="6"/>
        <v>0</v>
      </c>
      <c r="E393" t="s">
        <v>19</v>
      </c>
      <c r="F393" t="s">
        <v>2232</v>
      </c>
      <c r="G393" t="s">
        <v>322</v>
      </c>
      <c r="N393" s="107"/>
    </row>
    <row r="394" spans="1:14" hidden="1" x14ac:dyDescent="0.35">
      <c r="A394" t="s">
        <v>156</v>
      </c>
      <c r="B394" t="s">
        <v>881</v>
      </c>
      <c r="C394" t="s">
        <v>1335</v>
      </c>
      <c r="D394">
        <f t="shared" si="6"/>
        <v>0</v>
      </c>
      <c r="E394" t="s">
        <v>19</v>
      </c>
      <c r="F394" t="s">
        <v>2258</v>
      </c>
      <c r="G394" t="s">
        <v>322</v>
      </c>
      <c r="N394" s="107"/>
    </row>
    <row r="395" spans="1:14" hidden="1" x14ac:dyDescent="0.35">
      <c r="A395" t="s">
        <v>156</v>
      </c>
      <c r="B395" t="s">
        <v>930</v>
      </c>
      <c r="C395" t="s">
        <v>1369</v>
      </c>
      <c r="D395">
        <f t="shared" si="6"/>
        <v>0</v>
      </c>
      <c r="E395" t="s">
        <v>19</v>
      </c>
      <c r="F395" t="s">
        <v>1369</v>
      </c>
      <c r="G395" t="s">
        <v>322</v>
      </c>
      <c r="N395" s="107"/>
    </row>
    <row r="396" spans="1:14" hidden="1" x14ac:dyDescent="0.35">
      <c r="A396" t="s">
        <v>156</v>
      </c>
      <c r="B396" t="s">
        <v>932</v>
      </c>
      <c r="C396" t="s">
        <v>1371</v>
      </c>
      <c r="D396">
        <f t="shared" si="6"/>
        <v>0</v>
      </c>
      <c r="E396" t="s">
        <v>19</v>
      </c>
      <c r="F396" t="s">
        <v>2312</v>
      </c>
      <c r="G396" t="s">
        <v>322</v>
      </c>
      <c r="N396" s="107"/>
    </row>
    <row r="397" spans="1:14" hidden="1" x14ac:dyDescent="0.35">
      <c r="A397" t="s">
        <v>156</v>
      </c>
      <c r="B397" t="s">
        <v>476</v>
      </c>
      <c r="C397" t="s">
        <v>1404</v>
      </c>
      <c r="D397">
        <f t="shared" si="6"/>
        <v>0</v>
      </c>
      <c r="E397" t="s">
        <v>19</v>
      </c>
      <c r="F397" t="s">
        <v>2393</v>
      </c>
      <c r="G397" t="s">
        <v>322</v>
      </c>
      <c r="N397" s="107"/>
    </row>
    <row r="398" spans="1:14" hidden="1" x14ac:dyDescent="0.35">
      <c r="A398" t="s">
        <v>156</v>
      </c>
      <c r="B398" t="s">
        <v>843</v>
      </c>
      <c r="C398" t="s">
        <v>1404</v>
      </c>
      <c r="D398">
        <f t="shared" si="6"/>
        <v>0</v>
      </c>
      <c r="E398" t="s">
        <v>19</v>
      </c>
      <c r="F398" t="s">
        <v>2394</v>
      </c>
      <c r="G398" t="s">
        <v>322</v>
      </c>
      <c r="N398" s="107"/>
    </row>
    <row r="399" spans="1:14" hidden="1" x14ac:dyDescent="0.35">
      <c r="A399" t="s">
        <v>156</v>
      </c>
      <c r="B399" t="s">
        <v>963</v>
      </c>
      <c r="C399" t="s">
        <v>1404</v>
      </c>
      <c r="D399">
        <f t="shared" si="6"/>
        <v>0</v>
      </c>
      <c r="E399" t="s">
        <v>19</v>
      </c>
      <c r="F399" t="s">
        <v>2399</v>
      </c>
      <c r="G399" t="s">
        <v>322</v>
      </c>
      <c r="N399" s="107"/>
    </row>
    <row r="400" spans="1:14" hidden="1" x14ac:dyDescent="0.35">
      <c r="A400" t="s">
        <v>156</v>
      </c>
      <c r="B400" t="s">
        <v>964</v>
      </c>
      <c r="C400" t="s">
        <v>1404</v>
      </c>
      <c r="D400">
        <f t="shared" si="6"/>
        <v>0</v>
      </c>
      <c r="E400" t="s">
        <v>19</v>
      </c>
      <c r="F400" t="s">
        <v>2400</v>
      </c>
      <c r="G400" t="s">
        <v>322</v>
      </c>
      <c r="N400" s="107"/>
    </row>
    <row r="401" spans="1:14" hidden="1" x14ac:dyDescent="0.35">
      <c r="A401" t="s">
        <v>156</v>
      </c>
      <c r="B401" t="s">
        <v>932</v>
      </c>
      <c r="C401" t="s">
        <v>1404</v>
      </c>
      <c r="D401">
        <f t="shared" si="6"/>
        <v>0</v>
      </c>
      <c r="E401" t="s">
        <v>19</v>
      </c>
      <c r="F401" t="s">
        <v>2403</v>
      </c>
      <c r="G401" t="s">
        <v>322</v>
      </c>
      <c r="N401" s="107"/>
    </row>
    <row r="402" spans="1:14" hidden="1" x14ac:dyDescent="0.35">
      <c r="A402" t="s">
        <v>156</v>
      </c>
      <c r="B402" t="s">
        <v>967</v>
      </c>
      <c r="C402" t="s">
        <v>1404</v>
      </c>
      <c r="D402">
        <f t="shared" si="6"/>
        <v>0</v>
      </c>
      <c r="E402" t="s">
        <v>19</v>
      </c>
      <c r="F402" t="s">
        <v>2406</v>
      </c>
      <c r="G402" t="s">
        <v>322</v>
      </c>
      <c r="N402" s="107"/>
    </row>
    <row r="403" spans="1:14" hidden="1" x14ac:dyDescent="0.35">
      <c r="A403" t="s">
        <v>156</v>
      </c>
      <c r="B403" t="s">
        <v>609</v>
      </c>
      <c r="C403" t="s">
        <v>1405</v>
      </c>
      <c r="D403">
        <f t="shared" si="6"/>
        <v>0</v>
      </c>
      <c r="E403" t="s">
        <v>19</v>
      </c>
      <c r="F403" t="s">
        <v>2423</v>
      </c>
      <c r="G403" t="s">
        <v>322</v>
      </c>
      <c r="N403" s="107"/>
    </row>
    <row r="404" spans="1:14" hidden="1" x14ac:dyDescent="0.35">
      <c r="A404" t="s">
        <v>156</v>
      </c>
      <c r="B404" t="s">
        <v>985</v>
      </c>
      <c r="C404" t="s">
        <v>1404</v>
      </c>
      <c r="D404">
        <f t="shared" si="6"/>
        <v>0</v>
      </c>
      <c r="E404" t="s">
        <v>19</v>
      </c>
      <c r="F404" t="s">
        <v>2431</v>
      </c>
      <c r="G404" t="s">
        <v>322</v>
      </c>
      <c r="N404" s="107"/>
    </row>
    <row r="405" spans="1:14" hidden="1" x14ac:dyDescent="0.35">
      <c r="A405" t="s">
        <v>156</v>
      </c>
      <c r="B405" t="s">
        <v>1037</v>
      </c>
      <c r="C405" t="s">
        <v>1443</v>
      </c>
      <c r="D405">
        <f t="shared" si="6"/>
        <v>0</v>
      </c>
      <c r="E405" t="s">
        <v>19</v>
      </c>
      <c r="F405" t="s">
        <v>2578</v>
      </c>
      <c r="G405" t="s">
        <v>322</v>
      </c>
      <c r="N405" s="107"/>
    </row>
    <row r="406" spans="1:14" hidden="1" x14ac:dyDescent="0.35">
      <c r="A406" t="s">
        <v>156</v>
      </c>
      <c r="B406" t="s">
        <v>1042</v>
      </c>
      <c r="C406" t="s">
        <v>1443</v>
      </c>
      <c r="D406">
        <f t="shared" si="6"/>
        <v>0</v>
      </c>
      <c r="E406" t="s">
        <v>19</v>
      </c>
      <c r="F406" t="s">
        <v>2584</v>
      </c>
      <c r="G406" t="s">
        <v>322</v>
      </c>
      <c r="N406" s="107"/>
    </row>
    <row r="407" spans="1:14" hidden="1" x14ac:dyDescent="0.35">
      <c r="A407" t="s">
        <v>156</v>
      </c>
      <c r="B407" t="s">
        <v>964</v>
      </c>
      <c r="C407" t="s">
        <v>1443</v>
      </c>
      <c r="D407">
        <f t="shared" si="6"/>
        <v>0</v>
      </c>
      <c r="E407" t="s">
        <v>19</v>
      </c>
      <c r="F407" t="s">
        <v>2585</v>
      </c>
      <c r="G407" t="s">
        <v>322</v>
      </c>
      <c r="N407" s="107"/>
    </row>
    <row r="408" spans="1:14" hidden="1" x14ac:dyDescent="0.35">
      <c r="A408" t="s">
        <v>156</v>
      </c>
      <c r="B408" t="s">
        <v>709</v>
      </c>
      <c r="C408" t="s">
        <v>1443</v>
      </c>
      <c r="D408">
        <f t="shared" si="6"/>
        <v>0</v>
      </c>
      <c r="E408" t="s">
        <v>19</v>
      </c>
      <c r="F408" t="s">
        <v>2615</v>
      </c>
      <c r="G408" t="s">
        <v>322</v>
      </c>
      <c r="N408" s="107"/>
    </row>
    <row r="409" spans="1:14" hidden="1" x14ac:dyDescent="0.35">
      <c r="A409" t="s">
        <v>156</v>
      </c>
      <c r="B409" t="s">
        <v>1058</v>
      </c>
      <c r="C409" t="s">
        <v>1449</v>
      </c>
      <c r="D409">
        <f t="shared" si="6"/>
        <v>0</v>
      </c>
      <c r="E409" t="s">
        <v>19</v>
      </c>
      <c r="F409" t="s">
        <v>2624</v>
      </c>
      <c r="G409" t="s">
        <v>322</v>
      </c>
      <c r="N409" s="107"/>
    </row>
    <row r="410" spans="1:14" hidden="1" x14ac:dyDescent="0.35">
      <c r="A410" t="s">
        <v>156</v>
      </c>
      <c r="B410" t="s">
        <v>1059</v>
      </c>
      <c r="C410" t="s">
        <v>1449</v>
      </c>
      <c r="D410">
        <f t="shared" si="6"/>
        <v>0</v>
      </c>
      <c r="E410" t="s">
        <v>19</v>
      </c>
      <c r="F410" t="s">
        <v>2625</v>
      </c>
      <c r="G410" t="s">
        <v>322</v>
      </c>
      <c r="N410" s="107"/>
    </row>
    <row r="411" spans="1:14" hidden="1" x14ac:dyDescent="0.35">
      <c r="A411" t="s">
        <v>156</v>
      </c>
      <c r="B411" t="s">
        <v>1060</v>
      </c>
      <c r="C411" t="s">
        <v>1449</v>
      </c>
      <c r="D411">
        <f t="shared" si="6"/>
        <v>0</v>
      </c>
      <c r="E411" t="s">
        <v>19</v>
      </c>
      <c r="F411" t="s">
        <v>2626</v>
      </c>
      <c r="G411" t="s">
        <v>322</v>
      </c>
      <c r="N411" s="107"/>
    </row>
    <row r="412" spans="1:14" hidden="1" x14ac:dyDescent="0.35">
      <c r="A412" t="s">
        <v>156</v>
      </c>
      <c r="B412" t="s">
        <v>608</v>
      </c>
      <c r="C412" t="s">
        <v>1456</v>
      </c>
      <c r="D412">
        <f t="shared" si="6"/>
        <v>0</v>
      </c>
      <c r="E412" t="s">
        <v>19</v>
      </c>
      <c r="F412" t="s">
        <v>1456</v>
      </c>
      <c r="G412" t="s">
        <v>322</v>
      </c>
      <c r="N412" s="107"/>
    </row>
    <row r="413" spans="1:14" hidden="1" x14ac:dyDescent="0.35">
      <c r="A413" t="s">
        <v>157</v>
      </c>
      <c r="B413" t="s">
        <v>486</v>
      </c>
      <c r="C413" t="s">
        <v>1171</v>
      </c>
      <c r="D413">
        <f t="shared" si="6"/>
        <v>0</v>
      </c>
      <c r="E413" t="s">
        <v>19</v>
      </c>
      <c r="F413" t="s">
        <v>1756</v>
      </c>
      <c r="G413" t="s">
        <v>322</v>
      </c>
      <c r="N413" s="107"/>
    </row>
    <row r="414" spans="1:14" hidden="1" x14ac:dyDescent="0.35">
      <c r="A414" t="s">
        <v>157</v>
      </c>
      <c r="B414" t="s">
        <v>576</v>
      </c>
      <c r="C414" t="s">
        <v>1172</v>
      </c>
      <c r="D414">
        <f t="shared" si="6"/>
        <v>0</v>
      </c>
      <c r="E414" t="s">
        <v>19</v>
      </c>
      <c r="F414" t="s">
        <v>1761</v>
      </c>
      <c r="G414" t="s">
        <v>322</v>
      </c>
      <c r="N414" s="107"/>
    </row>
    <row r="415" spans="1:14" hidden="1" x14ac:dyDescent="0.35">
      <c r="A415" t="s">
        <v>157</v>
      </c>
      <c r="B415" t="s">
        <v>577</v>
      </c>
      <c r="C415" t="s">
        <v>1172</v>
      </c>
      <c r="D415">
        <f t="shared" si="6"/>
        <v>0</v>
      </c>
      <c r="E415" t="s">
        <v>19</v>
      </c>
      <c r="F415" t="s">
        <v>1762</v>
      </c>
      <c r="G415" t="s">
        <v>322</v>
      </c>
      <c r="N415" s="107"/>
    </row>
    <row r="416" spans="1:14" hidden="1" x14ac:dyDescent="0.35">
      <c r="A416" t="s">
        <v>157</v>
      </c>
      <c r="B416" t="s">
        <v>580</v>
      </c>
      <c r="C416" t="s">
        <v>1172</v>
      </c>
      <c r="D416">
        <f t="shared" si="6"/>
        <v>0</v>
      </c>
      <c r="E416" t="s">
        <v>19</v>
      </c>
      <c r="F416" t="s">
        <v>1765</v>
      </c>
      <c r="G416" t="s">
        <v>322</v>
      </c>
      <c r="N416" s="107"/>
    </row>
    <row r="417" spans="1:14" hidden="1" x14ac:dyDescent="0.35">
      <c r="A417" t="s">
        <v>157</v>
      </c>
      <c r="B417" t="s">
        <v>584</v>
      </c>
      <c r="C417" t="s">
        <v>1172</v>
      </c>
      <c r="D417">
        <f t="shared" si="6"/>
        <v>0</v>
      </c>
      <c r="E417" t="s">
        <v>19</v>
      </c>
      <c r="F417" t="s">
        <v>1770</v>
      </c>
      <c r="G417" t="s">
        <v>322</v>
      </c>
      <c r="N417" s="107"/>
    </row>
    <row r="418" spans="1:14" hidden="1" x14ac:dyDescent="0.35">
      <c r="A418" t="s">
        <v>157</v>
      </c>
      <c r="B418" t="s">
        <v>665</v>
      </c>
      <c r="C418" t="s">
        <v>1210</v>
      </c>
      <c r="D418">
        <f t="shared" si="6"/>
        <v>0</v>
      </c>
      <c r="E418" t="s">
        <v>19</v>
      </c>
      <c r="F418" t="s">
        <v>1884</v>
      </c>
      <c r="G418" t="s">
        <v>322</v>
      </c>
      <c r="N418" s="107"/>
    </row>
    <row r="419" spans="1:14" hidden="1" x14ac:dyDescent="0.35">
      <c r="A419" t="s">
        <v>157</v>
      </c>
      <c r="B419" t="s">
        <v>477</v>
      </c>
      <c r="C419" t="s">
        <v>1251</v>
      </c>
      <c r="D419">
        <f t="shared" si="6"/>
        <v>0</v>
      </c>
      <c r="E419" t="s">
        <v>19</v>
      </c>
      <c r="F419" t="s">
        <v>2058</v>
      </c>
      <c r="G419" t="s">
        <v>322</v>
      </c>
      <c r="N419" s="107"/>
    </row>
    <row r="420" spans="1:14" hidden="1" x14ac:dyDescent="0.35">
      <c r="A420" t="s">
        <v>157</v>
      </c>
      <c r="B420" t="s">
        <v>477</v>
      </c>
      <c r="C420" t="s">
        <v>1257</v>
      </c>
      <c r="D420">
        <f t="shared" si="6"/>
        <v>0</v>
      </c>
      <c r="E420" t="s">
        <v>19</v>
      </c>
      <c r="F420" t="s">
        <v>2069</v>
      </c>
      <c r="G420" t="s">
        <v>322</v>
      </c>
      <c r="N420" s="107"/>
    </row>
    <row r="421" spans="1:14" hidden="1" x14ac:dyDescent="0.35">
      <c r="A421" t="s">
        <v>157</v>
      </c>
      <c r="B421" t="s">
        <v>486</v>
      </c>
      <c r="C421" t="s">
        <v>1257</v>
      </c>
      <c r="D421">
        <f t="shared" si="6"/>
        <v>0</v>
      </c>
      <c r="E421" t="s">
        <v>19</v>
      </c>
      <c r="F421" t="s">
        <v>2070</v>
      </c>
      <c r="G421" t="s">
        <v>322</v>
      </c>
      <c r="N421" s="107"/>
    </row>
    <row r="422" spans="1:14" hidden="1" x14ac:dyDescent="0.35">
      <c r="A422" t="s">
        <v>157</v>
      </c>
      <c r="B422" t="s">
        <v>772</v>
      </c>
      <c r="C422" t="s">
        <v>1257</v>
      </c>
      <c r="D422">
        <f t="shared" si="6"/>
        <v>0</v>
      </c>
      <c r="E422" t="s">
        <v>19</v>
      </c>
      <c r="F422" t="s">
        <v>2071</v>
      </c>
      <c r="G422" t="s">
        <v>322</v>
      </c>
      <c r="N422" s="107"/>
    </row>
    <row r="423" spans="1:14" hidden="1" x14ac:dyDescent="0.35">
      <c r="A423" t="s">
        <v>157</v>
      </c>
      <c r="B423" t="s">
        <v>824</v>
      </c>
      <c r="C423" t="s">
        <v>1298</v>
      </c>
      <c r="D423">
        <f t="shared" si="6"/>
        <v>0</v>
      </c>
      <c r="E423" t="s">
        <v>19</v>
      </c>
      <c r="F423" t="s">
        <v>2163</v>
      </c>
      <c r="G423" t="s">
        <v>322</v>
      </c>
      <c r="N423" s="107"/>
    </row>
    <row r="424" spans="1:14" hidden="1" x14ac:dyDescent="0.35">
      <c r="A424" t="s">
        <v>157</v>
      </c>
      <c r="B424" t="s">
        <v>845</v>
      </c>
      <c r="C424" t="s">
        <v>1304</v>
      </c>
      <c r="D424">
        <f t="shared" si="6"/>
        <v>0</v>
      </c>
      <c r="E424" t="s">
        <v>19</v>
      </c>
      <c r="F424" t="s">
        <v>1304</v>
      </c>
      <c r="G424" t="s">
        <v>322</v>
      </c>
      <c r="N424" s="107"/>
    </row>
    <row r="425" spans="1:14" hidden="1" x14ac:dyDescent="0.35">
      <c r="A425" t="s">
        <v>157</v>
      </c>
      <c r="B425" t="s">
        <v>878</v>
      </c>
      <c r="C425" t="s">
        <v>1322</v>
      </c>
      <c r="D425">
        <f t="shared" si="6"/>
        <v>0</v>
      </c>
      <c r="E425" t="s">
        <v>19</v>
      </c>
      <c r="F425" t="s">
        <v>2229</v>
      </c>
      <c r="G425" t="s">
        <v>322</v>
      </c>
      <c r="N425" s="107"/>
    </row>
    <row r="426" spans="1:14" hidden="1" x14ac:dyDescent="0.35">
      <c r="A426" t="s">
        <v>157</v>
      </c>
      <c r="B426" t="s">
        <v>486</v>
      </c>
      <c r="C426" t="s">
        <v>1335</v>
      </c>
      <c r="D426">
        <f t="shared" si="6"/>
        <v>0</v>
      </c>
      <c r="E426" t="s">
        <v>19</v>
      </c>
      <c r="F426" t="s">
        <v>2256</v>
      </c>
      <c r="G426" t="s">
        <v>322</v>
      </c>
      <c r="N426" s="107"/>
    </row>
    <row r="427" spans="1:14" hidden="1" x14ac:dyDescent="0.35">
      <c r="A427" t="s">
        <v>157</v>
      </c>
      <c r="B427" t="s">
        <v>486</v>
      </c>
      <c r="C427" t="s">
        <v>1404</v>
      </c>
      <c r="D427">
        <f t="shared" si="6"/>
        <v>0</v>
      </c>
      <c r="E427" t="s">
        <v>19</v>
      </c>
      <c r="F427" t="s">
        <v>2395</v>
      </c>
      <c r="G427" t="s">
        <v>322</v>
      </c>
      <c r="N427" s="107"/>
    </row>
    <row r="428" spans="1:14" hidden="1" x14ac:dyDescent="0.35">
      <c r="A428" t="s">
        <v>157</v>
      </c>
      <c r="B428" t="s">
        <v>966</v>
      </c>
      <c r="C428" t="s">
        <v>1404</v>
      </c>
      <c r="D428">
        <f t="shared" si="6"/>
        <v>0</v>
      </c>
      <c r="E428" t="s">
        <v>19</v>
      </c>
      <c r="F428" t="s">
        <v>2405</v>
      </c>
      <c r="G428" t="s">
        <v>322</v>
      </c>
      <c r="N428" s="107"/>
    </row>
    <row r="429" spans="1:14" hidden="1" x14ac:dyDescent="0.35">
      <c r="A429" t="s">
        <v>157</v>
      </c>
      <c r="B429" t="s">
        <v>977</v>
      </c>
      <c r="C429" t="s">
        <v>1404</v>
      </c>
      <c r="D429">
        <f t="shared" si="6"/>
        <v>0</v>
      </c>
      <c r="E429" t="s">
        <v>19</v>
      </c>
      <c r="F429" t="s">
        <v>2420</v>
      </c>
      <c r="G429" t="s">
        <v>322</v>
      </c>
      <c r="N429" s="107"/>
    </row>
    <row r="430" spans="1:14" hidden="1" x14ac:dyDescent="0.35">
      <c r="A430" t="s">
        <v>157</v>
      </c>
      <c r="B430" t="s">
        <v>978</v>
      </c>
      <c r="C430" t="s">
        <v>1404</v>
      </c>
      <c r="D430">
        <f t="shared" si="6"/>
        <v>0</v>
      </c>
      <c r="E430" t="s">
        <v>19</v>
      </c>
      <c r="F430" t="s">
        <v>2421</v>
      </c>
      <c r="G430" t="s">
        <v>322</v>
      </c>
      <c r="N430" s="107"/>
    </row>
    <row r="431" spans="1:14" hidden="1" x14ac:dyDescent="0.35">
      <c r="A431" t="s">
        <v>157</v>
      </c>
      <c r="B431" t="s">
        <v>861</v>
      </c>
      <c r="C431" t="s">
        <v>1405</v>
      </c>
      <c r="D431">
        <f t="shared" si="6"/>
        <v>0</v>
      </c>
      <c r="E431" t="s">
        <v>19</v>
      </c>
      <c r="F431" t="s">
        <v>2424</v>
      </c>
      <c r="G431" t="s">
        <v>322</v>
      </c>
      <c r="N431" s="107"/>
    </row>
    <row r="432" spans="1:14" hidden="1" x14ac:dyDescent="0.35">
      <c r="A432" t="s">
        <v>157</v>
      </c>
      <c r="B432" t="s">
        <v>982</v>
      </c>
      <c r="C432" t="s">
        <v>1404</v>
      </c>
      <c r="D432">
        <f t="shared" si="6"/>
        <v>0</v>
      </c>
      <c r="E432" t="s">
        <v>19</v>
      </c>
      <c r="F432" t="s">
        <v>2429</v>
      </c>
      <c r="G432" t="s">
        <v>322</v>
      </c>
      <c r="N432" s="107"/>
    </row>
    <row r="433" spans="1:14" hidden="1" x14ac:dyDescent="0.35">
      <c r="A433" t="s">
        <v>157</v>
      </c>
      <c r="B433" t="s">
        <v>584</v>
      </c>
      <c r="C433" t="s">
        <v>1443</v>
      </c>
      <c r="D433">
        <f t="shared" si="6"/>
        <v>0</v>
      </c>
      <c r="E433" t="s">
        <v>19</v>
      </c>
      <c r="F433" t="s">
        <v>2590</v>
      </c>
      <c r="G433" t="s">
        <v>322</v>
      </c>
      <c r="N433" s="107"/>
    </row>
    <row r="434" spans="1:14" hidden="1" x14ac:dyDescent="0.35">
      <c r="A434" t="s">
        <v>157</v>
      </c>
      <c r="B434" t="s">
        <v>824</v>
      </c>
      <c r="C434" t="s">
        <v>1443</v>
      </c>
      <c r="D434">
        <f t="shared" si="6"/>
        <v>0</v>
      </c>
      <c r="E434" t="s">
        <v>19</v>
      </c>
      <c r="F434" t="s">
        <v>2592</v>
      </c>
      <c r="G434" t="s">
        <v>322</v>
      </c>
      <c r="N434" s="107"/>
    </row>
    <row r="435" spans="1:14" hidden="1" x14ac:dyDescent="0.35">
      <c r="A435" t="s">
        <v>157</v>
      </c>
      <c r="B435" t="s">
        <v>1045</v>
      </c>
      <c r="C435" t="s">
        <v>1443</v>
      </c>
      <c r="D435">
        <f t="shared" si="6"/>
        <v>0</v>
      </c>
      <c r="E435" t="s">
        <v>19</v>
      </c>
      <c r="F435" t="s">
        <v>2593</v>
      </c>
      <c r="G435" t="s">
        <v>322</v>
      </c>
      <c r="N435" s="107"/>
    </row>
    <row r="436" spans="1:14" hidden="1" x14ac:dyDescent="0.35">
      <c r="A436" t="s">
        <v>157</v>
      </c>
      <c r="B436" t="s">
        <v>577</v>
      </c>
      <c r="C436" t="s">
        <v>1443</v>
      </c>
      <c r="D436">
        <f t="shared" si="6"/>
        <v>0</v>
      </c>
      <c r="E436" t="s">
        <v>19</v>
      </c>
      <c r="F436" t="s">
        <v>2599</v>
      </c>
      <c r="G436" t="s">
        <v>322</v>
      </c>
      <c r="N436" s="107"/>
    </row>
    <row r="437" spans="1:14" hidden="1" x14ac:dyDescent="0.35">
      <c r="A437" t="s">
        <v>157</v>
      </c>
      <c r="B437" t="s">
        <v>1049</v>
      </c>
      <c r="C437" t="s">
        <v>1443</v>
      </c>
      <c r="D437">
        <f t="shared" si="6"/>
        <v>0</v>
      </c>
      <c r="E437" t="s">
        <v>19</v>
      </c>
      <c r="F437" t="s">
        <v>2603</v>
      </c>
      <c r="G437" t="s">
        <v>322</v>
      </c>
      <c r="N437" s="107"/>
    </row>
    <row r="438" spans="1:14" hidden="1" x14ac:dyDescent="0.35">
      <c r="A438" t="s">
        <v>157</v>
      </c>
      <c r="B438" t="s">
        <v>1055</v>
      </c>
      <c r="C438" t="s">
        <v>1447</v>
      </c>
      <c r="D438">
        <f t="shared" si="6"/>
        <v>0</v>
      </c>
      <c r="E438" t="s">
        <v>19</v>
      </c>
      <c r="F438" t="s">
        <v>2620</v>
      </c>
      <c r="G438" t="s">
        <v>322</v>
      </c>
      <c r="N438" s="107"/>
    </row>
    <row r="439" spans="1:14" hidden="1" x14ac:dyDescent="0.35">
      <c r="A439" t="s">
        <v>157</v>
      </c>
      <c r="B439" t="s">
        <v>824</v>
      </c>
      <c r="C439" t="s">
        <v>1447</v>
      </c>
      <c r="D439">
        <f t="shared" si="6"/>
        <v>0</v>
      </c>
      <c r="E439" t="s">
        <v>19</v>
      </c>
      <c r="F439" t="s">
        <v>2621</v>
      </c>
      <c r="G439" t="s">
        <v>322</v>
      </c>
      <c r="N439" s="107"/>
    </row>
    <row r="440" spans="1:14" hidden="1" x14ac:dyDescent="0.35">
      <c r="A440" t="s">
        <v>157</v>
      </c>
      <c r="B440" t="s">
        <v>1049</v>
      </c>
      <c r="C440" t="s">
        <v>1447</v>
      </c>
      <c r="D440">
        <f t="shared" si="6"/>
        <v>0</v>
      </c>
      <c r="E440" t="s">
        <v>19</v>
      </c>
      <c r="F440" t="s">
        <v>2622</v>
      </c>
      <c r="G440" t="s">
        <v>322</v>
      </c>
      <c r="N440" s="107"/>
    </row>
    <row r="441" spans="1:14" hidden="1" x14ac:dyDescent="0.35">
      <c r="A441" t="s">
        <v>157</v>
      </c>
      <c r="B441" t="s">
        <v>477</v>
      </c>
      <c r="C441" t="s">
        <v>1449</v>
      </c>
      <c r="D441">
        <f t="shared" si="6"/>
        <v>0</v>
      </c>
      <c r="E441" t="s">
        <v>19</v>
      </c>
      <c r="F441" t="s">
        <v>2631</v>
      </c>
      <c r="G441" t="s">
        <v>322</v>
      </c>
      <c r="N441" s="107"/>
    </row>
    <row r="442" spans="1:14" hidden="1" x14ac:dyDescent="0.35">
      <c r="A442" t="s">
        <v>157</v>
      </c>
      <c r="B442" t="s">
        <v>1131</v>
      </c>
      <c r="C442" t="s">
        <v>1534</v>
      </c>
      <c r="D442">
        <f t="shared" si="6"/>
        <v>0</v>
      </c>
      <c r="E442" t="s">
        <v>19</v>
      </c>
      <c r="F442" t="s">
        <v>1534</v>
      </c>
      <c r="G442" t="s">
        <v>322</v>
      </c>
      <c r="N442" s="107"/>
    </row>
    <row r="443" spans="1:14" hidden="1" x14ac:dyDescent="0.35">
      <c r="A443" t="s">
        <v>157</v>
      </c>
      <c r="B443" t="s">
        <v>824</v>
      </c>
      <c r="C443" t="s">
        <v>1535</v>
      </c>
      <c r="D443">
        <f t="shared" si="6"/>
        <v>0</v>
      </c>
      <c r="E443" t="s">
        <v>19</v>
      </c>
      <c r="F443" t="s">
        <v>1535</v>
      </c>
      <c r="G443" t="s">
        <v>322</v>
      </c>
      <c r="N443" s="107"/>
    </row>
    <row r="444" spans="1:14" hidden="1" x14ac:dyDescent="0.35">
      <c r="A444" t="s">
        <v>158</v>
      </c>
      <c r="B444" t="s">
        <v>651</v>
      </c>
      <c r="C444" t="s">
        <v>1204</v>
      </c>
      <c r="D444">
        <f t="shared" si="6"/>
        <v>0</v>
      </c>
      <c r="E444" t="s">
        <v>19</v>
      </c>
      <c r="F444" t="s">
        <v>1204</v>
      </c>
      <c r="G444" t="s">
        <v>322</v>
      </c>
      <c r="N444" s="107"/>
    </row>
    <row r="445" spans="1:14" hidden="1" x14ac:dyDescent="0.35">
      <c r="A445" t="s">
        <v>158</v>
      </c>
      <c r="B445" t="s">
        <v>479</v>
      </c>
      <c r="C445" t="s">
        <v>1212</v>
      </c>
      <c r="D445">
        <f t="shared" si="6"/>
        <v>0</v>
      </c>
      <c r="E445" t="s">
        <v>19</v>
      </c>
      <c r="F445" t="s">
        <v>1888</v>
      </c>
      <c r="G445" t="s">
        <v>322</v>
      </c>
      <c r="N445" s="107"/>
    </row>
    <row r="446" spans="1:14" hidden="1" x14ac:dyDescent="0.35">
      <c r="A446" t="s">
        <v>158</v>
      </c>
      <c r="B446" t="s">
        <v>669</v>
      </c>
      <c r="C446" t="s">
        <v>1212</v>
      </c>
      <c r="D446">
        <f t="shared" si="6"/>
        <v>0</v>
      </c>
      <c r="E446" t="s">
        <v>19</v>
      </c>
      <c r="F446" t="s">
        <v>1889</v>
      </c>
      <c r="G446" t="s">
        <v>322</v>
      </c>
      <c r="N446" s="107"/>
    </row>
    <row r="447" spans="1:14" hidden="1" x14ac:dyDescent="0.35">
      <c r="A447" t="s">
        <v>158</v>
      </c>
      <c r="B447" t="s">
        <v>675</v>
      </c>
      <c r="C447" t="s">
        <v>1221</v>
      </c>
      <c r="D447">
        <f t="shared" si="6"/>
        <v>0</v>
      </c>
      <c r="E447" t="s">
        <v>19</v>
      </c>
      <c r="F447" t="s">
        <v>1221</v>
      </c>
      <c r="G447" t="s">
        <v>322</v>
      </c>
      <c r="N447" s="107"/>
    </row>
    <row r="448" spans="1:14" hidden="1" x14ac:dyDescent="0.35">
      <c r="A448" t="s">
        <v>158</v>
      </c>
      <c r="B448" t="s">
        <v>479</v>
      </c>
      <c r="C448" t="s">
        <v>1227</v>
      </c>
      <c r="D448">
        <f t="shared" si="6"/>
        <v>0</v>
      </c>
      <c r="E448" t="s">
        <v>19</v>
      </c>
      <c r="F448" t="s">
        <v>1943</v>
      </c>
      <c r="G448" t="s">
        <v>322</v>
      </c>
      <c r="N448" s="107"/>
    </row>
    <row r="449" spans="1:14" hidden="1" x14ac:dyDescent="0.35">
      <c r="A449" t="s">
        <v>158</v>
      </c>
      <c r="B449" t="s">
        <v>993</v>
      </c>
      <c r="C449" t="s">
        <v>1411</v>
      </c>
      <c r="D449">
        <f t="shared" ref="D449:D512" si="7">SIGN(SUBTOTAL(3,E449))</f>
        <v>0</v>
      </c>
      <c r="E449" t="s">
        <v>19</v>
      </c>
      <c r="F449" t="s">
        <v>2445</v>
      </c>
      <c r="G449" t="s">
        <v>322</v>
      </c>
      <c r="N449" s="107"/>
    </row>
    <row r="450" spans="1:14" hidden="1" x14ac:dyDescent="0.35">
      <c r="A450" t="s">
        <v>158</v>
      </c>
      <c r="B450" t="s">
        <v>996</v>
      </c>
      <c r="C450" t="s">
        <v>1411</v>
      </c>
      <c r="D450">
        <f t="shared" si="7"/>
        <v>0</v>
      </c>
      <c r="E450" t="s">
        <v>19</v>
      </c>
      <c r="F450" t="s">
        <v>2451</v>
      </c>
      <c r="G450" t="s">
        <v>322</v>
      </c>
      <c r="N450" s="107"/>
    </row>
    <row r="451" spans="1:14" hidden="1" x14ac:dyDescent="0.35">
      <c r="A451" t="s">
        <v>158</v>
      </c>
      <c r="B451" t="s">
        <v>999</v>
      </c>
      <c r="C451" t="s">
        <v>1411</v>
      </c>
      <c r="D451">
        <f t="shared" si="7"/>
        <v>0</v>
      </c>
      <c r="E451" t="s">
        <v>19</v>
      </c>
      <c r="F451" t="s">
        <v>2458</v>
      </c>
      <c r="G451" t="s">
        <v>322</v>
      </c>
      <c r="N451" s="107"/>
    </row>
    <row r="452" spans="1:14" hidden="1" x14ac:dyDescent="0.35">
      <c r="A452" t="s">
        <v>158</v>
      </c>
      <c r="B452" t="s">
        <v>479</v>
      </c>
      <c r="C452" t="s">
        <v>1411</v>
      </c>
      <c r="D452">
        <f t="shared" si="7"/>
        <v>0</v>
      </c>
      <c r="E452" t="s">
        <v>19</v>
      </c>
      <c r="F452" t="s">
        <v>2459</v>
      </c>
      <c r="G452" t="s">
        <v>322</v>
      </c>
      <c r="N452" s="107"/>
    </row>
    <row r="453" spans="1:14" hidden="1" x14ac:dyDescent="0.35">
      <c r="A453" t="s">
        <v>158</v>
      </c>
      <c r="B453" t="s">
        <v>479</v>
      </c>
      <c r="C453" t="s">
        <v>1414</v>
      </c>
      <c r="D453">
        <f t="shared" si="7"/>
        <v>0</v>
      </c>
      <c r="E453" t="s">
        <v>19</v>
      </c>
      <c r="F453" t="s">
        <v>2467</v>
      </c>
      <c r="G453" t="s">
        <v>322</v>
      </c>
      <c r="N453" s="107"/>
    </row>
    <row r="454" spans="1:14" hidden="1" x14ac:dyDescent="0.35">
      <c r="A454" t="s">
        <v>158</v>
      </c>
      <c r="B454" t="s">
        <v>478</v>
      </c>
      <c r="C454" t="s">
        <v>1414</v>
      </c>
      <c r="D454">
        <f t="shared" si="7"/>
        <v>0</v>
      </c>
      <c r="E454" t="s">
        <v>19</v>
      </c>
      <c r="F454" t="s">
        <v>2468</v>
      </c>
      <c r="G454" t="s">
        <v>322</v>
      </c>
      <c r="N454" s="107"/>
    </row>
    <row r="455" spans="1:14" hidden="1" x14ac:dyDescent="0.35">
      <c r="A455" t="s">
        <v>158</v>
      </c>
      <c r="B455" t="s">
        <v>996</v>
      </c>
      <c r="C455" t="s">
        <v>1414</v>
      </c>
      <c r="D455">
        <f t="shared" si="7"/>
        <v>0</v>
      </c>
      <c r="E455" t="s">
        <v>19</v>
      </c>
      <c r="F455" t="s">
        <v>2470</v>
      </c>
      <c r="G455" t="s">
        <v>322</v>
      </c>
      <c r="N455" s="107"/>
    </row>
    <row r="456" spans="1:14" hidden="1" x14ac:dyDescent="0.35">
      <c r="A456" t="s">
        <v>158</v>
      </c>
      <c r="B456" t="s">
        <v>669</v>
      </c>
      <c r="C456" t="s">
        <v>1414</v>
      </c>
      <c r="D456">
        <f t="shared" si="7"/>
        <v>0</v>
      </c>
      <c r="E456" t="s">
        <v>19</v>
      </c>
      <c r="F456" t="s">
        <v>2478</v>
      </c>
      <c r="G456" t="s">
        <v>322</v>
      </c>
      <c r="N456" s="107"/>
    </row>
    <row r="457" spans="1:14" hidden="1" x14ac:dyDescent="0.35">
      <c r="A457" t="s">
        <v>158</v>
      </c>
      <c r="B457" t="s">
        <v>479</v>
      </c>
      <c r="C457" t="s">
        <v>1414</v>
      </c>
      <c r="D457">
        <f t="shared" si="7"/>
        <v>0</v>
      </c>
      <c r="E457" t="s">
        <v>19</v>
      </c>
      <c r="F457" t="s">
        <v>2488</v>
      </c>
      <c r="G457" t="s">
        <v>322</v>
      </c>
      <c r="N457" s="107"/>
    </row>
    <row r="458" spans="1:14" hidden="1" x14ac:dyDescent="0.35">
      <c r="A458" t="s">
        <v>158</v>
      </c>
      <c r="B458" t="s">
        <v>1054</v>
      </c>
      <c r="C458" t="s">
        <v>1446</v>
      </c>
      <c r="D458">
        <f t="shared" si="7"/>
        <v>0</v>
      </c>
      <c r="E458" t="s">
        <v>19</v>
      </c>
      <c r="F458" t="s">
        <v>2618</v>
      </c>
      <c r="G458" t="s">
        <v>322</v>
      </c>
      <c r="N458" s="107"/>
    </row>
    <row r="459" spans="1:14" hidden="1" x14ac:dyDescent="0.35">
      <c r="A459" t="s">
        <v>158</v>
      </c>
      <c r="B459" t="s">
        <v>1054</v>
      </c>
      <c r="C459" t="s">
        <v>1509</v>
      </c>
      <c r="D459">
        <f t="shared" si="7"/>
        <v>0</v>
      </c>
      <c r="E459" t="s">
        <v>19</v>
      </c>
      <c r="F459" t="s">
        <v>2769</v>
      </c>
      <c r="G459" t="s">
        <v>322</v>
      </c>
      <c r="N459" s="107"/>
    </row>
    <row r="460" spans="1:14" hidden="1" x14ac:dyDescent="0.35">
      <c r="A460" t="s">
        <v>158</v>
      </c>
      <c r="B460" t="s">
        <v>479</v>
      </c>
      <c r="C460" t="s">
        <v>1509</v>
      </c>
      <c r="D460">
        <f t="shared" si="7"/>
        <v>0</v>
      </c>
      <c r="E460" t="s">
        <v>19</v>
      </c>
      <c r="F460" t="s">
        <v>2770</v>
      </c>
      <c r="G460" t="s">
        <v>322</v>
      </c>
      <c r="N460" s="107"/>
    </row>
    <row r="461" spans="1:14" hidden="1" x14ac:dyDescent="0.35">
      <c r="A461" t="s">
        <v>158</v>
      </c>
      <c r="B461" t="s">
        <v>651</v>
      </c>
      <c r="C461" t="s">
        <v>1510</v>
      </c>
      <c r="D461">
        <f t="shared" si="7"/>
        <v>0</v>
      </c>
      <c r="E461" t="s">
        <v>19</v>
      </c>
      <c r="F461" t="s">
        <v>1510</v>
      </c>
      <c r="G461" t="s">
        <v>322</v>
      </c>
      <c r="N461" s="107"/>
    </row>
    <row r="462" spans="1:14" hidden="1" x14ac:dyDescent="0.35">
      <c r="A462" t="s">
        <v>158</v>
      </c>
      <c r="B462" t="s">
        <v>993</v>
      </c>
      <c r="C462" t="s">
        <v>1509</v>
      </c>
      <c r="D462">
        <f t="shared" si="7"/>
        <v>0</v>
      </c>
      <c r="E462" t="s">
        <v>19</v>
      </c>
      <c r="F462" t="s">
        <v>2771</v>
      </c>
      <c r="G462" t="s">
        <v>322</v>
      </c>
      <c r="N462" s="107"/>
    </row>
    <row r="463" spans="1:14" hidden="1" x14ac:dyDescent="0.35">
      <c r="A463" t="s">
        <v>158</v>
      </c>
      <c r="B463" t="s">
        <v>478</v>
      </c>
      <c r="C463" t="s">
        <v>1511</v>
      </c>
      <c r="D463">
        <f t="shared" si="7"/>
        <v>0</v>
      </c>
      <c r="E463" t="s">
        <v>19</v>
      </c>
      <c r="F463" t="s">
        <v>2800</v>
      </c>
      <c r="G463" t="s">
        <v>322</v>
      </c>
      <c r="N463" s="107"/>
    </row>
    <row r="464" spans="1:14" hidden="1" x14ac:dyDescent="0.35">
      <c r="A464" t="s">
        <v>159</v>
      </c>
      <c r="B464" t="s">
        <v>545</v>
      </c>
      <c r="C464" t="s">
        <v>1141</v>
      </c>
      <c r="D464">
        <f t="shared" si="7"/>
        <v>0</v>
      </c>
      <c r="E464" t="s">
        <v>19</v>
      </c>
      <c r="F464" t="s">
        <v>1141</v>
      </c>
      <c r="G464" t="s">
        <v>322</v>
      </c>
      <c r="N464" s="107"/>
    </row>
    <row r="465" spans="1:14" hidden="1" x14ac:dyDescent="0.35">
      <c r="A465" t="s">
        <v>159</v>
      </c>
      <c r="B465" t="s">
        <v>560</v>
      </c>
      <c r="C465" t="s">
        <v>1162</v>
      </c>
      <c r="D465">
        <f t="shared" si="7"/>
        <v>0</v>
      </c>
      <c r="E465" t="s">
        <v>19</v>
      </c>
      <c r="F465" t="s">
        <v>1736</v>
      </c>
      <c r="G465" t="s">
        <v>322</v>
      </c>
      <c r="N465" s="107"/>
    </row>
    <row r="466" spans="1:14" hidden="1" x14ac:dyDescent="0.35">
      <c r="A466" t="s">
        <v>159</v>
      </c>
      <c r="B466" t="s">
        <v>565</v>
      </c>
      <c r="C466" t="s">
        <v>1164</v>
      </c>
      <c r="D466">
        <f t="shared" si="7"/>
        <v>0</v>
      </c>
      <c r="E466" t="s">
        <v>19</v>
      </c>
      <c r="F466" t="s">
        <v>1743</v>
      </c>
      <c r="G466" t="s">
        <v>322</v>
      </c>
      <c r="N466" s="107"/>
    </row>
    <row r="467" spans="1:14" hidden="1" x14ac:dyDescent="0.35">
      <c r="A467" t="s">
        <v>159</v>
      </c>
      <c r="B467" t="s">
        <v>640</v>
      </c>
      <c r="C467" t="s">
        <v>1190</v>
      </c>
      <c r="D467">
        <f t="shared" si="7"/>
        <v>0</v>
      </c>
      <c r="E467" t="s">
        <v>19</v>
      </c>
      <c r="F467" t="s">
        <v>1190</v>
      </c>
      <c r="G467" t="s">
        <v>322</v>
      </c>
      <c r="N467" s="107"/>
    </row>
    <row r="468" spans="1:14" hidden="1" x14ac:dyDescent="0.35">
      <c r="A468" t="s">
        <v>159</v>
      </c>
      <c r="B468" t="s">
        <v>641</v>
      </c>
      <c r="C468" t="s">
        <v>1191</v>
      </c>
      <c r="D468">
        <f t="shared" si="7"/>
        <v>0</v>
      </c>
      <c r="E468" t="s">
        <v>19</v>
      </c>
      <c r="F468" t="s">
        <v>1191</v>
      </c>
      <c r="G468" t="s">
        <v>322</v>
      </c>
      <c r="N468" s="107"/>
    </row>
    <row r="469" spans="1:14" hidden="1" x14ac:dyDescent="0.35">
      <c r="A469" t="s">
        <v>159</v>
      </c>
      <c r="B469" t="s">
        <v>663</v>
      </c>
      <c r="C469" t="s">
        <v>1209</v>
      </c>
      <c r="D469">
        <f t="shared" si="7"/>
        <v>0</v>
      </c>
      <c r="E469" t="s">
        <v>19</v>
      </c>
      <c r="F469" t="s">
        <v>1209</v>
      </c>
      <c r="G469" t="s">
        <v>322</v>
      </c>
      <c r="N469" s="107"/>
    </row>
    <row r="470" spans="1:14" hidden="1" x14ac:dyDescent="0.35">
      <c r="A470" t="s">
        <v>159</v>
      </c>
      <c r="B470" t="s">
        <v>673</v>
      </c>
      <c r="C470" t="s">
        <v>1220</v>
      </c>
      <c r="D470">
        <f t="shared" si="7"/>
        <v>0</v>
      </c>
      <c r="E470" t="s">
        <v>19</v>
      </c>
      <c r="F470" t="s">
        <v>1894</v>
      </c>
      <c r="G470" t="s">
        <v>322</v>
      </c>
      <c r="N470" s="107"/>
    </row>
    <row r="471" spans="1:14" hidden="1" x14ac:dyDescent="0.35">
      <c r="A471" t="s">
        <v>159</v>
      </c>
      <c r="B471" t="s">
        <v>674</v>
      </c>
      <c r="C471" t="s">
        <v>1220</v>
      </c>
      <c r="D471">
        <f t="shared" si="7"/>
        <v>0</v>
      </c>
      <c r="E471" t="s">
        <v>19</v>
      </c>
      <c r="F471" t="s">
        <v>1895</v>
      </c>
      <c r="G471" t="s">
        <v>322</v>
      </c>
      <c r="N471" s="107"/>
    </row>
    <row r="472" spans="1:14" hidden="1" x14ac:dyDescent="0.35">
      <c r="A472" t="s">
        <v>159</v>
      </c>
      <c r="B472" t="s">
        <v>676</v>
      </c>
      <c r="C472" t="s">
        <v>1223</v>
      </c>
      <c r="D472">
        <f t="shared" si="7"/>
        <v>0</v>
      </c>
      <c r="E472" t="s">
        <v>19</v>
      </c>
      <c r="F472" t="s">
        <v>1223</v>
      </c>
      <c r="G472" t="s">
        <v>322</v>
      </c>
      <c r="N472" s="107"/>
    </row>
    <row r="473" spans="1:14" hidden="1" x14ac:dyDescent="0.35">
      <c r="A473" t="s">
        <v>159</v>
      </c>
      <c r="B473" t="s">
        <v>700</v>
      </c>
      <c r="C473" t="s">
        <v>1227</v>
      </c>
      <c r="D473">
        <f t="shared" si="7"/>
        <v>0</v>
      </c>
      <c r="E473" t="s">
        <v>19</v>
      </c>
      <c r="F473" t="s">
        <v>1932</v>
      </c>
      <c r="G473" t="s">
        <v>322</v>
      </c>
      <c r="N473" s="107"/>
    </row>
    <row r="474" spans="1:14" hidden="1" x14ac:dyDescent="0.35">
      <c r="A474" t="s">
        <v>159</v>
      </c>
      <c r="B474" t="s">
        <v>722</v>
      </c>
      <c r="C474" t="s">
        <v>1227</v>
      </c>
      <c r="D474">
        <f t="shared" si="7"/>
        <v>0</v>
      </c>
      <c r="E474" t="s">
        <v>19</v>
      </c>
      <c r="F474" t="s">
        <v>1984</v>
      </c>
      <c r="G474" t="s">
        <v>322</v>
      </c>
      <c r="N474" s="107"/>
    </row>
    <row r="475" spans="1:14" hidden="1" x14ac:dyDescent="0.35">
      <c r="A475" t="s">
        <v>159</v>
      </c>
      <c r="B475" t="s">
        <v>733</v>
      </c>
      <c r="C475" t="s">
        <v>1235</v>
      </c>
      <c r="D475">
        <f t="shared" si="7"/>
        <v>0</v>
      </c>
      <c r="E475" t="s">
        <v>19</v>
      </c>
      <c r="F475" t="s">
        <v>2011</v>
      </c>
      <c r="G475" t="s">
        <v>322</v>
      </c>
      <c r="N475" s="107"/>
    </row>
    <row r="476" spans="1:14" hidden="1" x14ac:dyDescent="0.35">
      <c r="A476" t="s">
        <v>159</v>
      </c>
      <c r="B476" t="s">
        <v>733</v>
      </c>
      <c r="C476" t="s">
        <v>1235</v>
      </c>
      <c r="D476">
        <f t="shared" si="7"/>
        <v>0</v>
      </c>
      <c r="E476" t="s">
        <v>19</v>
      </c>
      <c r="F476" t="s">
        <v>2012</v>
      </c>
      <c r="G476" t="s">
        <v>322</v>
      </c>
      <c r="N476" s="107"/>
    </row>
    <row r="477" spans="1:14" hidden="1" x14ac:dyDescent="0.35">
      <c r="A477" t="s">
        <v>159</v>
      </c>
      <c r="B477" t="s">
        <v>565</v>
      </c>
      <c r="C477" t="s">
        <v>1247</v>
      </c>
      <c r="D477">
        <f t="shared" si="7"/>
        <v>0</v>
      </c>
      <c r="E477" t="s">
        <v>19</v>
      </c>
      <c r="F477" t="s">
        <v>1247</v>
      </c>
      <c r="G477" t="s">
        <v>322</v>
      </c>
      <c r="N477" s="107"/>
    </row>
    <row r="478" spans="1:14" hidden="1" x14ac:dyDescent="0.35">
      <c r="A478" t="s">
        <v>159</v>
      </c>
      <c r="B478" t="s">
        <v>755</v>
      </c>
      <c r="C478" t="s">
        <v>1251</v>
      </c>
      <c r="D478">
        <f t="shared" si="7"/>
        <v>0</v>
      </c>
      <c r="E478" t="s">
        <v>19</v>
      </c>
      <c r="F478" t="s">
        <v>2040</v>
      </c>
      <c r="G478" t="s">
        <v>322</v>
      </c>
      <c r="N478" s="107"/>
    </row>
    <row r="479" spans="1:14" hidden="1" x14ac:dyDescent="0.35">
      <c r="A479" t="s">
        <v>159</v>
      </c>
      <c r="B479" t="s">
        <v>674</v>
      </c>
      <c r="C479" t="s">
        <v>1252</v>
      </c>
      <c r="D479">
        <f t="shared" si="7"/>
        <v>0</v>
      </c>
      <c r="E479" t="s">
        <v>19</v>
      </c>
      <c r="F479" t="s">
        <v>2048</v>
      </c>
      <c r="G479" t="s">
        <v>322</v>
      </c>
      <c r="N479" s="107"/>
    </row>
    <row r="480" spans="1:14" hidden="1" x14ac:dyDescent="0.35">
      <c r="A480" t="s">
        <v>159</v>
      </c>
      <c r="B480" t="s">
        <v>673</v>
      </c>
      <c r="C480" t="s">
        <v>1277</v>
      </c>
      <c r="D480">
        <f t="shared" si="7"/>
        <v>0</v>
      </c>
      <c r="E480" t="s">
        <v>19</v>
      </c>
      <c r="F480" t="s">
        <v>2089</v>
      </c>
      <c r="G480" t="s">
        <v>322</v>
      </c>
      <c r="N480" s="107"/>
    </row>
    <row r="481" spans="1:14" hidden="1" x14ac:dyDescent="0.35">
      <c r="A481" t="s">
        <v>159</v>
      </c>
      <c r="B481" t="s">
        <v>789</v>
      </c>
      <c r="C481" t="s">
        <v>1278</v>
      </c>
      <c r="D481">
        <f t="shared" si="7"/>
        <v>0</v>
      </c>
      <c r="E481" t="s">
        <v>19</v>
      </c>
      <c r="F481" t="s">
        <v>1278</v>
      </c>
      <c r="G481" t="s">
        <v>322</v>
      </c>
      <c r="N481" s="107"/>
    </row>
    <row r="482" spans="1:14" hidden="1" x14ac:dyDescent="0.35">
      <c r="A482" t="s">
        <v>159</v>
      </c>
      <c r="B482" t="s">
        <v>565</v>
      </c>
      <c r="C482" t="s">
        <v>1282</v>
      </c>
      <c r="D482">
        <f t="shared" si="7"/>
        <v>0</v>
      </c>
      <c r="E482" t="s">
        <v>19</v>
      </c>
      <c r="F482" t="s">
        <v>1282</v>
      </c>
      <c r="G482" t="s">
        <v>322</v>
      </c>
      <c r="N482" s="107"/>
    </row>
    <row r="483" spans="1:14" hidden="1" x14ac:dyDescent="0.35">
      <c r="A483" t="s">
        <v>159</v>
      </c>
      <c r="B483" t="s">
        <v>545</v>
      </c>
      <c r="C483" t="s">
        <v>1285</v>
      </c>
      <c r="D483">
        <f t="shared" si="7"/>
        <v>0</v>
      </c>
      <c r="E483" t="s">
        <v>19</v>
      </c>
      <c r="F483" t="s">
        <v>2114</v>
      </c>
      <c r="G483" t="s">
        <v>322</v>
      </c>
      <c r="N483" s="107"/>
    </row>
    <row r="484" spans="1:14" hidden="1" x14ac:dyDescent="0.35">
      <c r="A484" t="s">
        <v>159</v>
      </c>
      <c r="B484" t="s">
        <v>821</v>
      </c>
      <c r="C484" t="s">
        <v>1296</v>
      </c>
      <c r="D484">
        <f t="shared" si="7"/>
        <v>0</v>
      </c>
      <c r="E484" t="s">
        <v>19</v>
      </c>
      <c r="F484" t="s">
        <v>1296</v>
      </c>
      <c r="G484" t="s">
        <v>322</v>
      </c>
      <c r="N484" s="107"/>
    </row>
    <row r="485" spans="1:14" hidden="1" x14ac:dyDescent="0.35">
      <c r="A485" t="s">
        <v>159</v>
      </c>
      <c r="B485" t="s">
        <v>821</v>
      </c>
      <c r="C485" t="s">
        <v>1298</v>
      </c>
      <c r="D485">
        <f t="shared" si="7"/>
        <v>0</v>
      </c>
      <c r="E485" t="s">
        <v>19</v>
      </c>
      <c r="F485" t="s">
        <v>2161</v>
      </c>
      <c r="G485" t="s">
        <v>322</v>
      </c>
      <c r="N485" s="107"/>
    </row>
    <row r="486" spans="1:14" hidden="1" x14ac:dyDescent="0.35">
      <c r="A486" t="s">
        <v>159</v>
      </c>
      <c r="B486" t="s">
        <v>863</v>
      </c>
      <c r="C486" t="s">
        <v>1307</v>
      </c>
      <c r="D486">
        <f t="shared" si="7"/>
        <v>0</v>
      </c>
      <c r="E486" t="s">
        <v>19</v>
      </c>
      <c r="F486" t="s">
        <v>2209</v>
      </c>
      <c r="G486" t="s">
        <v>322</v>
      </c>
      <c r="N486" s="107"/>
    </row>
    <row r="487" spans="1:14" hidden="1" x14ac:dyDescent="0.35">
      <c r="A487" t="s">
        <v>159</v>
      </c>
      <c r="B487" t="s">
        <v>565</v>
      </c>
      <c r="C487" t="s">
        <v>1314</v>
      </c>
      <c r="D487">
        <f t="shared" si="7"/>
        <v>0</v>
      </c>
      <c r="E487" t="s">
        <v>19</v>
      </c>
      <c r="F487" t="s">
        <v>2212</v>
      </c>
      <c r="G487" t="s">
        <v>322</v>
      </c>
      <c r="N487" s="107"/>
    </row>
    <row r="488" spans="1:14" hidden="1" x14ac:dyDescent="0.35">
      <c r="A488" t="s">
        <v>159</v>
      </c>
      <c r="B488" t="s">
        <v>676</v>
      </c>
      <c r="C488" t="s">
        <v>1315</v>
      </c>
      <c r="D488">
        <f t="shared" si="7"/>
        <v>0</v>
      </c>
      <c r="E488" t="s">
        <v>19</v>
      </c>
      <c r="F488" t="s">
        <v>1315</v>
      </c>
      <c r="G488" t="s">
        <v>322</v>
      </c>
      <c r="N488" s="107"/>
    </row>
    <row r="489" spans="1:14" hidden="1" x14ac:dyDescent="0.35">
      <c r="A489" t="s">
        <v>159</v>
      </c>
      <c r="B489" t="s">
        <v>676</v>
      </c>
      <c r="C489" t="s">
        <v>1316</v>
      </c>
      <c r="D489">
        <f t="shared" si="7"/>
        <v>0</v>
      </c>
      <c r="E489" t="s">
        <v>19</v>
      </c>
      <c r="F489" t="s">
        <v>1316</v>
      </c>
      <c r="G489" t="s">
        <v>322</v>
      </c>
      <c r="N489" s="107"/>
    </row>
    <row r="490" spans="1:14" hidden="1" x14ac:dyDescent="0.35">
      <c r="A490" t="s">
        <v>159</v>
      </c>
      <c r="B490" t="s">
        <v>873</v>
      </c>
      <c r="C490" t="s">
        <v>1313</v>
      </c>
      <c r="D490">
        <f t="shared" si="7"/>
        <v>0</v>
      </c>
      <c r="E490" t="s">
        <v>19</v>
      </c>
      <c r="F490" t="s">
        <v>2225</v>
      </c>
      <c r="G490" t="s">
        <v>322</v>
      </c>
      <c r="N490" s="107"/>
    </row>
    <row r="491" spans="1:14" hidden="1" x14ac:dyDescent="0.35">
      <c r="A491" t="s">
        <v>159</v>
      </c>
      <c r="B491" t="s">
        <v>884</v>
      </c>
      <c r="C491" t="s">
        <v>1325</v>
      </c>
      <c r="D491">
        <f t="shared" si="7"/>
        <v>0</v>
      </c>
      <c r="E491" t="s">
        <v>19</v>
      </c>
      <c r="F491" t="s">
        <v>1325</v>
      </c>
      <c r="G491" t="s">
        <v>322</v>
      </c>
      <c r="N491" s="107"/>
    </row>
    <row r="492" spans="1:14" hidden="1" x14ac:dyDescent="0.35">
      <c r="A492" t="s">
        <v>159</v>
      </c>
      <c r="B492" t="s">
        <v>885</v>
      </c>
      <c r="C492" t="s">
        <v>1327</v>
      </c>
      <c r="D492">
        <f t="shared" si="7"/>
        <v>0</v>
      </c>
      <c r="E492" t="s">
        <v>19</v>
      </c>
      <c r="F492" t="s">
        <v>1327</v>
      </c>
      <c r="G492" t="s">
        <v>322</v>
      </c>
      <c r="N492" s="107"/>
    </row>
    <row r="493" spans="1:14" hidden="1" x14ac:dyDescent="0.35">
      <c r="A493" t="s">
        <v>159</v>
      </c>
      <c r="B493" t="s">
        <v>910</v>
      </c>
      <c r="C493" t="s">
        <v>1348</v>
      </c>
      <c r="D493">
        <f t="shared" si="7"/>
        <v>0</v>
      </c>
      <c r="E493" t="s">
        <v>19</v>
      </c>
      <c r="F493" t="s">
        <v>1348</v>
      </c>
      <c r="G493" t="s">
        <v>322</v>
      </c>
      <c r="N493" s="107"/>
    </row>
    <row r="494" spans="1:14" hidden="1" x14ac:dyDescent="0.35">
      <c r="A494" t="s">
        <v>159</v>
      </c>
      <c r="B494" t="s">
        <v>926</v>
      </c>
      <c r="C494" t="s">
        <v>1365</v>
      </c>
      <c r="D494">
        <f t="shared" si="7"/>
        <v>0</v>
      </c>
      <c r="E494" t="s">
        <v>19</v>
      </c>
      <c r="F494" t="s">
        <v>1365</v>
      </c>
      <c r="G494" t="s">
        <v>322</v>
      </c>
      <c r="N494" s="107"/>
    </row>
    <row r="495" spans="1:14" hidden="1" x14ac:dyDescent="0.35">
      <c r="A495" t="s">
        <v>159</v>
      </c>
      <c r="B495" t="s">
        <v>927</v>
      </c>
      <c r="C495" t="s">
        <v>1366</v>
      </c>
      <c r="D495">
        <f t="shared" si="7"/>
        <v>0</v>
      </c>
      <c r="E495" t="s">
        <v>19</v>
      </c>
      <c r="F495" t="s">
        <v>2305</v>
      </c>
      <c r="G495" t="s">
        <v>322</v>
      </c>
      <c r="N495" s="107"/>
    </row>
    <row r="496" spans="1:14" hidden="1" x14ac:dyDescent="0.35">
      <c r="A496" t="s">
        <v>159</v>
      </c>
      <c r="B496" t="s">
        <v>934</v>
      </c>
      <c r="C496" t="s">
        <v>1374</v>
      </c>
      <c r="D496">
        <f t="shared" si="7"/>
        <v>0</v>
      </c>
      <c r="E496" t="s">
        <v>19</v>
      </c>
      <c r="F496" t="s">
        <v>2316</v>
      </c>
      <c r="G496" t="s">
        <v>322</v>
      </c>
      <c r="N496" s="107"/>
    </row>
    <row r="497" spans="1:14" hidden="1" x14ac:dyDescent="0.35">
      <c r="A497" t="s">
        <v>159</v>
      </c>
      <c r="B497" t="s">
        <v>935</v>
      </c>
      <c r="C497" t="s">
        <v>1375</v>
      </c>
      <c r="D497">
        <f t="shared" si="7"/>
        <v>0</v>
      </c>
      <c r="E497" t="s">
        <v>19</v>
      </c>
      <c r="F497" t="s">
        <v>1375</v>
      </c>
      <c r="G497" t="s">
        <v>322</v>
      </c>
      <c r="N497" s="107"/>
    </row>
    <row r="498" spans="1:14" hidden="1" x14ac:dyDescent="0.35">
      <c r="A498" t="s">
        <v>159</v>
      </c>
      <c r="B498" t="s">
        <v>910</v>
      </c>
      <c r="C498" t="s">
        <v>1374</v>
      </c>
      <c r="D498">
        <f t="shared" si="7"/>
        <v>0</v>
      </c>
      <c r="E498" t="s">
        <v>19</v>
      </c>
      <c r="F498" t="s">
        <v>2317</v>
      </c>
      <c r="G498" t="s">
        <v>322</v>
      </c>
      <c r="N498" s="107"/>
    </row>
    <row r="499" spans="1:14" hidden="1" x14ac:dyDescent="0.35">
      <c r="A499" t="s">
        <v>159</v>
      </c>
      <c r="B499" t="s">
        <v>953</v>
      </c>
      <c r="C499" t="s">
        <v>1385</v>
      </c>
      <c r="D499">
        <f t="shared" si="7"/>
        <v>0</v>
      </c>
      <c r="E499" t="s">
        <v>19</v>
      </c>
      <c r="F499" t="s">
        <v>2381</v>
      </c>
      <c r="G499" t="s">
        <v>322</v>
      </c>
      <c r="N499" s="107"/>
    </row>
    <row r="500" spans="1:14" hidden="1" x14ac:dyDescent="0.35">
      <c r="A500" t="s">
        <v>159</v>
      </c>
      <c r="B500" t="s">
        <v>998</v>
      </c>
      <c r="C500" t="s">
        <v>1411</v>
      </c>
      <c r="D500">
        <f t="shared" si="7"/>
        <v>0</v>
      </c>
      <c r="E500" t="s">
        <v>19</v>
      </c>
      <c r="F500" t="s">
        <v>2455</v>
      </c>
      <c r="G500" t="s">
        <v>322</v>
      </c>
      <c r="N500" s="107"/>
    </row>
    <row r="501" spans="1:14" hidden="1" x14ac:dyDescent="0.35">
      <c r="A501" t="s">
        <v>159</v>
      </c>
      <c r="B501" t="s">
        <v>998</v>
      </c>
      <c r="C501" t="s">
        <v>1414</v>
      </c>
      <c r="D501">
        <f t="shared" si="7"/>
        <v>0</v>
      </c>
      <c r="E501" t="s">
        <v>19</v>
      </c>
      <c r="F501" t="s">
        <v>2507</v>
      </c>
      <c r="G501" t="s">
        <v>322</v>
      </c>
      <c r="N501" s="107"/>
    </row>
    <row r="502" spans="1:14" hidden="1" x14ac:dyDescent="0.35">
      <c r="A502" t="s">
        <v>159</v>
      </c>
      <c r="B502" t="s">
        <v>560</v>
      </c>
      <c r="C502" t="s">
        <v>1414</v>
      </c>
      <c r="D502">
        <f t="shared" si="7"/>
        <v>0</v>
      </c>
      <c r="E502" t="s">
        <v>19</v>
      </c>
      <c r="F502" t="s">
        <v>2514</v>
      </c>
      <c r="G502" t="s">
        <v>322</v>
      </c>
      <c r="N502" s="107"/>
    </row>
    <row r="503" spans="1:14" hidden="1" x14ac:dyDescent="0.35">
      <c r="A503" t="s">
        <v>159</v>
      </c>
      <c r="B503" t="s">
        <v>733</v>
      </c>
      <c r="C503" t="s">
        <v>1419</v>
      </c>
      <c r="D503">
        <f t="shared" si="7"/>
        <v>0</v>
      </c>
      <c r="E503" t="s">
        <v>19</v>
      </c>
      <c r="F503" t="s">
        <v>2543</v>
      </c>
      <c r="G503" t="s">
        <v>322</v>
      </c>
      <c r="N503" s="107"/>
    </row>
    <row r="504" spans="1:14" hidden="1" x14ac:dyDescent="0.35">
      <c r="A504" t="s">
        <v>159</v>
      </c>
      <c r="B504" t="s">
        <v>1020</v>
      </c>
      <c r="C504" t="s">
        <v>1419</v>
      </c>
      <c r="D504">
        <f t="shared" si="7"/>
        <v>0</v>
      </c>
      <c r="E504" t="s">
        <v>19</v>
      </c>
      <c r="F504" t="s">
        <v>2546</v>
      </c>
      <c r="G504" t="s">
        <v>322</v>
      </c>
      <c r="N504" s="107"/>
    </row>
    <row r="505" spans="1:14" hidden="1" x14ac:dyDescent="0.35">
      <c r="A505" t="s">
        <v>159</v>
      </c>
      <c r="B505" t="s">
        <v>1021</v>
      </c>
      <c r="C505" t="s">
        <v>1419</v>
      </c>
      <c r="D505">
        <f t="shared" si="7"/>
        <v>0</v>
      </c>
      <c r="E505" t="s">
        <v>19</v>
      </c>
      <c r="F505" t="s">
        <v>2547</v>
      </c>
      <c r="G505" t="s">
        <v>322</v>
      </c>
      <c r="N505" s="107"/>
    </row>
    <row r="506" spans="1:14" hidden="1" x14ac:dyDescent="0.35">
      <c r="A506" t="s">
        <v>159</v>
      </c>
      <c r="B506" t="s">
        <v>1021</v>
      </c>
      <c r="C506" t="s">
        <v>1419</v>
      </c>
      <c r="D506">
        <f t="shared" si="7"/>
        <v>0</v>
      </c>
      <c r="E506" t="s">
        <v>19</v>
      </c>
      <c r="F506" t="s">
        <v>2548</v>
      </c>
      <c r="G506" t="s">
        <v>322</v>
      </c>
      <c r="N506" s="107"/>
    </row>
    <row r="507" spans="1:14" hidden="1" x14ac:dyDescent="0.35">
      <c r="A507" t="s">
        <v>159</v>
      </c>
      <c r="B507" t="s">
        <v>1022</v>
      </c>
      <c r="C507" t="s">
        <v>1419</v>
      </c>
      <c r="D507">
        <f t="shared" si="7"/>
        <v>0</v>
      </c>
      <c r="E507" t="s">
        <v>19</v>
      </c>
      <c r="F507" t="s">
        <v>2550</v>
      </c>
      <c r="G507" t="s">
        <v>322</v>
      </c>
      <c r="N507" s="107"/>
    </row>
    <row r="508" spans="1:14" hidden="1" x14ac:dyDescent="0.35">
      <c r="A508" t="s">
        <v>159</v>
      </c>
      <c r="B508" t="s">
        <v>1023</v>
      </c>
      <c r="C508" t="s">
        <v>1419</v>
      </c>
      <c r="D508">
        <f t="shared" si="7"/>
        <v>0</v>
      </c>
      <c r="E508" t="s">
        <v>19</v>
      </c>
      <c r="F508" t="s">
        <v>2551</v>
      </c>
      <c r="G508" t="s">
        <v>322</v>
      </c>
      <c r="N508" s="107"/>
    </row>
    <row r="509" spans="1:14" hidden="1" x14ac:dyDescent="0.35">
      <c r="A509" t="s">
        <v>159</v>
      </c>
      <c r="B509" t="s">
        <v>480</v>
      </c>
      <c r="C509" t="s">
        <v>1433</v>
      </c>
      <c r="D509">
        <f t="shared" si="7"/>
        <v>0</v>
      </c>
      <c r="E509" t="s">
        <v>19</v>
      </c>
      <c r="F509" t="s">
        <v>1433</v>
      </c>
      <c r="G509" t="s">
        <v>322</v>
      </c>
      <c r="N509" s="107"/>
    </row>
    <row r="510" spans="1:14" hidden="1" x14ac:dyDescent="0.35">
      <c r="A510" t="s">
        <v>159</v>
      </c>
      <c r="B510" t="s">
        <v>1074</v>
      </c>
      <c r="C510" t="s">
        <v>1465</v>
      </c>
      <c r="D510">
        <f t="shared" si="7"/>
        <v>0</v>
      </c>
      <c r="E510" t="s">
        <v>19</v>
      </c>
      <c r="F510" t="s">
        <v>1465</v>
      </c>
      <c r="G510" t="s">
        <v>322</v>
      </c>
      <c r="N510" s="107"/>
    </row>
    <row r="511" spans="1:14" hidden="1" x14ac:dyDescent="0.35">
      <c r="A511" t="s">
        <v>159</v>
      </c>
      <c r="B511" t="s">
        <v>1085</v>
      </c>
      <c r="C511" t="s">
        <v>1479</v>
      </c>
      <c r="D511">
        <f t="shared" si="7"/>
        <v>0</v>
      </c>
      <c r="E511" t="s">
        <v>19</v>
      </c>
      <c r="F511" t="s">
        <v>2704</v>
      </c>
      <c r="G511" t="s">
        <v>322</v>
      </c>
      <c r="N511" s="107"/>
    </row>
    <row r="512" spans="1:14" hidden="1" x14ac:dyDescent="0.35">
      <c r="A512" t="s">
        <v>159</v>
      </c>
      <c r="B512" t="s">
        <v>1096</v>
      </c>
      <c r="C512" t="s">
        <v>1493</v>
      </c>
      <c r="D512">
        <f t="shared" si="7"/>
        <v>0</v>
      </c>
      <c r="E512" t="s">
        <v>19</v>
      </c>
      <c r="F512" t="s">
        <v>1493</v>
      </c>
      <c r="G512" t="s">
        <v>322</v>
      </c>
      <c r="N512" s="107"/>
    </row>
    <row r="513" spans="1:14" hidden="1" x14ac:dyDescent="0.35">
      <c r="A513" t="s">
        <v>159</v>
      </c>
      <c r="B513" t="s">
        <v>1100</v>
      </c>
      <c r="C513" t="s">
        <v>1500</v>
      </c>
      <c r="D513">
        <f t="shared" ref="D513:D576" si="8">SIGN(SUBTOTAL(3,E513))</f>
        <v>0</v>
      </c>
      <c r="E513" t="s">
        <v>19</v>
      </c>
      <c r="F513" t="s">
        <v>2743</v>
      </c>
      <c r="G513" t="s">
        <v>322</v>
      </c>
      <c r="N513" s="107"/>
    </row>
    <row r="514" spans="1:14" hidden="1" x14ac:dyDescent="0.35">
      <c r="A514" t="s">
        <v>159</v>
      </c>
      <c r="B514" t="s">
        <v>1103</v>
      </c>
      <c r="C514" t="s">
        <v>1502</v>
      </c>
      <c r="D514">
        <f t="shared" si="8"/>
        <v>0</v>
      </c>
      <c r="E514" t="s">
        <v>19</v>
      </c>
      <c r="F514" t="s">
        <v>2749</v>
      </c>
      <c r="G514" t="s">
        <v>322</v>
      </c>
      <c r="N514" s="107"/>
    </row>
    <row r="515" spans="1:14" hidden="1" x14ac:dyDescent="0.35">
      <c r="A515" t="s">
        <v>159</v>
      </c>
      <c r="B515" t="s">
        <v>676</v>
      </c>
      <c r="C515" t="s">
        <v>1532</v>
      </c>
      <c r="D515">
        <f t="shared" si="8"/>
        <v>0</v>
      </c>
      <c r="E515" t="s">
        <v>19</v>
      </c>
      <c r="F515" t="s">
        <v>2822</v>
      </c>
      <c r="G515" t="s">
        <v>322</v>
      </c>
      <c r="N515" s="107"/>
    </row>
    <row r="516" spans="1:14" hidden="1" x14ac:dyDescent="0.35">
      <c r="A516" t="s">
        <v>159</v>
      </c>
      <c r="B516" t="s">
        <v>935</v>
      </c>
      <c r="C516" t="s">
        <v>1532</v>
      </c>
      <c r="D516">
        <f t="shared" si="8"/>
        <v>0</v>
      </c>
      <c r="E516" t="s">
        <v>19</v>
      </c>
      <c r="F516" t="s">
        <v>2827</v>
      </c>
      <c r="G516" t="s">
        <v>322</v>
      </c>
      <c r="N516" s="107"/>
    </row>
    <row r="517" spans="1:14" hidden="1" x14ac:dyDescent="0.35">
      <c r="A517" t="s">
        <v>160</v>
      </c>
      <c r="B517" t="s">
        <v>628</v>
      </c>
      <c r="C517" t="s">
        <v>1182</v>
      </c>
      <c r="D517">
        <f t="shared" si="8"/>
        <v>0</v>
      </c>
      <c r="E517" t="s">
        <v>19</v>
      </c>
      <c r="F517" t="s">
        <v>1830</v>
      </c>
      <c r="G517" t="s">
        <v>322</v>
      </c>
      <c r="N517" s="107"/>
    </row>
    <row r="518" spans="1:14" hidden="1" x14ac:dyDescent="0.35">
      <c r="A518" t="s">
        <v>160</v>
      </c>
      <c r="B518" t="s">
        <v>713</v>
      </c>
      <c r="C518" t="s">
        <v>1227</v>
      </c>
      <c r="D518">
        <f t="shared" si="8"/>
        <v>0</v>
      </c>
      <c r="E518" t="s">
        <v>19</v>
      </c>
      <c r="F518" t="s">
        <v>1962</v>
      </c>
      <c r="G518" t="s">
        <v>322</v>
      </c>
      <c r="N518" s="107"/>
    </row>
    <row r="519" spans="1:14" hidden="1" x14ac:dyDescent="0.35">
      <c r="A519" t="s">
        <v>160</v>
      </c>
      <c r="B519" t="s">
        <v>748</v>
      </c>
      <c r="C519" t="s">
        <v>1244</v>
      </c>
      <c r="D519">
        <f t="shared" si="8"/>
        <v>0</v>
      </c>
      <c r="E519" t="s">
        <v>19</v>
      </c>
      <c r="F519" t="s">
        <v>1244</v>
      </c>
      <c r="G519" t="s">
        <v>322</v>
      </c>
      <c r="N519" s="107"/>
    </row>
    <row r="520" spans="1:14" hidden="1" x14ac:dyDescent="0.35">
      <c r="A520" t="s">
        <v>160</v>
      </c>
      <c r="B520" t="s">
        <v>510</v>
      </c>
      <c r="C520" t="s">
        <v>1329</v>
      </c>
      <c r="D520">
        <f t="shared" si="8"/>
        <v>0</v>
      </c>
      <c r="E520" t="s">
        <v>19</v>
      </c>
      <c r="F520" t="s">
        <v>2237</v>
      </c>
      <c r="G520" t="s">
        <v>322</v>
      </c>
      <c r="N520" s="107"/>
    </row>
    <row r="521" spans="1:14" hidden="1" x14ac:dyDescent="0.35">
      <c r="A521" t="s">
        <v>160</v>
      </c>
      <c r="B521" t="s">
        <v>628</v>
      </c>
      <c r="C521" t="s">
        <v>1342</v>
      </c>
      <c r="D521">
        <f t="shared" si="8"/>
        <v>0</v>
      </c>
      <c r="E521" t="s">
        <v>19</v>
      </c>
      <c r="F521" t="s">
        <v>2269</v>
      </c>
      <c r="G521" t="s">
        <v>322</v>
      </c>
      <c r="N521" s="107"/>
    </row>
    <row r="522" spans="1:14" hidden="1" x14ac:dyDescent="0.35">
      <c r="A522" t="s">
        <v>160</v>
      </c>
      <c r="B522" t="s">
        <v>906</v>
      </c>
      <c r="C522" t="s">
        <v>1342</v>
      </c>
      <c r="D522">
        <f t="shared" si="8"/>
        <v>0</v>
      </c>
      <c r="E522" t="s">
        <v>19</v>
      </c>
      <c r="F522" t="s">
        <v>2270</v>
      </c>
      <c r="G522" t="s">
        <v>322</v>
      </c>
      <c r="N522" s="107"/>
    </row>
    <row r="523" spans="1:14" hidden="1" x14ac:dyDescent="0.35">
      <c r="A523" t="s">
        <v>160</v>
      </c>
      <c r="B523" t="s">
        <v>906</v>
      </c>
      <c r="C523" t="s">
        <v>1370</v>
      </c>
      <c r="D523">
        <f t="shared" si="8"/>
        <v>0</v>
      </c>
      <c r="E523" t="s">
        <v>19</v>
      </c>
      <c r="F523" t="s">
        <v>2311</v>
      </c>
      <c r="G523" t="s">
        <v>322</v>
      </c>
      <c r="N523" s="107"/>
    </row>
    <row r="524" spans="1:14" hidden="1" x14ac:dyDescent="0.35">
      <c r="A524" t="s">
        <v>160</v>
      </c>
      <c r="B524" t="s">
        <v>628</v>
      </c>
      <c r="C524" t="s">
        <v>1461</v>
      </c>
      <c r="D524">
        <f t="shared" si="8"/>
        <v>0</v>
      </c>
      <c r="E524" t="s">
        <v>19</v>
      </c>
      <c r="F524" t="s">
        <v>2670</v>
      </c>
      <c r="G524" t="s">
        <v>322</v>
      </c>
      <c r="N524" s="107"/>
    </row>
    <row r="525" spans="1:14" hidden="1" x14ac:dyDescent="0.35">
      <c r="A525" t="s">
        <v>160</v>
      </c>
      <c r="B525" t="s">
        <v>628</v>
      </c>
      <c r="C525" t="s">
        <v>1489</v>
      </c>
      <c r="D525">
        <f t="shared" si="8"/>
        <v>0</v>
      </c>
      <c r="E525" t="s">
        <v>19</v>
      </c>
      <c r="F525" t="s">
        <v>1489</v>
      </c>
      <c r="G525" t="s">
        <v>322</v>
      </c>
      <c r="N525" s="107"/>
    </row>
    <row r="526" spans="1:14" hidden="1" x14ac:dyDescent="0.35">
      <c r="A526" t="s">
        <v>160</v>
      </c>
      <c r="B526" t="s">
        <v>1128</v>
      </c>
      <c r="C526" t="s">
        <v>1530</v>
      </c>
      <c r="D526">
        <f t="shared" si="8"/>
        <v>0</v>
      </c>
      <c r="E526" t="s">
        <v>19</v>
      </c>
      <c r="F526" t="s">
        <v>1530</v>
      </c>
      <c r="G526" t="s">
        <v>322</v>
      </c>
      <c r="N526" s="107"/>
    </row>
    <row r="527" spans="1:14" hidden="1" x14ac:dyDescent="0.35">
      <c r="A527" t="s">
        <v>161</v>
      </c>
      <c r="B527" t="s">
        <v>481</v>
      </c>
      <c r="C527" t="s">
        <v>1163</v>
      </c>
      <c r="D527">
        <f t="shared" si="8"/>
        <v>0</v>
      </c>
      <c r="E527" t="s">
        <v>19</v>
      </c>
      <c r="F527" t="s">
        <v>1732</v>
      </c>
      <c r="G527" t="s">
        <v>322</v>
      </c>
      <c r="N527" s="107"/>
    </row>
    <row r="528" spans="1:14" hidden="1" x14ac:dyDescent="0.35">
      <c r="A528" t="s">
        <v>161</v>
      </c>
      <c r="B528" t="s">
        <v>481</v>
      </c>
      <c r="C528" t="s">
        <v>1163</v>
      </c>
      <c r="D528">
        <f t="shared" si="8"/>
        <v>0</v>
      </c>
      <c r="E528" t="s">
        <v>19</v>
      </c>
      <c r="F528" t="s">
        <v>1734</v>
      </c>
      <c r="G528" t="s">
        <v>322</v>
      </c>
      <c r="N528" s="107"/>
    </row>
    <row r="529" spans="1:14" hidden="1" x14ac:dyDescent="0.35">
      <c r="A529" t="s">
        <v>161</v>
      </c>
      <c r="B529" t="s">
        <v>481</v>
      </c>
      <c r="C529" t="s">
        <v>1164</v>
      </c>
      <c r="D529">
        <f t="shared" si="8"/>
        <v>0</v>
      </c>
      <c r="E529" t="s">
        <v>19</v>
      </c>
      <c r="F529" t="s">
        <v>1737</v>
      </c>
      <c r="G529" t="s">
        <v>322</v>
      </c>
      <c r="N529" s="107"/>
    </row>
    <row r="530" spans="1:14" hidden="1" x14ac:dyDescent="0.35">
      <c r="A530" t="s">
        <v>161</v>
      </c>
      <c r="B530" t="s">
        <v>570</v>
      </c>
      <c r="C530" t="s">
        <v>1164</v>
      </c>
      <c r="D530">
        <f t="shared" si="8"/>
        <v>0</v>
      </c>
      <c r="E530" t="s">
        <v>19</v>
      </c>
      <c r="F530" t="s">
        <v>1751</v>
      </c>
      <c r="G530" t="s">
        <v>322</v>
      </c>
      <c r="N530" s="107"/>
    </row>
    <row r="531" spans="1:14" hidden="1" x14ac:dyDescent="0.35">
      <c r="A531" t="s">
        <v>161</v>
      </c>
      <c r="B531" t="s">
        <v>481</v>
      </c>
      <c r="C531" t="s">
        <v>1187</v>
      </c>
      <c r="D531">
        <f t="shared" si="8"/>
        <v>0</v>
      </c>
      <c r="E531" t="s">
        <v>19</v>
      </c>
      <c r="F531" t="s">
        <v>1187</v>
      </c>
      <c r="G531" t="s">
        <v>322</v>
      </c>
      <c r="N531" s="107"/>
    </row>
    <row r="532" spans="1:14" hidden="1" x14ac:dyDescent="0.35">
      <c r="A532" t="s">
        <v>161</v>
      </c>
      <c r="B532" t="s">
        <v>481</v>
      </c>
      <c r="C532" t="s">
        <v>1227</v>
      </c>
      <c r="D532">
        <f t="shared" si="8"/>
        <v>0</v>
      </c>
      <c r="E532" t="s">
        <v>19</v>
      </c>
      <c r="F532" t="s">
        <v>1975</v>
      </c>
      <c r="G532" t="s">
        <v>322</v>
      </c>
      <c r="N532" s="107"/>
    </row>
    <row r="533" spans="1:14" hidden="1" x14ac:dyDescent="0.35">
      <c r="A533" t="s">
        <v>161</v>
      </c>
      <c r="B533" t="s">
        <v>481</v>
      </c>
      <c r="C533" t="s">
        <v>1285</v>
      </c>
      <c r="D533">
        <f t="shared" si="8"/>
        <v>0</v>
      </c>
      <c r="E533" t="s">
        <v>19</v>
      </c>
      <c r="F533" t="s">
        <v>2125</v>
      </c>
      <c r="G533" t="s">
        <v>322</v>
      </c>
      <c r="N533" s="107"/>
    </row>
    <row r="534" spans="1:14" hidden="1" x14ac:dyDescent="0.35">
      <c r="A534" t="s">
        <v>161</v>
      </c>
      <c r="B534" t="s">
        <v>570</v>
      </c>
      <c r="C534" t="s">
        <v>1288</v>
      </c>
      <c r="D534">
        <f t="shared" si="8"/>
        <v>0</v>
      </c>
      <c r="E534" t="s">
        <v>19</v>
      </c>
      <c r="F534" t="s">
        <v>1288</v>
      </c>
      <c r="G534" t="s">
        <v>322</v>
      </c>
      <c r="N534" s="107"/>
    </row>
    <row r="535" spans="1:14" hidden="1" x14ac:dyDescent="0.35">
      <c r="A535" t="s">
        <v>161</v>
      </c>
      <c r="B535" t="s">
        <v>481</v>
      </c>
      <c r="C535" t="s">
        <v>1287</v>
      </c>
      <c r="D535">
        <f t="shared" si="8"/>
        <v>0</v>
      </c>
      <c r="E535" t="s">
        <v>19</v>
      </c>
      <c r="F535" t="s">
        <v>2142</v>
      </c>
      <c r="G535" t="s">
        <v>322</v>
      </c>
      <c r="N535" s="107"/>
    </row>
    <row r="536" spans="1:14" hidden="1" x14ac:dyDescent="0.35">
      <c r="A536" t="s">
        <v>161</v>
      </c>
      <c r="B536" t="s">
        <v>946</v>
      </c>
      <c r="C536" t="s">
        <v>1382</v>
      </c>
      <c r="D536">
        <f t="shared" si="8"/>
        <v>0</v>
      </c>
      <c r="E536" t="s">
        <v>19</v>
      </c>
      <c r="F536" t="s">
        <v>2343</v>
      </c>
      <c r="G536" t="s">
        <v>322</v>
      </c>
      <c r="N536" s="107"/>
    </row>
    <row r="537" spans="1:14" hidden="1" x14ac:dyDescent="0.35">
      <c r="A537" t="s">
        <v>161</v>
      </c>
      <c r="B537" t="s">
        <v>481</v>
      </c>
      <c r="C537" t="s">
        <v>1461</v>
      </c>
      <c r="D537">
        <f t="shared" si="8"/>
        <v>0</v>
      </c>
      <c r="E537" t="s">
        <v>19</v>
      </c>
      <c r="F537" t="s">
        <v>2648</v>
      </c>
      <c r="G537" t="s">
        <v>322</v>
      </c>
      <c r="N537" s="107"/>
    </row>
    <row r="538" spans="1:14" hidden="1" x14ac:dyDescent="0.35">
      <c r="A538" t="s">
        <v>161</v>
      </c>
      <c r="B538" t="s">
        <v>481</v>
      </c>
      <c r="C538" t="s">
        <v>1483</v>
      </c>
      <c r="D538">
        <f t="shared" si="8"/>
        <v>0</v>
      </c>
      <c r="E538" t="s">
        <v>19</v>
      </c>
      <c r="F538" t="s">
        <v>2712</v>
      </c>
      <c r="G538" t="s">
        <v>322</v>
      </c>
      <c r="N538" s="107"/>
    </row>
    <row r="539" spans="1:14" hidden="1" x14ac:dyDescent="0.35">
      <c r="A539" t="s">
        <v>162</v>
      </c>
      <c r="B539" t="s">
        <v>626</v>
      </c>
      <c r="C539" t="s">
        <v>1182</v>
      </c>
      <c r="D539">
        <f t="shared" si="8"/>
        <v>0</v>
      </c>
      <c r="E539" t="s">
        <v>19</v>
      </c>
      <c r="F539" t="s">
        <v>1827</v>
      </c>
      <c r="G539" t="s">
        <v>322</v>
      </c>
      <c r="N539" s="107"/>
    </row>
    <row r="540" spans="1:14" hidden="1" x14ac:dyDescent="0.35">
      <c r="A540" t="s">
        <v>162</v>
      </c>
      <c r="B540" t="s">
        <v>719</v>
      </c>
      <c r="C540" t="s">
        <v>1227</v>
      </c>
      <c r="D540">
        <f t="shared" si="8"/>
        <v>0</v>
      </c>
      <c r="E540" t="s">
        <v>19</v>
      </c>
      <c r="F540" t="s">
        <v>1979</v>
      </c>
      <c r="G540" t="s">
        <v>322</v>
      </c>
      <c r="N540" s="107"/>
    </row>
    <row r="541" spans="1:14" hidden="1" x14ac:dyDescent="0.35">
      <c r="A541" t="s">
        <v>162</v>
      </c>
      <c r="B541" t="s">
        <v>806</v>
      </c>
      <c r="C541" t="s">
        <v>1285</v>
      </c>
      <c r="D541">
        <f t="shared" si="8"/>
        <v>0</v>
      </c>
      <c r="E541" t="s">
        <v>19</v>
      </c>
      <c r="F541" t="s">
        <v>2123</v>
      </c>
      <c r="G541" t="s">
        <v>322</v>
      </c>
      <c r="N541" s="107"/>
    </row>
    <row r="542" spans="1:14" hidden="1" x14ac:dyDescent="0.35">
      <c r="A542" t="s">
        <v>162</v>
      </c>
      <c r="B542" t="s">
        <v>626</v>
      </c>
      <c r="C542" t="s">
        <v>1329</v>
      </c>
      <c r="D542">
        <f t="shared" si="8"/>
        <v>0</v>
      </c>
      <c r="E542" t="s">
        <v>19</v>
      </c>
      <c r="F542" t="s">
        <v>2235</v>
      </c>
      <c r="G542" t="s">
        <v>322</v>
      </c>
      <c r="N542" s="107"/>
    </row>
    <row r="543" spans="1:14" hidden="1" x14ac:dyDescent="0.35">
      <c r="A543" t="s">
        <v>162</v>
      </c>
      <c r="B543" t="s">
        <v>886</v>
      </c>
      <c r="C543" t="s">
        <v>1329</v>
      </c>
      <c r="D543">
        <f t="shared" si="8"/>
        <v>0</v>
      </c>
      <c r="E543" t="s">
        <v>19</v>
      </c>
      <c r="F543" t="s">
        <v>2236</v>
      </c>
      <c r="G543" t="s">
        <v>322</v>
      </c>
      <c r="N543" s="107"/>
    </row>
    <row r="544" spans="1:14" hidden="1" x14ac:dyDescent="0.35">
      <c r="A544" t="s">
        <v>162</v>
      </c>
      <c r="B544" t="s">
        <v>889</v>
      </c>
      <c r="C544" t="s">
        <v>1328</v>
      </c>
      <c r="D544">
        <f t="shared" si="8"/>
        <v>0</v>
      </c>
      <c r="E544" t="s">
        <v>19</v>
      </c>
      <c r="F544" t="s">
        <v>2242</v>
      </c>
      <c r="G544" t="s">
        <v>322</v>
      </c>
      <c r="N544" s="107"/>
    </row>
    <row r="545" spans="1:14" hidden="1" x14ac:dyDescent="0.35">
      <c r="A545" t="s">
        <v>162</v>
      </c>
      <c r="B545" t="s">
        <v>902</v>
      </c>
      <c r="C545" t="s">
        <v>1338</v>
      </c>
      <c r="D545">
        <f t="shared" si="8"/>
        <v>0</v>
      </c>
      <c r="E545" t="s">
        <v>19</v>
      </c>
      <c r="F545" t="s">
        <v>1338</v>
      </c>
      <c r="G545" t="s">
        <v>322</v>
      </c>
      <c r="N545" s="107"/>
    </row>
    <row r="546" spans="1:14" hidden="1" x14ac:dyDescent="0.35">
      <c r="A546" t="s">
        <v>162</v>
      </c>
      <c r="B546" t="s">
        <v>905</v>
      </c>
      <c r="C546" t="s">
        <v>1342</v>
      </c>
      <c r="D546">
        <f t="shared" si="8"/>
        <v>0</v>
      </c>
      <c r="E546" t="s">
        <v>19</v>
      </c>
      <c r="F546" t="s">
        <v>2267</v>
      </c>
      <c r="G546" t="s">
        <v>322</v>
      </c>
      <c r="N546" s="107"/>
    </row>
    <row r="547" spans="1:14" hidden="1" x14ac:dyDescent="0.35">
      <c r="A547" t="s">
        <v>162</v>
      </c>
      <c r="B547" t="s">
        <v>905</v>
      </c>
      <c r="C547" t="s">
        <v>1342</v>
      </c>
      <c r="D547">
        <f t="shared" si="8"/>
        <v>0</v>
      </c>
      <c r="E547" t="s">
        <v>19</v>
      </c>
      <c r="F547" t="s">
        <v>2268</v>
      </c>
      <c r="G547" t="s">
        <v>322</v>
      </c>
      <c r="N547" s="107"/>
    </row>
    <row r="548" spans="1:14" hidden="1" x14ac:dyDescent="0.35">
      <c r="A548" t="s">
        <v>162</v>
      </c>
      <c r="B548" t="s">
        <v>719</v>
      </c>
      <c r="C548" t="s">
        <v>1342</v>
      </c>
      <c r="D548">
        <f t="shared" si="8"/>
        <v>0</v>
      </c>
      <c r="E548" t="s">
        <v>19</v>
      </c>
      <c r="F548" t="s">
        <v>2277</v>
      </c>
      <c r="G548" t="s">
        <v>322</v>
      </c>
      <c r="N548" s="107"/>
    </row>
    <row r="549" spans="1:14" hidden="1" x14ac:dyDescent="0.35">
      <c r="A549" t="s">
        <v>162</v>
      </c>
      <c r="B549" t="s">
        <v>719</v>
      </c>
      <c r="C549" t="s">
        <v>1342</v>
      </c>
      <c r="D549">
        <f t="shared" si="8"/>
        <v>0</v>
      </c>
      <c r="E549" t="s">
        <v>19</v>
      </c>
      <c r="F549" t="s">
        <v>2278</v>
      </c>
      <c r="G549" t="s">
        <v>322</v>
      </c>
      <c r="N549" s="107"/>
    </row>
    <row r="550" spans="1:14" hidden="1" x14ac:dyDescent="0.35">
      <c r="A550" t="s">
        <v>162</v>
      </c>
      <c r="B550" t="s">
        <v>889</v>
      </c>
      <c r="C550" t="s">
        <v>1370</v>
      </c>
      <c r="D550">
        <f t="shared" si="8"/>
        <v>0</v>
      </c>
      <c r="E550" t="s">
        <v>19</v>
      </c>
      <c r="F550" t="s">
        <v>2309</v>
      </c>
      <c r="G550" t="s">
        <v>322</v>
      </c>
      <c r="N550" s="107"/>
    </row>
    <row r="551" spans="1:14" hidden="1" x14ac:dyDescent="0.35">
      <c r="A551" t="s">
        <v>162</v>
      </c>
      <c r="B551" t="s">
        <v>719</v>
      </c>
      <c r="C551" t="s">
        <v>1455</v>
      </c>
      <c r="D551">
        <f t="shared" si="8"/>
        <v>0</v>
      </c>
      <c r="E551" t="s">
        <v>19</v>
      </c>
      <c r="F551" t="s">
        <v>1455</v>
      </c>
      <c r="G551" t="s">
        <v>322</v>
      </c>
      <c r="N551" s="107"/>
    </row>
    <row r="552" spans="1:14" hidden="1" x14ac:dyDescent="0.35">
      <c r="A552" t="s">
        <v>162</v>
      </c>
      <c r="B552" t="s">
        <v>1070</v>
      </c>
      <c r="C552" t="s">
        <v>1461</v>
      </c>
      <c r="D552">
        <f t="shared" si="8"/>
        <v>0</v>
      </c>
      <c r="E552" t="s">
        <v>19</v>
      </c>
      <c r="F552" t="s">
        <v>2649</v>
      </c>
      <c r="G552" t="s">
        <v>322</v>
      </c>
      <c r="N552" s="107"/>
    </row>
    <row r="553" spans="1:14" hidden="1" x14ac:dyDescent="0.35">
      <c r="A553" t="s">
        <v>162</v>
      </c>
      <c r="B553" t="s">
        <v>719</v>
      </c>
      <c r="C553" t="s">
        <v>1490</v>
      </c>
      <c r="D553">
        <f t="shared" si="8"/>
        <v>0</v>
      </c>
      <c r="E553" t="s">
        <v>19</v>
      </c>
      <c r="F553" t="s">
        <v>2735</v>
      </c>
      <c r="G553" t="s">
        <v>322</v>
      </c>
      <c r="N553" s="107"/>
    </row>
    <row r="554" spans="1:14" hidden="1" x14ac:dyDescent="0.35">
      <c r="A554" t="s">
        <v>162</v>
      </c>
      <c r="B554" t="s">
        <v>719</v>
      </c>
      <c r="C554" t="s">
        <v>1490</v>
      </c>
      <c r="D554">
        <f t="shared" si="8"/>
        <v>0</v>
      </c>
      <c r="E554" t="s">
        <v>19</v>
      </c>
      <c r="F554" t="s">
        <v>2736</v>
      </c>
      <c r="G554" t="s">
        <v>322</v>
      </c>
      <c r="N554" s="107"/>
    </row>
    <row r="555" spans="1:14" hidden="1" x14ac:dyDescent="0.35">
      <c r="A555" t="s">
        <v>162</v>
      </c>
      <c r="B555" t="s">
        <v>719</v>
      </c>
      <c r="C555" t="s">
        <v>1499</v>
      </c>
      <c r="D555">
        <f t="shared" si="8"/>
        <v>0</v>
      </c>
      <c r="E555" t="s">
        <v>19</v>
      </c>
      <c r="F555" t="s">
        <v>1499</v>
      </c>
      <c r="G555" t="s">
        <v>322</v>
      </c>
      <c r="N555" s="107"/>
    </row>
    <row r="556" spans="1:14" hidden="1" x14ac:dyDescent="0.35">
      <c r="A556" t="s">
        <v>163</v>
      </c>
      <c r="B556" t="s">
        <v>656</v>
      </c>
      <c r="C556" t="s">
        <v>1208</v>
      </c>
      <c r="D556">
        <f t="shared" si="8"/>
        <v>0</v>
      </c>
      <c r="E556" t="s">
        <v>19</v>
      </c>
      <c r="F556" t="s">
        <v>1862</v>
      </c>
      <c r="G556" t="s">
        <v>322</v>
      </c>
      <c r="N556" s="107"/>
    </row>
    <row r="557" spans="1:14" hidden="1" x14ac:dyDescent="0.35">
      <c r="A557" t="s">
        <v>163</v>
      </c>
      <c r="B557" t="s">
        <v>659</v>
      </c>
      <c r="C557" t="s">
        <v>1208</v>
      </c>
      <c r="D557">
        <f t="shared" si="8"/>
        <v>0</v>
      </c>
      <c r="E557" t="s">
        <v>19</v>
      </c>
      <c r="F557" t="s">
        <v>1871</v>
      </c>
      <c r="G557" t="s">
        <v>322</v>
      </c>
      <c r="N557" s="107"/>
    </row>
    <row r="558" spans="1:14" hidden="1" x14ac:dyDescent="0.35">
      <c r="A558" t="s">
        <v>163</v>
      </c>
      <c r="B558" t="s">
        <v>684</v>
      </c>
      <c r="C558" t="s">
        <v>1227</v>
      </c>
      <c r="D558">
        <f t="shared" si="8"/>
        <v>0</v>
      </c>
      <c r="E558" t="s">
        <v>19</v>
      </c>
      <c r="F558" t="s">
        <v>1903</v>
      </c>
      <c r="G558" t="s">
        <v>322</v>
      </c>
      <c r="N558" s="107"/>
    </row>
    <row r="559" spans="1:14" hidden="1" x14ac:dyDescent="0.35">
      <c r="A559" t="s">
        <v>163</v>
      </c>
      <c r="B559" t="s">
        <v>610</v>
      </c>
      <c r="C559" t="s">
        <v>1227</v>
      </c>
      <c r="D559">
        <f t="shared" si="8"/>
        <v>0</v>
      </c>
      <c r="E559" t="s">
        <v>19</v>
      </c>
      <c r="F559" t="s">
        <v>1908</v>
      </c>
      <c r="G559" t="s">
        <v>322</v>
      </c>
      <c r="N559" s="107"/>
    </row>
    <row r="560" spans="1:14" hidden="1" x14ac:dyDescent="0.35">
      <c r="A560" t="s">
        <v>163</v>
      </c>
      <c r="B560" t="s">
        <v>483</v>
      </c>
      <c r="C560" t="s">
        <v>1227</v>
      </c>
      <c r="D560">
        <f t="shared" si="8"/>
        <v>0</v>
      </c>
      <c r="E560" t="s">
        <v>19</v>
      </c>
      <c r="F560" t="s">
        <v>1922</v>
      </c>
      <c r="G560" t="s">
        <v>322</v>
      </c>
      <c r="N560" s="107"/>
    </row>
    <row r="561" spans="1:14" hidden="1" x14ac:dyDescent="0.35">
      <c r="A561" t="s">
        <v>163</v>
      </c>
      <c r="B561" t="s">
        <v>694</v>
      </c>
      <c r="C561" t="s">
        <v>1227</v>
      </c>
      <c r="D561">
        <f t="shared" si="8"/>
        <v>0</v>
      </c>
      <c r="E561" t="s">
        <v>19</v>
      </c>
      <c r="F561" t="s">
        <v>1923</v>
      </c>
      <c r="G561" t="s">
        <v>322</v>
      </c>
      <c r="N561" s="107"/>
    </row>
    <row r="562" spans="1:14" hidden="1" x14ac:dyDescent="0.35">
      <c r="A562" t="s">
        <v>163</v>
      </c>
      <c r="B562" t="s">
        <v>695</v>
      </c>
      <c r="C562" t="s">
        <v>1227</v>
      </c>
      <c r="D562">
        <f t="shared" si="8"/>
        <v>0</v>
      </c>
      <c r="E562" t="s">
        <v>19</v>
      </c>
      <c r="F562" t="s">
        <v>1924</v>
      </c>
      <c r="G562" t="s">
        <v>322</v>
      </c>
      <c r="N562" s="107"/>
    </row>
    <row r="563" spans="1:14" hidden="1" x14ac:dyDescent="0.35">
      <c r="A563" t="s">
        <v>163</v>
      </c>
      <c r="B563" t="s">
        <v>695</v>
      </c>
      <c r="C563" t="s">
        <v>1227</v>
      </c>
      <c r="D563">
        <f t="shared" si="8"/>
        <v>0</v>
      </c>
      <c r="E563" t="s">
        <v>19</v>
      </c>
      <c r="F563" t="s">
        <v>1925</v>
      </c>
      <c r="G563" t="s">
        <v>322</v>
      </c>
      <c r="N563" s="107"/>
    </row>
    <row r="564" spans="1:14" hidden="1" x14ac:dyDescent="0.35">
      <c r="A564" t="s">
        <v>163</v>
      </c>
      <c r="B564" t="s">
        <v>618</v>
      </c>
      <c r="C564" t="s">
        <v>1227</v>
      </c>
      <c r="D564">
        <f t="shared" si="8"/>
        <v>0</v>
      </c>
      <c r="E564" t="s">
        <v>19</v>
      </c>
      <c r="F564" t="s">
        <v>1927</v>
      </c>
      <c r="G564" t="s">
        <v>322</v>
      </c>
      <c r="N564" s="107"/>
    </row>
    <row r="565" spans="1:14" hidden="1" x14ac:dyDescent="0.35">
      <c r="A565" t="s">
        <v>163</v>
      </c>
      <c r="B565" t="s">
        <v>696</v>
      </c>
      <c r="C565" t="s">
        <v>1227</v>
      </c>
      <c r="D565">
        <f t="shared" si="8"/>
        <v>0</v>
      </c>
      <c r="E565" t="s">
        <v>19</v>
      </c>
      <c r="F565" t="s">
        <v>1928</v>
      </c>
      <c r="G565" t="s">
        <v>322</v>
      </c>
      <c r="N565" s="107"/>
    </row>
    <row r="566" spans="1:14" hidden="1" x14ac:dyDescent="0.35">
      <c r="A566" t="s">
        <v>163</v>
      </c>
      <c r="B566" t="s">
        <v>703</v>
      </c>
      <c r="C566" t="s">
        <v>1227</v>
      </c>
      <c r="D566">
        <f t="shared" si="8"/>
        <v>0</v>
      </c>
      <c r="E566" t="s">
        <v>19</v>
      </c>
      <c r="F566" t="s">
        <v>1935</v>
      </c>
      <c r="G566" t="s">
        <v>322</v>
      </c>
      <c r="N566" s="107"/>
    </row>
    <row r="567" spans="1:14" hidden="1" x14ac:dyDescent="0.35">
      <c r="A567" t="s">
        <v>163</v>
      </c>
      <c r="B567" t="s">
        <v>711</v>
      </c>
      <c r="C567" t="s">
        <v>1227</v>
      </c>
      <c r="D567">
        <f t="shared" si="8"/>
        <v>0</v>
      </c>
      <c r="E567" t="s">
        <v>19</v>
      </c>
      <c r="F567" t="s">
        <v>1955</v>
      </c>
      <c r="G567" t="s">
        <v>322</v>
      </c>
      <c r="N567" s="107"/>
    </row>
    <row r="568" spans="1:14" hidden="1" x14ac:dyDescent="0.35">
      <c r="A568" t="s">
        <v>163</v>
      </c>
      <c r="B568" t="s">
        <v>618</v>
      </c>
      <c r="C568" t="s">
        <v>1227</v>
      </c>
      <c r="D568">
        <f t="shared" si="8"/>
        <v>0</v>
      </c>
      <c r="E568" t="s">
        <v>19</v>
      </c>
      <c r="F568" t="s">
        <v>1960</v>
      </c>
      <c r="G568" t="s">
        <v>322</v>
      </c>
      <c r="N568" s="107"/>
    </row>
    <row r="569" spans="1:14" hidden="1" x14ac:dyDescent="0.35">
      <c r="A569" t="s">
        <v>163</v>
      </c>
      <c r="B569" t="s">
        <v>618</v>
      </c>
      <c r="C569" t="s">
        <v>1230</v>
      </c>
      <c r="D569">
        <f t="shared" si="8"/>
        <v>0</v>
      </c>
      <c r="E569" t="s">
        <v>19</v>
      </c>
      <c r="F569" t="s">
        <v>1230</v>
      </c>
      <c r="G569" t="s">
        <v>322</v>
      </c>
      <c r="N569" s="107"/>
    </row>
    <row r="570" spans="1:14" hidden="1" x14ac:dyDescent="0.35">
      <c r="A570" t="s">
        <v>163</v>
      </c>
      <c r="B570" t="s">
        <v>747</v>
      </c>
      <c r="C570" t="s">
        <v>1243</v>
      </c>
      <c r="D570">
        <f t="shared" si="8"/>
        <v>0</v>
      </c>
      <c r="E570" t="s">
        <v>19</v>
      </c>
      <c r="F570" t="s">
        <v>2025</v>
      </c>
      <c r="G570" t="s">
        <v>322</v>
      </c>
      <c r="N570" s="107"/>
    </row>
    <row r="571" spans="1:14" hidden="1" x14ac:dyDescent="0.35">
      <c r="A571" t="s">
        <v>163</v>
      </c>
      <c r="B571" t="s">
        <v>779</v>
      </c>
      <c r="C571" t="s">
        <v>1263</v>
      </c>
      <c r="D571">
        <f t="shared" si="8"/>
        <v>0</v>
      </c>
      <c r="E571" t="s">
        <v>19</v>
      </c>
      <c r="F571" t="s">
        <v>1263</v>
      </c>
      <c r="G571" t="s">
        <v>322</v>
      </c>
      <c r="N571" s="107"/>
    </row>
    <row r="572" spans="1:14" hidden="1" x14ac:dyDescent="0.35">
      <c r="A572" t="s">
        <v>163</v>
      </c>
      <c r="B572" t="s">
        <v>483</v>
      </c>
      <c r="C572" t="s">
        <v>1285</v>
      </c>
      <c r="D572">
        <f t="shared" si="8"/>
        <v>0</v>
      </c>
      <c r="E572" t="s">
        <v>19</v>
      </c>
      <c r="F572" t="s">
        <v>2103</v>
      </c>
      <c r="G572" t="s">
        <v>322</v>
      </c>
      <c r="N572" s="107"/>
    </row>
    <row r="573" spans="1:14" hidden="1" x14ac:dyDescent="0.35">
      <c r="A573" t="s">
        <v>163</v>
      </c>
      <c r="B573" t="s">
        <v>797</v>
      </c>
      <c r="C573" t="s">
        <v>1285</v>
      </c>
      <c r="D573">
        <f t="shared" si="8"/>
        <v>0</v>
      </c>
      <c r="E573" t="s">
        <v>19</v>
      </c>
      <c r="F573" t="s">
        <v>2104</v>
      </c>
      <c r="G573" t="s">
        <v>322</v>
      </c>
      <c r="N573" s="107"/>
    </row>
    <row r="574" spans="1:14" hidden="1" x14ac:dyDescent="0.35">
      <c r="A574" t="s">
        <v>163</v>
      </c>
      <c r="B574" t="s">
        <v>803</v>
      </c>
      <c r="C574" t="s">
        <v>1285</v>
      </c>
      <c r="D574">
        <f t="shared" si="8"/>
        <v>0</v>
      </c>
      <c r="E574" t="s">
        <v>19</v>
      </c>
      <c r="F574" t="s">
        <v>2119</v>
      </c>
      <c r="G574" t="s">
        <v>322</v>
      </c>
      <c r="N574" s="107"/>
    </row>
    <row r="575" spans="1:14" hidden="1" x14ac:dyDescent="0.35">
      <c r="A575" t="s">
        <v>163</v>
      </c>
      <c r="B575" t="s">
        <v>804</v>
      </c>
      <c r="C575" t="s">
        <v>1285</v>
      </c>
      <c r="D575">
        <f t="shared" si="8"/>
        <v>0</v>
      </c>
      <c r="E575" t="s">
        <v>19</v>
      </c>
      <c r="F575" t="s">
        <v>2121</v>
      </c>
      <c r="G575" t="s">
        <v>322</v>
      </c>
      <c r="N575" s="107"/>
    </row>
    <row r="576" spans="1:14" hidden="1" x14ac:dyDescent="0.35">
      <c r="A576" t="s">
        <v>163</v>
      </c>
      <c r="B576" t="s">
        <v>483</v>
      </c>
      <c r="C576" t="s">
        <v>1411</v>
      </c>
      <c r="D576">
        <f t="shared" si="8"/>
        <v>0</v>
      </c>
      <c r="E576" t="s">
        <v>19</v>
      </c>
      <c r="F576" t="s">
        <v>2453</v>
      </c>
      <c r="G576" t="s">
        <v>322</v>
      </c>
      <c r="N576" s="107"/>
    </row>
    <row r="577" spans="1:14" hidden="1" x14ac:dyDescent="0.35">
      <c r="A577" t="s">
        <v>163</v>
      </c>
      <c r="B577" t="s">
        <v>695</v>
      </c>
      <c r="C577" t="s">
        <v>1411</v>
      </c>
      <c r="D577">
        <f t="shared" ref="D577:D640" si="9">SIGN(SUBTOTAL(3,E577))</f>
        <v>0</v>
      </c>
      <c r="E577" t="s">
        <v>19</v>
      </c>
      <c r="F577" t="s">
        <v>2461</v>
      </c>
      <c r="G577" t="s">
        <v>322</v>
      </c>
      <c r="N577" s="107"/>
    </row>
    <row r="578" spans="1:14" hidden="1" x14ac:dyDescent="0.35">
      <c r="A578" t="s">
        <v>163</v>
      </c>
      <c r="B578" t="s">
        <v>696</v>
      </c>
      <c r="C578" t="s">
        <v>1413</v>
      </c>
      <c r="D578">
        <f t="shared" si="9"/>
        <v>0</v>
      </c>
      <c r="E578" t="s">
        <v>19</v>
      </c>
      <c r="F578" t="s">
        <v>2463</v>
      </c>
      <c r="G578" t="s">
        <v>322</v>
      </c>
      <c r="N578" s="107"/>
    </row>
    <row r="579" spans="1:14" hidden="1" x14ac:dyDescent="0.35">
      <c r="A579" t="s">
        <v>163</v>
      </c>
      <c r="B579" t="s">
        <v>1003</v>
      </c>
      <c r="C579" t="s">
        <v>1414</v>
      </c>
      <c r="D579">
        <f t="shared" si="9"/>
        <v>0</v>
      </c>
      <c r="E579" t="s">
        <v>19</v>
      </c>
      <c r="F579" t="s">
        <v>2469</v>
      </c>
      <c r="G579" t="s">
        <v>322</v>
      </c>
      <c r="N579" s="107"/>
    </row>
    <row r="580" spans="1:14" hidden="1" x14ac:dyDescent="0.35">
      <c r="A580" t="s">
        <v>163</v>
      </c>
      <c r="B580" t="s">
        <v>1004</v>
      </c>
      <c r="C580" t="s">
        <v>1414</v>
      </c>
      <c r="D580">
        <f t="shared" si="9"/>
        <v>0</v>
      </c>
      <c r="E580" t="s">
        <v>19</v>
      </c>
      <c r="F580" t="s">
        <v>2471</v>
      </c>
      <c r="G580" t="s">
        <v>322</v>
      </c>
      <c r="N580" s="107"/>
    </row>
    <row r="581" spans="1:14" hidden="1" x14ac:dyDescent="0.35">
      <c r="A581" t="s">
        <v>163</v>
      </c>
      <c r="B581" t="s">
        <v>804</v>
      </c>
      <c r="C581" t="s">
        <v>1414</v>
      </c>
      <c r="D581">
        <f t="shared" si="9"/>
        <v>0</v>
      </c>
      <c r="E581" t="s">
        <v>19</v>
      </c>
      <c r="F581" t="s">
        <v>2472</v>
      </c>
      <c r="G581" t="s">
        <v>322</v>
      </c>
      <c r="N581" s="107"/>
    </row>
    <row r="582" spans="1:14" hidden="1" x14ac:dyDescent="0.35">
      <c r="A582" t="s">
        <v>163</v>
      </c>
      <c r="B582" t="s">
        <v>1005</v>
      </c>
      <c r="C582" t="s">
        <v>1414</v>
      </c>
      <c r="D582">
        <f t="shared" si="9"/>
        <v>0</v>
      </c>
      <c r="E582" t="s">
        <v>19</v>
      </c>
      <c r="F582" t="s">
        <v>2474</v>
      </c>
      <c r="G582" t="s">
        <v>322</v>
      </c>
      <c r="N582" s="107"/>
    </row>
    <row r="583" spans="1:14" hidden="1" x14ac:dyDescent="0.35">
      <c r="A583" t="s">
        <v>163</v>
      </c>
      <c r="B583" t="s">
        <v>695</v>
      </c>
      <c r="C583" t="s">
        <v>1414</v>
      </c>
      <c r="D583">
        <f t="shared" si="9"/>
        <v>0</v>
      </c>
      <c r="E583" t="s">
        <v>19</v>
      </c>
      <c r="F583" t="s">
        <v>2475</v>
      </c>
      <c r="G583" t="s">
        <v>322</v>
      </c>
      <c r="N583" s="107"/>
    </row>
    <row r="584" spans="1:14" hidden="1" x14ac:dyDescent="0.35">
      <c r="A584" t="s">
        <v>163</v>
      </c>
      <c r="B584" t="s">
        <v>711</v>
      </c>
      <c r="C584" t="s">
        <v>1414</v>
      </c>
      <c r="D584">
        <f t="shared" si="9"/>
        <v>0</v>
      </c>
      <c r="E584" t="s">
        <v>19</v>
      </c>
      <c r="F584" t="s">
        <v>2479</v>
      </c>
      <c r="G584" t="s">
        <v>322</v>
      </c>
      <c r="N584" s="107"/>
    </row>
    <row r="585" spans="1:14" hidden="1" x14ac:dyDescent="0.35">
      <c r="A585" t="s">
        <v>163</v>
      </c>
      <c r="B585" t="s">
        <v>1009</v>
      </c>
      <c r="C585" t="s">
        <v>1414</v>
      </c>
      <c r="D585">
        <f t="shared" si="9"/>
        <v>0</v>
      </c>
      <c r="E585" t="s">
        <v>19</v>
      </c>
      <c r="F585" t="s">
        <v>2489</v>
      </c>
      <c r="G585" t="s">
        <v>322</v>
      </c>
      <c r="N585" s="107"/>
    </row>
    <row r="586" spans="1:14" hidden="1" x14ac:dyDescent="0.35">
      <c r="A586" t="s">
        <v>163</v>
      </c>
      <c r="B586" t="s">
        <v>483</v>
      </c>
      <c r="C586" t="s">
        <v>1414</v>
      </c>
      <c r="D586">
        <f t="shared" si="9"/>
        <v>0</v>
      </c>
      <c r="E586" t="s">
        <v>19</v>
      </c>
      <c r="F586" t="s">
        <v>2491</v>
      </c>
      <c r="G586" t="s">
        <v>322</v>
      </c>
      <c r="N586" s="107"/>
    </row>
    <row r="587" spans="1:14" hidden="1" x14ac:dyDescent="0.35">
      <c r="A587" t="s">
        <v>163</v>
      </c>
      <c r="B587" t="s">
        <v>703</v>
      </c>
      <c r="C587" t="s">
        <v>1427</v>
      </c>
      <c r="D587">
        <f t="shared" si="9"/>
        <v>0</v>
      </c>
      <c r="E587" t="s">
        <v>19</v>
      </c>
      <c r="F587" t="s">
        <v>1427</v>
      </c>
      <c r="G587" t="s">
        <v>322</v>
      </c>
      <c r="N587" s="107"/>
    </row>
    <row r="588" spans="1:14" hidden="1" x14ac:dyDescent="0.35">
      <c r="A588" t="s">
        <v>163</v>
      </c>
      <c r="B588" t="s">
        <v>1071</v>
      </c>
      <c r="C588" t="s">
        <v>1461</v>
      </c>
      <c r="D588">
        <f t="shared" si="9"/>
        <v>0</v>
      </c>
      <c r="E588" t="s">
        <v>19</v>
      </c>
      <c r="F588" t="s">
        <v>2651</v>
      </c>
      <c r="G588" t="s">
        <v>322</v>
      </c>
      <c r="N588" s="107"/>
    </row>
    <row r="589" spans="1:14" hidden="1" x14ac:dyDescent="0.35">
      <c r="A589" t="s">
        <v>163</v>
      </c>
      <c r="B589" t="s">
        <v>711</v>
      </c>
      <c r="C589" t="s">
        <v>1461</v>
      </c>
      <c r="D589">
        <f t="shared" si="9"/>
        <v>0</v>
      </c>
      <c r="E589" t="s">
        <v>19</v>
      </c>
      <c r="F589" t="s">
        <v>2652</v>
      </c>
      <c r="G589" t="s">
        <v>322</v>
      </c>
      <c r="N589" s="107"/>
    </row>
    <row r="590" spans="1:14" hidden="1" x14ac:dyDescent="0.35">
      <c r="A590" t="s">
        <v>163</v>
      </c>
      <c r="B590" t="s">
        <v>695</v>
      </c>
      <c r="C590" t="s">
        <v>1461</v>
      </c>
      <c r="D590">
        <f t="shared" si="9"/>
        <v>0</v>
      </c>
      <c r="E590" t="s">
        <v>19</v>
      </c>
      <c r="F590" t="s">
        <v>2653</v>
      </c>
      <c r="G590" t="s">
        <v>322</v>
      </c>
      <c r="N590" s="107"/>
    </row>
    <row r="591" spans="1:14" hidden="1" x14ac:dyDescent="0.35">
      <c r="A591" t="s">
        <v>163</v>
      </c>
      <c r="B591" t="s">
        <v>1079</v>
      </c>
      <c r="C591" t="s">
        <v>1471</v>
      </c>
      <c r="D591">
        <f t="shared" si="9"/>
        <v>0</v>
      </c>
      <c r="E591" t="s">
        <v>19</v>
      </c>
      <c r="F591" t="s">
        <v>2684</v>
      </c>
      <c r="G591" t="s">
        <v>322</v>
      </c>
      <c r="N591" s="107"/>
    </row>
    <row r="592" spans="1:14" hidden="1" x14ac:dyDescent="0.35">
      <c r="A592" t="s">
        <v>163</v>
      </c>
      <c r="B592" t="s">
        <v>1082</v>
      </c>
      <c r="C592" t="s">
        <v>1476</v>
      </c>
      <c r="D592">
        <f t="shared" si="9"/>
        <v>0</v>
      </c>
      <c r="E592" t="s">
        <v>19</v>
      </c>
      <c r="F592" t="s">
        <v>1476</v>
      </c>
      <c r="G592" t="s">
        <v>322</v>
      </c>
      <c r="N592" s="107"/>
    </row>
    <row r="593" spans="1:14" hidden="1" x14ac:dyDescent="0.35">
      <c r="A593" t="s">
        <v>163</v>
      </c>
      <c r="B593" t="s">
        <v>703</v>
      </c>
      <c r="C593" t="s">
        <v>1479</v>
      </c>
      <c r="D593">
        <f t="shared" si="9"/>
        <v>0</v>
      </c>
      <c r="E593" t="s">
        <v>19</v>
      </c>
      <c r="F593" t="s">
        <v>2692</v>
      </c>
      <c r="G593" t="s">
        <v>322</v>
      </c>
      <c r="N593" s="107"/>
    </row>
    <row r="594" spans="1:14" hidden="1" x14ac:dyDescent="0.35">
      <c r="A594" t="s">
        <v>163</v>
      </c>
      <c r="B594" t="s">
        <v>1123</v>
      </c>
      <c r="C594" t="s">
        <v>1517</v>
      </c>
      <c r="D594">
        <f t="shared" si="9"/>
        <v>0</v>
      </c>
      <c r="E594" t="s">
        <v>19</v>
      </c>
      <c r="F594" t="s">
        <v>1517</v>
      </c>
      <c r="G594" t="s">
        <v>322</v>
      </c>
      <c r="N594" s="107"/>
    </row>
    <row r="595" spans="1:14" hidden="1" x14ac:dyDescent="0.35">
      <c r="A595" t="s">
        <v>163</v>
      </c>
      <c r="B595" t="s">
        <v>1126</v>
      </c>
      <c r="C595" t="s">
        <v>1527</v>
      </c>
      <c r="D595">
        <f t="shared" si="9"/>
        <v>0</v>
      </c>
      <c r="E595" t="s">
        <v>19</v>
      </c>
      <c r="F595" t="s">
        <v>1527</v>
      </c>
      <c r="G595" t="s">
        <v>322</v>
      </c>
      <c r="N595" s="107"/>
    </row>
    <row r="596" spans="1:14" hidden="1" x14ac:dyDescent="0.35">
      <c r="A596" t="s">
        <v>163</v>
      </c>
      <c r="B596" t="s">
        <v>483</v>
      </c>
      <c r="C596" t="s">
        <v>1528</v>
      </c>
      <c r="D596">
        <f t="shared" si="9"/>
        <v>0</v>
      </c>
      <c r="E596" t="s">
        <v>19</v>
      </c>
      <c r="F596" t="s">
        <v>1528</v>
      </c>
      <c r="G596" t="s">
        <v>322</v>
      </c>
      <c r="N596" s="107"/>
    </row>
    <row r="597" spans="1:14" hidden="1" x14ac:dyDescent="0.35">
      <c r="A597" t="s">
        <v>163</v>
      </c>
      <c r="B597" t="s">
        <v>1132</v>
      </c>
      <c r="C597" t="s">
        <v>1537</v>
      </c>
      <c r="D597">
        <f t="shared" si="9"/>
        <v>0</v>
      </c>
      <c r="E597" t="s">
        <v>19</v>
      </c>
      <c r="F597" t="s">
        <v>1537</v>
      </c>
      <c r="G597" t="s">
        <v>322</v>
      </c>
      <c r="N597" s="107"/>
    </row>
    <row r="598" spans="1:14" hidden="1" x14ac:dyDescent="0.35">
      <c r="A598" t="s">
        <v>164</v>
      </c>
      <c r="B598" t="s">
        <v>537</v>
      </c>
      <c r="C598" t="s">
        <v>1135</v>
      </c>
      <c r="D598">
        <f t="shared" si="9"/>
        <v>0</v>
      </c>
      <c r="E598" t="s">
        <v>19</v>
      </c>
      <c r="F598" t="s">
        <v>1135</v>
      </c>
      <c r="G598" t="s">
        <v>322</v>
      </c>
      <c r="N598" s="107"/>
    </row>
    <row r="599" spans="1:14" hidden="1" x14ac:dyDescent="0.35">
      <c r="A599" t="s">
        <v>164</v>
      </c>
      <c r="B599" t="s">
        <v>610</v>
      </c>
      <c r="C599" t="s">
        <v>1178</v>
      </c>
      <c r="D599">
        <f t="shared" si="9"/>
        <v>0</v>
      </c>
      <c r="E599" t="s">
        <v>19</v>
      </c>
      <c r="F599" t="s">
        <v>1808</v>
      </c>
      <c r="G599" t="s">
        <v>322</v>
      </c>
      <c r="N599" s="107"/>
    </row>
    <row r="600" spans="1:14" hidden="1" x14ac:dyDescent="0.35">
      <c r="A600" t="s">
        <v>164</v>
      </c>
      <c r="B600" t="s">
        <v>611</v>
      </c>
      <c r="C600" t="s">
        <v>1179</v>
      </c>
      <c r="D600">
        <f t="shared" si="9"/>
        <v>0</v>
      </c>
      <c r="E600" t="s">
        <v>19</v>
      </c>
      <c r="F600" t="s">
        <v>1809</v>
      </c>
      <c r="G600" t="s">
        <v>322</v>
      </c>
      <c r="N600" s="107"/>
    </row>
    <row r="601" spans="1:14" hidden="1" x14ac:dyDescent="0.35">
      <c r="A601" t="s">
        <v>164</v>
      </c>
      <c r="B601" t="s">
        <v>612</v>
      </c>
      <c r="C601" t="s">
        <v>1179</v>
      </c>
      <c r="D601">
        <f t="shared" si="9"/>
        <v>0</v>
      </c>
      <c r="E601" t="s">
        <v>19</v>
      </c>
      <c r="F601" t="s">
        <v>1810</v>
      </c>
      <c r="G601" t="s">
        <v>322</v>
      </c>
      <c r="N601" s="107"/>
    </row>
    <row r="602" spans="1:14" hidden="1" x14ac:dyDescent="0.35">
      <c r="A602" t="s">
        <v>164</v>
      </c>
      <c r="B602" t="s">
        <v>617</v>
      </c>
      <c r="C602" t="s">
        <v>1178</v>
      </c>
      <c r="D602">
        <f t="shared" si="9"/>
        <v>0</v>
      </c>
      <c r="E602" t="s">
        <v>19</v>
      </c>
      <c r="F602" t="s">
        <v>1817</v>
      </c>
      <c r="G602" t="s">
        <v>322</v>
      </c>
      <c r="N602" s="107"/>
    </row>
    <row r="603" spans="1:14" hidden="1" x14ac:dyDescent="0.35">
      <c r="A603" t="s">
        <v>164</v>
      </c>
      <c r="B603" t="s">
        <v>739</v>
      </c>
      <c r="C603" t="s">
        <v>1240</v>
      </c>
      <c r="D603">
        <f t="shared" si="9"/>
        <v>0</v>
      </c>
      <c r="E603" t="s">
        <v>19</v>
      </c>
      <c r="F603" t="s">
        <v>2019</v>
      </c>
      <c r="G603" t="s">
        <v>322</v>
      </c>
      <c r="N603" s="107"/>
    </row>
    <row r="604" spans="1:14" hidden="1" x14ac:dyDescent="0.35">
      <c r="A604" t="s">
        <v>164</v>
      </c>
      <c r="B604" t="s">
        <v>740</v>
      </c>
      <c r="C604" t="s">
        <v>1240</v>
      </c>
      <c r="D604">
        <f t="shared" si="9"/>
        <v>0</v>
      </c>
      <c r="E604" t="s">
        <v>19</v>
      </c>
      <c r="F604" t="s">
        <v>2020</v>
      </c>
      <c r="G604" t="s">
        <v>322</v>
      </c>
      <c r="N604" s="107"/>
    </row>
    <row r="605" spans="1:14" hidden="1" x14ac:dyDescent="0.35">
      <c r="A605" t="s">
        <v>164</v>
      </c>
      <c r="B605" t="s">
        <v>825</v>
      </c>
      <c r="C605" t="s">
        <v>1299</v>
      </c>
      <c r="D605">
        <f t="shared" si="9"/>
        <v>0</v>
      </c>
      <c r="E605" t="s">
        <v>19</v>
      </c>
      <c r="F605" t="s">
        <v>1299</v>
      </c>
      <c r="G605" t="s">
        <v>322</v>
      </c>
      <c r="N605" s="107"/>
    </row>
    <row r="606" spans="1:14" hidden="1" x14ac:dyDescent="0.35">
      <c r="A606" t="s">
        <v>164</v>
      </c>
      <c r="B606" t="s">
        <v>711</v>
      </c>
      <c r="C606" t="s">
        <v>1298</v>
      </c>
      <c r="D606">
        <f t="shared" si="9"/>
        <v>0</v>
      </c>
      <c r="E606" t="s">
        <v>19</v>
      </c>
      <c r="F606" t="s">
        <v>2164</v>
      </c>
      <c r="G606" t="s">
        <v>322</v>
      </c>
      <c r="N606" s="107"/>
    </row>
    <row r="607" spans="1:14" hidden="1" x14ac:dyDescent="0.35">
      <c r="A607" t="s">
        <v>164</v>
      </c>
      <c r="B607" t="s">
        <v>850</v>
      </c>
      <c r="C607" t="s">
        <v>1302</v>
      </c>
      <c r="D607">
        <f t="shared" si="9"/>
        <v>0</v>
      </c>
      <c r="E607" t="s">
        <v>19</v>
      </c>
      <c r="F607" t="s">
        <v>2192</v>
      </c>
      <c r="G607" t="s">
        <v>322</v>
      </c>
      <c r="N607" s="107"/>
    </row>
    <row r="608" spans="1:14" hidden="1" x14ac:dyDescent="0.35">
      <c r="A608" t="s">
        <v>164</v>
      </c>
      <c r="B608" t="s">
        <v>825</v>
      </c>
      <c r="C608" t="s">
        <v>1302</v>
      </c>
      <c r="D608">
        <f t="shared" si="9"/>
        <v>0</v>
      </c>
      <c r="E608" t="s">
        <v>19</v>
      </c>
      <c r="F608" t="s">
        <v>2195</v>
      </c>
      <c r="G608" t="s">
        <v>322</v>
      </c>
      <c r="N608" s="107"/>
    </row>
    <row r="609" spans="1:14" hidden="1" x14ac:dyDescent="0.35">
      <c r="A609" t="s">
        <v>164</v>
      </c>
      <c r="B609" t="s">
        <v>866</v>
      </c>
      <c r="C609" t="s">
        <v>1310</v>
      </c>
      <c r="D609">
        <f t="shared" si="9"/>
        <v>0</v>
      </c>
      <c r="E609" t="s">
        <v>19</v>
      </c>
      <c r="F609" t="s">
        <v>1310</v>
      </c>
      <c r="G609" t="s">
        <v>322</v>
      </c>
      <c r="N609" s="107"/>
    </row>
    <row r="610" spans="1:14" hidden="1" x14ac:dyDescent="0.35">
      <c r="A610" t="s">
        <v>164</v>
      </c>
      <c r="B610" t="s">
        <v>950</v>
      </c>
      <c r="C610" t="s">
        <v>1382</v>
      </c>
      <c r="D610">
        <f t="shared" si="9"/>
        <v>0</v>
      </c>
      <c r="E610" t="s">
        <v>19</v>
      </c>
      <c r="F610" t="s">
        <v>2351</v>
      </c>
      <c r="G610" t="s">
        <v>322</v>
      </c>
      <c r="N610" s="107"/>
    </row>
    <row r="611" spans="1:14" hidden="1" x14ac:dyDescent="0.35">
      <c r="A611" t="s">
        <v>164</v>
      </c>
      <c r="B611" t="s">
        <v>640</v>
      </c>
      <c r="C611" t="s">
        <v>1404</v>
      </c>
      <c r="D611">
        <f t="shared" si="9"/>
        <v>0</v>
      </c>
      <c r="E611" t="s">
        <v>19</v>
      </c>
      <c r="F611" t="s">
        <v>2389</v>
      </c>
      <c r="G611" t="s">
        <v>322</v>
      </c>
      <c r="N611" s="107"/>
    </row>
    <row r="612" spans="1:14" hidden="1" x14ac:dyDescent="0.35">
      <c r="A612" t="s">
        <v>164</v>
      </c>
      <c r="B612" t="s">
        <v>962</v>
      </c>
      <c r="C612" t="s">
        <v>1404</v>
      </c>
      <c r="D612">
        <f t="shared" si="9"/>
        <v>0</v>
      </c>
      <c r="E612" t="s">
        <v>19</v>
      </c>
      <c r="F612" t="s">
        <v>2397</v>
      </c>
      <c r="G612" t="s">
        <v>322</v>
      </c>
      <c r="N612" s="107"/>
    </row>
    <row r="613" spans="1:14" hidden="1" x14ac:dyDescent="0.35">
      <c r="A613" t="s">
        <v>164</v>
      </c>
      <c r="B613" t="s">
        <v>610</v>
      </c>
      <c r="C613" t="s">
        <v>1404</v>
      </c>
      <c r="D613">
        <f t="shared" si="9"/>
        <v>0</v>
      </c>
      <c r="E613" t="s">
        <v>19</v>
      </c>
      <c r="F613" t="s">
        <v>2398</v>
      </c>
      <c r="G613" t="s">
        <v>322</v>
      </c>
      <c r="N613" s="107"/>
    </row>
    <row r="614" spans="1:14" hidden="1" x14ac:dyDescent="0.35">
      <c r="A614" t="s">
        <v>164</v>
      </c>
      <c r="B614" t="s">
        <v>497</v>
      </c>
      <c r="C614" t="s">
        <v>1404</v>
      </c>
      <c r="D614">
        <f t="shared" si="9"/>
        <v>0</v>
      </c>
      <c r="E614" t="s">
        <v>19</v>
      </c>
      <c r="F614" t="s">
        <v>2402</v>
      </c>
      <c r="G614" t="s">
        <v>322</v>
      </c>
      <c r="N614" s="107"/>
    </row>
    <row r="615" spans="1:14" hidden="1" x14ac:dyDescent="0.35">
      <c r="A615" t="s">
        <v>164</v>
      </c>
      <c r="B615" t="s">
        <v>485</v>
      </c>
      <c r="C615" t="s">
        <v>1404</v>
      </c>
      <c r="D615">
        <f t="shared" si="9"/>
        <v>0</v>
      </c>
      <c r="E615" t="s">
        <v>19</v>
      </c>
      <c r="F615" t="s">
        <v>2410</v>
      </c>
      <c r="G615" t="s">
        <v>322</v>
      </c>
      <c r="N615" s="107"/>
    </row>
    <row r="616" spans="1:14" hidden="1" x14ac:dyDescent="0.35">
      <c r="A616" t="s">
        <v>164</v>
      </c>
      <c r="B616" t="s">
        <v>983</v>
      </c>
      <c r="C616" t="s">
        <v>1407</v>
      </c>
      <c r="D616">
        <f t="shared" si="9"/>
        <v>0</v>
      </c>
      <c r="E616" t="s">
        <v>19</v>
      </c>
      <c r="F616" t="s">
        <v>1407</v>
      </c>
      <c r="G616" t="s">
        <v>322</v>
      </c>
      <c r="N616" s="107"/>
    </row>
    <row r="617" spans="1:14" hidden="1" x14ac:dyDescent="0.35">
      <c r="A617" t="s">
        <v>164</v>
      </c>
      <c r="B617" t="s">
        <v>617</v>
      </c>
      <c r="C617" t="s">
        <v>1439</v>
      </c>
      <c r="D617">
        <f t="shared" si="9"/>
        <v>0</v>
      </c>
      <c r="E617" t="s">
        <v>19</v>
      </c>
      <c r="F617" t="s">
        <v>2566</v>
      </c>
      <c r="G617" t="s">
        <v>322</v>
      </c>
      <c r="N617" s="107"/>
    </row>
    <row r="618" spans="1:14" hidden="1" x14ac:dyDescent="0.35">
      <c r="A618" t="s">
        <v>164</v>
      </c>
      <c r="B618" t="s">
        <v>1035</v>
      </c>
      <c r="C618" t="s">
        <v>1443</v>
      </c>
      <c r="D618">
        <f t="shared" si="9"/>
        <v>0</v>
      </c>
      <c r="E618" t="s">
        <v>19</v>
      </c>
      <c r="F618" t="s">
        <v>2576</v>
      </c>
      <c r="G618" t="s">
        <v>322</v>
      </c>
      <c r="N618" s="107"/>
    </row>
    <row r="619" spans="1:14" hidden="1" x14ac:dyDescent="0.35">
      <c r="A619" t="s">
        <v>164</v>
      </c>
      <c r="B619" t="s">
        <v>1038</v>
      </c>
      <c r="C619" t="s">
        <v>1443</v>
      </c>
      <c r="D619">
        <f t="shared" si="9"/>
        <v>0</v>
      </c>
      <c r="E619" t="s">
        <v>19</v>
      </c>
      <c r="F619" t="s">
        <v>2579</v>
      </c>
      <c r="G619" t="s">
        <v>322</v>
      </c>
      <c r="N619" s="107"/>
    </row>
    <row r="620" spans="1:14" hidden="1" x14ac:dyDescent="0.35">
      <c r="A620" t="s">
        <v>164</v>
      </c>
      <c r="B620" t="s">
        <v>1039</v>
      </c>
      <c r="C620" t="s">
        <v>1443</v>
      </c>
      <c r="D620">
        <f t="shared" si="9"/>
        <v>0</v>
      </c>
      <c r="E620" t="s">
        <v>19</v>
      </c>
      <c r="F620" t="s">
        <v>2580</v>
      </c>
      <c r="G620" t="s">
        <v>322</v>
      </c>
      <c r="N620" s="107"/>
    </row>
    <row r="621" spans="1:14" hidden="1" x14ac:dyDescent="0.35">
      <c r="A621" t="s">
        <v>164</v>
      </c>
      <c r="B621" t="s">
        <v>962</v>
      </c>
      <c r="C621" t="s">
        <v>1454</v>
      </c>
      <c r="D621">
        <f t="shared" si="9"/>
        <v>0</v>
      </c>
      <c r="E621" t="s">
        <v>19</v>
      </c>
      <c r="F621" t="s">
        <v>2637</v>
      </c>
      <c r="G621" t="s">
        <v>322</v>
      </c>
      <c r="N621" s="107"/>
    </row>
    <row r="622" spans="1:14" hidden="1" x14ac:dyDescent="0.35">
      <c r="A622" t="s">
        <v>164</v>
      </c>
      <c r="B622" t="s">
        <v>497</v>
      </c>
      <c r="C622" t="s">
        <v>1457</v>
      </c>
      <c r="D622">
        <f t="shared" si="9"/>
        <v>0</v>
      </c>
      <c r="E622" t="s">
        <v>19</v>
      </c>
      <c r="F622" t="s">
        <v>1457</v>
      </c>
      <c r="G622" t="s">
        <v>322</v>
      </c>
      <c r="N622" s="107"/>
    </row>
    <row r="623" spans="1:14" hidden="1" x14ac:dyDescent="0.35">
      <c r="A623" t="s">
        <v>164</v>
      </c>
      <c r="B623" t="s">
        <v>612</v>
      </c>
      <c r="C623" t="s">
        <v>1506</v>
      </c>
      <c r="D623">
        <f t="shared" si="9"/>
        <v>0</v>
      </c>
      <c r="E623" t="s">
        <v>19</v>
      </c>
      <c r="F623" t="s">
        <v>1506</v>
      </c>
      <c r="G623" t="s">
        <v>322</v>
      </c>
      <c r="N623" s="107"/>
    </row>
    <row r="624" spans="1:14" hidden="1" x14ac:dyDescent="0.35">
      <c r="A624" t="s">
        <v>164</v>
      </c>
      <c r="B624" t="s">
        <v>485</v>
      </c>
      <c r="C624" t="s">
        <v>1513</v>
      </c>
      <c r="D624">
        <f t="shared" si="9"/>
        <v>0</v>
      </c>
      <c r="E624" t="s">
        <v>19</v>
      </c>
      <c r="F624" t="s">
        <v>2812</v>
      </c>
      <c r="G624" t="s">
        <v>322</v>
      </c>
      <c r="N624" s="107"/>
    </row>
    <row r="625" spans="1:14" hidden="1" x14ac:dyDescent="0.35">
      <c r="A625" t="s">
        <v>164</v>
      </c>
      <c r="B625" t="s">
        <v>612</v>
      </c>
      <c r="C625" t="s">
        <v>1532</v>
      </c>
      <c r="D625">
        <f t="shared" si="9"/>
        <v>0</v>
      </c>
      <c r="E625" t="s">
        <v>19</v>
      </c>
      <c r="F625" t="s">
        <v>2825</v>
      </c>
      <c r="G625" t="s">
        <v>322</v>
      </c>
      <c r="N625" s="107"/>
    </row>
    <row r="626" spans="1:14" hidden="1" x14ac:dyDescent="0.35">
      <c r="A626" t="s">
        <v>165</v>
      </c>
      <c r="B626" t="s">
        <v>546</v>
      </c>
      <c r="C626" t="s">
        <v>1142</v>
      </c>
      <c r="D626">
        <f t="shared" si="9"/>
        <v>0</v>
      </c>
      <c r="E626" t="s">
        <v>19</v>
      </c>
      <c r="F626" t="s">
        <v>1142</v>
      </c>
      <c r="G626" t="s">
        <v>322</v>
      </c>
      <c r="N626" s="107"/>
    </row>
    <row r="627" spans="1:14" hidden="1" x14ac:dyDescent="0.35">
      <c r="A627" t="s">
        <v>165</v>
      </c>
      <c r="B627" t="s">
        <v>547</v>
      </c>
      <c r="C627" t="s">
        <v>1143</v>
      </c>
      <c r="D627">
        <f t="shared" si="9"/>
        <v>0</v>
      </c>
      <c r="E627" t="s">
        <v>19</v>
      </c>
      <c r="F627" t="s">
        <v>1143</v>
      </c>
      <c r="G627" t="s">
        <v>322</v>
      </c>
      <c r="N627" s="107"/>
    </row>
    <row r="628" spans="1:14" hidden="1" x14ac:dyDescent="0.35">
      <c r="A628" t="s">
        <v>165</v>
      </c>
      <c r="B628" t="s">
        <v>574</v>
      </c>
      <c r="C628" t="s">
        <v>1171</v>
      </c>
      <c r="D628">
        <f t="shared" si="9"/>
        <v>0</v>
      </c>
      <c r="E628" t="s">
        <v>19</v>
      </c>
      <c r="F628" t="s">
        <v>1759</v>
      </c>
      <c r="G628" t="s">
        <v>322</v>
      </c>
      <c r="N628" s="107"/>
    </row>
    <row r="629" spans="1:14" hidden="1" x14ac:dyDescent="0.35">
      <c r="A629" t="s">
        <v>165</v>
      </c>
      <c r="B629" t="s">
        <v>625</v>
      </c>
      <c r="C629" t="s">
        <v>1180</v>
      </c>
      <c r="D629">
        <f t="shared" si="9"/>
        <v>0</v>
      </c>
      <c r="E629" t="s">
        <v>19</v>
      </c>
      <c r="F629" t="s">
        <v>1826</v>
      </c>
      <c r="G629" t="s">
        <v>322</v>
      </c>
      <c r="N629" s="107"/>
    </row>
    <row r="630" spans="1:14" hidden="1" x14ac:dyDescent="0.35">
      <c r="A630" t="s">
        <v>165</v>
      </c>
      <c r="B630" t="s">
        <v>785</v>
      </c>
      <c r="C630" t="s">
        <v>1270</v>
      </c>
      <c r="D630">
        <f t="shared" si="9"/>
        <v>0</v>
      </c>
      <c r="E630" t="s">
        <v>19</v>
      </c>
      <c r="F630" t="s">
        <v>1270</v>
      </c>
      <c r="G630" t="s">
        <v>322</v>
      </c>
      <c r="N630" s="107"/>
    </row>
    <row r="631" spans="1:14" hidden="1" x14ac:dyDescent="0.35">
      <c r="A631" t="s">
        <v>165</v>
      </c>
      <c r="B631" t="s">
        <v>546</v>
      </c>
      <c r="C631" t="s">
        <v>1271</v>
      </c>
      <c r="D631">
        <f t="shared" si="9"/>
        <v>0</v>
      </c>
      <c r="E631" t="s">
        <v>19</v>
      </c>
      <c r="F631" t="s">
        <v>1271</v>
      </c>
      <c r="G631" t="s">
        <v>322</v>
      </c>
      <c r="N631" s="107"/>
    </row>
    <row r="632" spans="1:14" hidden="1" x14ac:dyDescent="0.35">
      <c r="A632" t="s">
        <v>165</v>
      </c>
      <c r="B632" t="s">
        <v>815</v>
      </c>
      <c r="C632" t="s">
        <v>1292</v>
      </c>
      <c r="D632">
        <f t="shared" si="9"/>
        <v>0</v>
      </c>
      <c r="E632" t="s">
        <v>19</v>
      </c>
      <c r="F632" t="s">
        <v>1292</v>
      </c>
      <c r="G632" t="s">
        <v>322</v>
      </c>
      <c r="N632" s="107"/>
    </row>
    <row r="633" spans="1:14" hidden="1" x14ac:dyDescent="0.35">
      <c r="A633" t="s">
        <v>165</v>
      </c>
      <c r="B633" t="s">
        <v>822</v>
      </c>
      <c r="C633" t="s">
        <v>1298</v>
      </c>
      <c r="D633">
        <f t="shared" si="9"/>
        <v>0</v>
      </c>
      <c r="E633" t="s">
        <v>19</v>
      </c>
      <c r="F633" t="s">
        <v>2160</v>
      </c>
      <c r="G633" t="s">
        <v>322</v>
      </c>
      <c r="N633" s="107"/>
    </row>
    <row r="634" spans="1:14" hidden="1" x14ac:dyDescent="0.35">
      <c r="A634" t="s">
        <v>165</v>
      </c>
      <c r="B634" t="s">
        <v>859</v>
      </c>
      <c r="C634" t="s">
        <v>1307</v>
      </c>
      <c r="D634">
        <f t="shared" si="9"/>
        <v>0</v>
      </c>
      <c r="E634" t="s">
        <v>19</v>
      </c>
      <c r="F634" t="s">
        <v>2204</v>
      </c>
      <c r="G634" t="s">
        <v>322</v>
      </c>
      <c r="N634" s="107"/>
    </row>
    <row r="635" spans="1:14" hidden="1" x14ac:dyDescent="0.35">
      <c r="A635" t="s">
        <v>165</v>
      </c>
      <c r="B635" t="s">
        <v>918</v>
      </c>
      <c r="C635" t="s">
        <v>1355</v>
      </c>
      <c r="D635">
        <f t="shared" si="9"/>
        <v>0</v>
      </c>
      <c r="E635" t="s">
        <v>19</v>
      </c>
      <c r="F635" t="s">
        <v>1355</v>
      </c>
      <c r="G635" t="s">
        <v>322</v>
      </c>
      <c r="N635" s="107"/>
    </row>
    <row r="636" spans="1:14" hidden="1" x14ac:dyDescent="0.35">
      <c r="A636" t="s">
        <v>165</v>
      </c>
      <c r="B636" t="s">
        <v>919</v>
      </c>
      <c r="C636" t="s">
        <v>1356</v>
      </c>
      <c r="D636">
        <f t="shared" si="9"/>
        <v>0</v>
      </c>
      <c r="E636" t="s">
        <v>19</v>
      </c>
      <c r="F636" t="s">
        <v>1356</v>
      </c>
      <c r="G636" t="s">
        <v>322</v>
      </c>
      <c r="N636" s="107"/>
    </row>
    <row r="637" spans="1:14" hidden="1" x14ac:dyDescent="0.35">
      <c r="A637" t="s">
        <v>165</v>
      </c>
      <c r="B637" t="s">
        <v>546</v>
      </c>
      <c r="C637" t="s">
        <v>1392</v>
      </c>
      <c r="D637">
        <f t="shared" si="9"/>
        <v>0</v>
      </c>
      <c r="E637" t="s">
        <v>19</v>
      </c>
      <c r="F637" t="s">
        <v>2379</v>
      </c>
      <c r="G637" t="s">
        <v>322</v>
      </c>
      <c r="N637" s="107"/>
    </row>
    <row r="638" spans="1:14" hidden="1" x14ac:dyDescent="0.35">
      <c r="A638" t="s">
        <v>165</v>
      </c>
      <c r="B638" t="s">
        <v>955</v>
      </c>
      <c r="C638" t="s">
        <v>1401</v>
      </c>
      <c r="D638">
        <f t="shared" si="9"/>
        <v>0</v>
      </c>
      <c r="E638" t="s">
        <v>19</v>
      </c>
      <c r="F638" t="s">
        <v>1401</v>
      </c>
      <c r="G638" t="s">
        <v>322</v>
      </c>
      <c r="N638" s="107"/>
    </row>
    <row r="639" spans="1:14" hidden="1" x14ac:dyDescent="0.35">
      <c r="A639" t="s">
        <v>165</v>
      </c>
      <c r="B639" t="s">
        <v>625</v>
      </c>
      <c r="C639" t="s">
        <v>1410</v>
      </c>
      <c r="D639">
        <f t="shared" si="9"/>
        <v>0</v>
      </c>
      <c r="E639" t="s">
        <v>19</v>
      </c>
      <c r="F639" t="s">
        <v>1410</v>
      </c>
      <c r="G639" t="s">
        <v>322</v>
      </c>
      <c r="N639" s="107"/>
    </row>
    <row r="640" spans="1:14" hidden="1" x14ac:dyDescent="0.35">
      <c r="A640" t="s">
        <v>165</v>
      </c>
      <c r="B640" t="s">
        <v>547</v>
      </c>
      <c r="C640" t="s">
        <v>1419</v>
      </c>
      <c r="D640">
        <f t="shared" si="9"/>
        <v>0</v>
      </c>
      <c r="E640" t="s">
        <v>19</v>
      </c>
      <c r="F640" t="s">
        <v>2542</v>
      </c>
      <c r="G640" t="s">
        <v>322</v>
      </c>
      <c r="N640" s="107"/>
    </row>
    <row r="641" spans="1:14" hidden="1" x14ac:dyDescent="0.35">
      <c r="A641" t="s">
        <v>165</v>
      </c>
      <c r="B641" t="s">
        <v>625</v>
      </c>
      <c r="C641" t="s">
        <v>1462</v>
      </c>
      <c r="D641">
        <f t="shared" ref="D641:D704" si="10">SIGN(SUBTOTAL(3,E641))</f>
        <v>0</v>
      </c>
      <c r="E641" t="s">
        <v>19</v>
      </c>
      <c r="F641" t="s">
        <v>2657</v>
      </c>
      <c r="G641" t="s">
        <v>322</v>
      </c>
      <c r="N641" s="107"/>
    </row>
    <row r="642" spans="1:14" hidden="1" x14ac:dyDescent="0.35">
      <c r="A642" t="s">
        <v>165</v>
      </c>
      <c r="B642" t="s">
        <v>918</v>
      </c>
      <c r="C642" t="s">
        <v>1462</v>
      </c>
      <c r="D642">
        <f t="shared" si="10"/>
        <v>0</v>
      </c>
      <c r="E642" t="s">
        <v>19</v>
      </c>
      <c r="F642" t="s">
        <v>2658</v>
      </c>
      <c r="G642" t="s">
        <v>322</v>
      </c>
      <c r="N642" s="107"/>
    </row>
    <row r="643" spans="1:14" hidden="1" x14ac:dyDescent="0.35">
      <c r="A643" t="s">
        <v>165</v>
      </c>
      <c r="B643" t="s">
        <v>546</v>
      </c>
      <c r="C643" t="s">
        <v>1479</v>
      </c>
      <c r="D643">
        <f t="shared" si="10"/>
        <v>0</v>
      </c>
      <c r="E643" t="s">
        <v>19</v>
      </c>
      <c r="F643" t="s">
        <v>2706</v>
      </c>
      <c r="G643" t="s">
        <v>322</v>
      </c>
      <c r="N643" s="107"/>
    </row>
    <row r="644" spans="1:14" hidden="1" x14ac:dyDescent="0.35">
      <c r="A644" t="s">
        <v>165</v>
      </c>
      <c r="B644" t="s">
        <v>785</v>
      </c>
      <c r="C644" t="s">
        <v>1486</v>
      </c>
      <c r="D644">
        <f t="shared" si="10"/>
        <v>0</v>
      </c>
      <c r="E644" t="s">
        <v>19</v>
      </c>
      <c r="F644" t="s">
        <v>1486</v>
      </c>
      <c r="G644" t="s">
        <v>322</v>
      </c>
      <c r="N644" s="107"/>
    </row>
    <row r="645" spans="1:14" hidden="1" x14ac:dyDescent="0.35">
      <c r="A645" t="s">
        <v>165</v>
      </c>
      <c r="B645" t="s">
        <v>785</v>
      </c>
      <c r="C645" t="s">
        <v>1500</v>
      </c>
      <c r="D645">
        <f t="shared" si="10"/>
        <v>0</v>
      </c>
      <c r="E645" t="s">
        <v>19</v>
      </c>
      <c r="F645" t="s">
        <v>2739</v>
      </c>
      <c r="G645" t="s">
        <v>322</v>
      </c>
      <c r="N645" s="107"/>
    </row>
    <row r="646" spans="1:14" hidden="1" x14ac:dyDescent="0.35">
      <c r="A646" t="s">
        <v>165</v>
      </c>
      <c r="B646" t="s">
        <v>822</v>
      </c>
      <c r="C646" t="s">
        <v>1500</v>
      </c>
      <c r="D646">
        <f t="shared" si="10"/>
        <v>0</v>
      </c>
      <c r="E646" t="s">
        <v>19</v>
      </c>
      <c r="F646" t="s">
        <v>2742</v>
      </c>
      <c r="G646" t="s">
        <v>322</v>
      </c>
      <c r="N646" s="107"/>
    </row>
    <row r="647" spans="1:14" hidden="1" x14ac:dyDescent="0.35">
      <c r="A647" t="s">
        <v>165</v>
      </c>
      <c r="B647" t="s">
        <v>785</v>
      </c>
      <c r="C647" t="s">
        <v>1509</v>
      </c>
      <c r="D647">
        <f t="shared" si="10"/>
        <v>0</v>
      </c>
      <c r="E647" t="s">
        <v>19</v>
      </c>
      <c r="F647" t="s">
        <v>2772</v>
      </c>
      <c r="G647" t="s">
        <v>322</v>
      </c>
      <c r="N647" s="107"/>
    </row>
    <row r="648" spans="1:14" hidden="1" x14ac:dyDescent="0.35">
      <c r="A648" t="s">
        <v>165</v>
      </c>
      <c r="B648" t="s">
        <v>625</v>
      </c>
      <c r="C648" t="s">
        <v>1509</v>
      </c>
      <c r="D648">
        <f t="shared" si="10"/>
        <v>0</v>
      </c>
      <c r="E648" t="s">
        <v>19</v>
      </c>
      <c r="F648" t="s">
        <v>2773</v>
      </c>
      <c r="G648" t="s">
        <v>322</v>
      </c>
      <c r="N648" s="107"/>
    </row>
    <row r="649" spans="1:14" hidden="1" x14ac:dyDescent="0.35">
      <c r="A649" t="s">
        <v>165</v>
      </c>
      <c r="B649" t="s">
        <v>546</v>
      </c>
      <c r="C649" t="s">
        <v>1509</v>
      </c>
      <c r="D649">
        <f t="shared" si="10"/>
        <v>0</v>
      </c>
      <c r="E649" t="s">
        <v>19</v>
      </c>
      <c r="F649" t="s">
        <v>2794</v>
      </c>
      <c r="G649" t="s">
        <v>322</v>
      </c>
      <c r="N649" s="107"/>
    </row>
    <row r="650" spans="1:14" hidden="1" x14ac:dyDescent="0.35">
      <c r="A650" t="s">
        <v>165</v>
      </c>
      <c r="B650" t="s">
        <v>1116</v>
      </c>
      <c r="C650" t="s">
        <v>1509</v>
      </c>
      <c r="D650">
        <f t="shared" si="10"/>
        <v>0</v>
      </c>
      <c r="E650" t="s">
        <v>19</v>
      </c>
      <c r="F650" t="s">
        <v>2799</v>
      </c>
      <c r="G650" t="s">
        <v>322</v>
      </c>
      <c r="N650" s="107"/>
    </row>
    <row r="651" spans="1:14" hidden="1" x14ac:dyDescent="0.35">
      <c r="A651" t="s">
        <v>166</v>
      </c>
      <c r="B651" t="s">
        <v>540</v>
      </c>
      <c r="C651" t="s">
        <v>1137</v>
      </c>
      <c r="D651">
        <f t="shared" si="10"/>
        <v>0</v>
      </c>
      <c r="E651" t="s">
        <v>19</v>
      </c>
      <c r="F651" t="s">
        <v>1729</v>
      </c>
      <c r="G651" t="s">
        <v>322</v>
      </c>
      <c r="N651" s="107"/>
    </row>
    <row r="652" spans="1:14" hidden="1" x14ac:dyDescent="0.35">
      <c r="A652" t="s">
        <v>166</v>
      </c>
      <c r="B652" t="s">
        <v>540</v>
      </c>
      <c r="C652" t="s">
        <v>1164</v>
      </c>
      <c r="D652">
        <f t="shared" si="10"/>
        <v>0</v>
      </c>
      <c r="E652" t="s">
        <v>19</v>
      </c>
      <c r="F652" t="s">
        <v>1745</v>
      </c>
      <c r="G652" t="s">
        <v>322</v>
      </c>
      <c r="N652" s="107"/>
    </row>
    <row r="653" spans="1:14" hidden="1" x14ac:dyDescent="0.35">
      <c r="A653" t="s">
        <v>166</v>
      </c>
      <c r="B653" t="s">
        <v>540</v>
      </c>
      <c r="C653" t="s">
        <v>1175</v>
      </c>
      <c r="D653">
        <f t="shared" si="10"/>
        <v>0</v>
      </c>
      <c r="E653" t="s">
        <v>19</v>
      </c>
      <c r="F653" t="s">
        <v>1789</v>
      </c>
      <c r="G653" t="s">
        <v>322</v>
      </c>
      <c r="N653" s="107"/>
    </row>
    <row r="654" spans="1:14" hidden="1" x14ac:dyDescent="0.35">
      <c r="A654" t="s">
        <v>166</v>
      </c>
      <c r="B654" t="s">
        <v>540</v>
      </c>
      <c r="C654" t="s">
        <v>1181</v>
      </c>
      <c r="D654">
        <f t="shared" si="10"/>
        <v>0</v>
      </c>
      <c r="E654" t="s">
        <v>19</v>
      </c>
      <c r="F654" t="s">
        <v>1181</v>
      </c>
      <c r="G654" t="s">
        <v>322</v>
      </c>
      <c r="N654" s="107"/>
    </row>
    <row r="655" spans="1:14" hidden="1" x14ac:dyDescent="0.35">
      <c r="A655" t="s">
        <v>166</v>
      </c>
      <c r="B655" t="s">
        <v>652</v>
      </c>
      <c r="C655" t="s">
        <v>1205</v>
      </c>
      <c r="D655">
        <f t="shared" si="10"/>
        <v>0</v>
      </c>
      <c r="E655" t="s">
        <v>19</v>
      </c>
      <c r="F655" t="s">
        <v>1205</v>
      </c>
      <c r="G655" t="s">
        <v>322</v>
      </c>
      <c r="N655" s="107"/>
    </row>
    <row r="656" spans="1:14" hidden="1" x14ac:dyDescent="0.35">
      <c r="A656" t="s">
        <v>166</v>
      </c>
      <c r="B656" t="s">
        <v>678</v>
      </c>
      <c r="C656" t="s">
        <v>1225</v>
      </c>
      <c r="D656">
        <f t="shared" si="10"/>
        <v>0</v>
      </c>
      <c r="E656" t="s">
        <v>19</v>
      </c>
      <c r="F656" t="s">
        <v>1225</v>
      </c>
      <c r="G656" t="s">
        <v>322</v>
      </c>
      <c r="N656" s="107"/>
    </row>
    <row r="657" spans="1:14" hidden="1" x14ac:dyDescent="0.35">
      <c r="A657" t="s">
        <v>166</v>
      </c>
      <c r="B657" t="s">
        <v>540</v>
      </c>
      <c r="C657" t="s">
        <v>1227</v>
      </c>
      <c r="D657">
        <f t="shared" si="10"/>
        <v>0</v>
      </c>
      <c r="E657" t="s">
        <v>19</v>
      </c>
      <c r="F657" t="s">
        <v>1897</v>
      </c>
      <c r="G657" t="s">
        <v>322</v>
      </c>
      <c r="N657" s="107"/>
    </row>
    <row r="658" spans="1:14" hidden="1" x14ac:dyDescent="0.35">
      <c r="A658" t="s">
        <v>166</v>
      </c>
      <c r="B658" t="s">
        <v>701</v>
      </c>
      <c r="C658" t="s">
        <v>1227</v>
      </c>
      <c r="D658">
        <f t="shared" si="10"/>
        <v>0</v>
      </c>
      <c r="E658" t="s">
        <v>19</v>
      </c>
      <c r="F658" t="s">
        <v>1933</v>
      </c>
      <c r="G658" t="s">
        <v>322</v>
      </c>
      <c r="N658" s="107"/>
    </row>
    <row r="659" spans="1:14" hidden="1" x14ac:dyDescent="0.35">
      <c r="A659" t="s">
        <v>166</v>
      </c>
      <c r="B659" t="s">
        <v>732</v>
      </c>
      <c r="C659" t="s">
        <v>1233</v>
      </c>
      <c r="D659">
        <f t="shared" si="10"/>
        <v>0</v>
      </c>
      <c r="E659" t="s">
        <v>19</v>
      </c>
      <c r="F659" t="s">
        <v>2008</v>
      </c>
      <c r="G659" t="s">
        <v>322</v>
      </c>
      <c r="N659" s="107"/>
    </row>
    <row r="660" spans="1:14" hidden="1" x14ac:dyDescent="0.35">
      <c r="A660" t="s">
        <v>166</v>
      </c>
      <c r="B660" t="s">
        <v>763</v>
      </c>
      <c r="C660" t="s">
        <v>1251</v>
      </c>
      <c r="D660">
        <f t="shared" si="10"/>
        <v>0</v>
      </c>
      <c r="E660" t="s">
        <v>19</v>
      </c>
      <c r="F660" t="s">
        <v>2055</v>
      </c>
      <c r="G660" t="s">
        <v>322</v>
      </c>
      <c r="N660" s="107"/>
    </row>
    <row r="661" spans="1:14" hidden="1" x14ac:dyDescent="0.35">
      <c r="A661" t="s">
        <v>166</v>
      </c>
      <c r="B661" t="s">
        <v>771</v>
      </c>
      <c r="C661" t="s">
        <v>1257</v>
      </c>
      <c r="D661">
        <f t="shared" si="10"/>
        <v>0</v>
      </c>
      <c r="E661" t="s">
        <v>19</v>
      </c>
      <c r="F661" t="s">
        <v>2068</v>
      </c>
      <c r="G661" t="s">
        <v>322</v>
      </c>
      <c r="N661" s="107"/>
    </row>
    <row r="662" spans="1:14" hidden="1" x14ac:dyDescent="0.35">
      <c r="A662" t="s">
        <v>166</v>
      </c>
      <c r="B662" t="s">
        <v>784</v>
      </c>
      <c r="C662" t="s">
        <v>1269</v>
      </c>
      <c r="D662">
        <f t="shared" si="10"/>
        <v>0</v>
      </c>
      <c r="E662" t="s">
        <v>19</v>
      </c>
      <c r="F662" t="s">
        <v>1269</v>
      </c>
      <c r="G662" t="s">
        <v>322</v>
      </c>
      <c r="N662" s="107"/>
    </row>
    <row r="663" spans="1:14" hidden="1" x14ac:dyDescent="0.35">
      <c r="A663" t="s">
        <v>166</v>
      </c>
      <c r="B663" t="s">
        <v>849</v>
      </c>
      <c r="C663" t="s">
        <v>1302</v>
      </c>
      <c r="D663">
        <f t="shared" si="10"/>
        <v>0</v>
      </c>
      <c r="E663" t="s">
        <v>19</v>
      </c>
      <c r="F663" t="s">
        <v>2191</v>
      </c>
      <c r="G663" t="s">
        <v>322</v>
      </c>
      <c r="N663" s="107"/>
    </row>
    <row r="664" spans="1:14" hidden="1" x14ac:dyDescent="0.35">
      <c r="A664" t="s">
        <v>166</v>
      </c>
      <c r="B664" t="s">
        <v>851</v>
      </c>
      <c r="C664" t="s">
        <v>1302</v>
      </c>
      <c r="D664">
        <f t="shared" si="10"/>
        <v>0</v>
      </c>
      <c r="E664" t="s">
        <v>19</v>
      </c>
      <c r="F664" t="s">
        <v>2193</v>
      </c>
      <c r="G664" t="s">
        <v>322</v>
      </c>
      <c r="N664" s="107"/>
    </row>
    <row r="665" spans="1:14" hidden="1" x14ac:dyDescent="0.35">
      <c r="A665" t="s">
        <v>166</v>
      </c>
      <c r="B665" t="s">
        <v>861</v>
      </c>
      <c r="C665" t="s">
        <v>1307</v>
      </c>
      <c r="D665">
        <f t="shared" si="10"/>
        <v>0</v>
      </c>
      <c r="E665" t="s">
        <v>19</v>
      </c>
      <c r="F665" t="s">
        <v>2206</v>
      </c>
      <c r="G665" t="s">
        <v>322</v>
      </c>
      <c r="N665" s="107"/>
    </row>
    <row r="666" spans="1:14" hidden="1" x14ac:dyDescent="0.35">
      <c r="A666" t="s">
        <v>166</v>
      </c>
      <c r="B666" t="s">
        <v>897</v>
      </c>
      <c r="C666" t="s">
        <v>1335</v>
      </c>
      <c r="D666">
        <f t="shared" si="10"/>
        <v>0</v>
      </c>
      <c r="E666" t="s">
        <v>19</v>
      </c>
      <c r="F666" t="s">
        <v>2255</v>
      </c>
      <c r="G666" t="s">
        <v>322</v>
      </c>
      <c r="N666" s="107"/>
    </row>
    <row r="667" spans="1:14" hidden="1" x14ac:dyDescent="0.35">
      <c r="A667" t="s">
        <v>166</v>
      </c>
      <c r="B667" t="s">
        <v>540</v>
      </c>
      <c r="C667" t="s">
        <v>1379</v>
      </c>
      <c r="D667">
        <f t="shared" si="10"/>
        <v>0</v>
      </c>
      <c r="E667" t="s">
        <v>19</v>
      </c>
      <c r="F667" t="s">
        <v>2331</v>
      </c>
      <c r="G667" t="s">
        <v>322</v>
      </c>
      <c r="N667" s="107"/>
    </row>
    <row r="668" spans="1:14" hidden="1" x14ac:dyDescent="0.35">
      <c r="A668" t="s">
        <v>166</v>
      </c>
      <c r="B668" t="s">
        <v>516</v>
      </c>
      <c r="C668" t="s">
        <v>1404</v>
      </c>
      <c r="D668">
        <f t="shared" si="10"/>
        <v>0</v>
      </c>
      <c r="E668" t="s">
        <v>19</v>
      </c>
      <c r="F668" t="s">
        <v>2414</v>
      </c>
      <c r="G668" t="s">
        <v>322</v>
      </c>
      <c r="N668" s="107"/>
    </row>
    <row r="669" spans="1:14" hidden="1" x14ac:dyDescent="0.35">
      <c r="A669" t="s">
        <v>166</v>
      </c>
      <c r="B669" t="s">
        <v>973</v>
      </c>
      <c r="C669" t="s">
        <v>1404</v>
      </c>
      <c r="D669">
        <f t="shared" si="10"/>
        <v>0</v>
      </c>
      <c r="E669" t="s">
        <v>19</v>
      </c>
      <c r="F669" t="s">
        <v>2415</v>
      </c>
      <c r="G669" t="s">
        <v>322</v>
      </c>
      <c r="N669" s="107"/>
    </row>
    <row r="670" spans="1:14" hidden="1" x14ac:dyDescent="0.35">
      <c r="A670" t="s">
        <v>166</v>
      </c>
      <c r="B670" t="s">
        <v>975</v>
      </c>
      <c r="C670" t="s">
        <v>1404</v>
      </c>
      <c r="D670">
        <f t="shared" si="10"/>
        <v>0</v>
      </c>
      <c r="E670" t="s">
        <v>19</v>
      </c>
      <c r="F670" t="s">
        <v>2417</v>
      </c>
      <c r="G670" t="s">
        <v>322</v>
      </c>
      <c r="N670" s="107"/>
    </row>
    <row r="671" spans="1:14" hidden="1" x14ac:dyDescent="0.35">
      <c r="A671" t="s">
        <v>166</v>
      </c>
      <c r="B671" t="s">
        <v>976</v>
      </c>
      <c r="C671" t="s">
        <v>1404</v>
      </c>
      <c r="D671">
        <f t="shared" si="10"/>
        <v>0</v>
      </c>
      <c r="E671" t="s">
        <v>19</v>
      </c>
      <c r="F671" t="s">
        <v>2419</v>
      </c>
      <c r="G671" t="s">
        <v>322</v>
      </c>
      <c r="N671" s="107"/>
    </row>
    <row r="672" spans="1:14" hidden="1" x14ac:dyDescent="0.35">
      <c r="A672" t="s">
        <v>166</v>
      </c>
      <c r="B672" t="s">
        <v>763</v>
      </c>
      <c r="C672" t="s">
        <v>1404</v>
      </c>
      <c r="D672">
        <f t="shared" si="10"/>
        <v>0</v>
      </c>
      <c r="E672" t="s">
        <v>19</v>
      </c>
      <c r="F672" t="s">
        <v>2441</v>
      </c>
      <c r="G672" t="s">
        <v>322</v>
      </c>
      <c r="N672" s="107"/>
    </row>
    <row r="673" spans="1:14" hidden="1" x14ac:dyDescent="0.35">
      <c r="A673" t="s">
        <v>166</v>
      </c>
      <c r="B673" t="s">
        <v>1029</v>
      </c>
      <c r="C673" t="s">
        <v>1439</v>
      </c>
      <c r="D673">
        <f t="shared" si="10"/>
        <v>0</v>
      </c>
      <c r="E673" t="s">
        <v>19</v>
      </c>
      <c r="F673" t="s">
        <v>2563</v>
      </c>
      <c r="G673" t="s">
        <v>322</v>
      </c>
      <c r="N673" s="107"/>
    </row>
    <row r="674" spans="1:14" hidden="1" x14ac:dyDescent="0.35">
      <c r="A674" t="s">
        <v>166</v>
      </c>
      <c r="B674" t="s">
        <v>540</v>
      </c>
      <c r="C674" t="s">
        <v>1495</v>
      </c>
      <c r="D674">
        <f t="shared" si="10"/>
        <v>0</v>
      </c>
      <c r="E674" t="s">
        <v>19</v>
      </c>
      <c r="F674" t="s">
        <v>1495</v>
      </c>
      <c r="G674" t="s">
        <v>322</v>
      </c>
      <c r="N674" s="107"/>
    </row>
    <row r="675" spans="1:14" hidden="1" x14ac:dyDescent="0.35">
      <c r="A675" t="s">
        <v>166</v>
      </c>
      <c r="B675" t="s">
        <v>1097</v>
      </c>
      <c r="C675" t="s">
        <v>1496</v>
      </c>
      <c r="D675">
        <f t="shared" si="10"/>
        <v>0</v>
      </c>
      <c r="E675" t="s">
        <v>19</v>
      </c>
      <c r="F675" t="s">
        <v>1496</v>
      </c>
      <c r="G675" t="s">
        <v>322</v>
      </c>
      <c r="N675" s="107"/>
    </row>
    <row r="676" spans="1:14" hidden="1" x14ac:dyDescent="0.35">
      <c r="A676" t="s">
        <v>166</v>
      </c>
      <c r="B676" t="s">
        <v>1114</v>
      </c>
      <c r="C676" t="s">
        <v>1509</v>
      </c>
      <c r="D676">
        <f t="shared" si="10"/>
        <v>0</v>
      </c>
      <c r="E676" t="s">
        <v>19</v>
      </c>
      <c r="F676" t="s">
        <v>2791</v>
      </c>
      <c r="G676" t="s">
        <v>322</v>
      </c>
      <c r="N676" s="107"/>
    </row>
    <row r="677" spans="1:14" hidden="1" x14ac:dyDescent="0.35">
      <c r="A677" t="s">
        <v>166</v>
      </c>
      <c r="B677" t="s">
        <v>486</v>
      </c>
      <c r="C677" t="s">
        <v>1520</v>
      </c>
      <c r="D677">
        <f t="shared" si="10"/>
        <v>0</v>
      </c>
      <c r="E677" t="s">
        <v>19</v>
      </c>
      <c r="F677" t="s">
        <v>1520</v>
      </c>
      <c r="G677" t="s">
        <v>322</v>
      </c>
      <c r="N677" s="107"/>
    </row>
    <row r="678" spans="1:14" hidden="1" x14ac:dyDescent="0.35">
      <c r="A678" t="s">
        <v>167</v>
      </c>
      <c r="B678" t="s">
        <v>736</v>
      </c>
      <c r="C678" t="s">
        <v>1238</v>
      </c>
      <c r="D678">
        <f t="shared" si="10"/>
        <v>0</v>
      </c>
      <c r="E678" t="s">
        <v>19</v>
      </c>
      <c r="F678" t="s">
        <v>2016</v>
      </c>
      <c r="G678" t="s">
        <v>322</v>
      </c>
      <c r="N678" s="107"/>
    </row>
    <row r="679" spans="1:14" hidden="1" x14ac:dyDescent="0.35">
      <c r="A679" t="s">
        <v>167</v>
      </c>
      <c r="B679" t="s">
        <v>737</v>
      </c>
      <c r="C679" t="s">
        <v>1239</v>
      </c>
      <c r="D679">
        <f t="shared" si="10"/>
        <v>0</v>
      </c>
      <c r="E679" t="s">
        <v>19</v>
      </c>
      <c r="F679" t="s">
        <v>2017</v>
      </c>
      <c r="G679" t="s">
        <v>322</v>
      </c>
      <c r="N679" s="107"/>
    </row>
    <row r="680" spans="1:14" hidden="1" x14ac:dyDescent="0.35">
      <c r="A680" t="s">
        <v>167</v>
      </c>
      <c r="B680" t="s">
        <v>738</v>
      </c>
      <c r="C680" t="s">
        <v>1239</v>
      </c>
      <c r="D680">
        <f t="shared" si="10"/>
        <v>0</v>
      </c>
      <c r="E680" t="s">
        <v>19</v>
      </c>
      <c r="F680" t="s">
        <v>2018</v>
      </c>
      <c r="G680" t="s">
        <v>322</v>
      </c>
      <c r="N680" s="107"/>
    </row>
    <row r="681" spans="1:14" hidden="1" x14ac:dyDescent="0.35">
      <c r="A681" t="s">
        <v>167</v>
      </c>
      <c r="B681" t="s">
        <v>488</v>
      </c>
      <c r="C681" t="s">
        <v>1251</v>
      </c>
      <c r="D681">
        <f t="shared" si="10"/>
        <v>0</v>
      </c>
      <c r="E681" t="s">
        <v>19</v>
      </c>
      <c r="F681" t="s">
        <v>2042</v>
      </c>
      <c r="G681" t="s">
        <v>322</v>
      </c>
      <c r="N681" s="107"/>
    </row>
    <row r="682" spans="1:14" hidden="1" x14ac:dyDescent="0.35">
      <c r="A682" t="s">
        <v>167</v>
      </c>
      <c r="B682" t="s">
        <v>756</v>
      </c>
      <c r="C682" t="s">
        <v>1251</v>
      </c>
      <c r="D682">
        <f t="shared" si="10"/>
        <v>0</v>
      </c>
      <c r="E682" t="s">
        <v>19</v>
      </c>
      <c r="F682" t="s">
        <v>2043</v>
      </c>
      <c r="G682" t="s">
        <v>322</v>
      </c>
      <c r="N682" s="107"/>
    </row>
    <row r="683" spans="1:14" hidden="1" x14ac:dyDescent="0.35">
      <c r="A683" t="s">
        <v>167</v>
      </c>
      <c r="B683" t="s">
        <v>757</v>
      </c>
      <c r="C683" t="s">
        <v>1251</v>
      </c>
      <c r="D683">
        <f t="shared" si="10"/>
        <v>0</v>
      </c>
      <c r="E683" t="s">
        <v>19</v>
      </c>
      <c r="F683" t="s">
        <v>2044</v>
      </c>
      <c r="G683" t="s">
        <v>322</v>
      </c>
      <c r="N683" s="107"/>
    </row>
    <row r="684" spans="1:14" hidden="1" x14ac:dyDescent="0.35">
      <c r="A684" t="s">
        <v>167</v>
      </c>
      <c r="B684" t="s">
        <v>758</v>
      </c>
      <c r="C684" t="s">
        <v>1251</v>
      </c>
      <c r="D684">
        <f t="shared" si="10"/>
        <v>0</v>
      </c>
      <c r="E684" t="s">
        <v>19</v>
      </c>
      <c r="F684" t="s">
        <v>2045</v>
      </c>
      <c r="G684" t="s">
        <v>322</v>
      </c>
      <c r="N684" s="107"/>
    </row>
    <row r="685" spans="1:14" hidden="1" x14ac:dyDescent="0.35">
      <c r="A685" t="s">
        <v>167</v>
      </c>
      <c r="B685" t="s">
        <v>757</v>
      </c>
      <c r="C685" t="s">
        <v>1314</v>
      </c>
      <c r="D685">
        <f t="shared" si="10"/>
        <v>0</v>
      </c>
      <c r="E685" t="s">
        <v>19</v>
      </c>
      <c r="F685" t="s">
        <v>2213</v>
      </c>
      <c r="G685" t="s">
        <v>322</v>
      </c>
      <c r="N685" s="107"/>
    </row>
    <row r="686" spans="1:14" hidden="1" x14ac:dyDescent="0.35">
      <c r="A686" t="s">
        <v>167</v>
      </c>
      <c r="B686" t="s">
        <v>757</v>
      </c>
      <c r="C686" t="s">
        <v>1359</v>
      </c>
      <c r="D686">
        <f t="shared" si="10"/>
        <v>0</v>
      </c>
      <c r="E686" t="s">
        <v>19</v>
      </c>
      <c r="F686" t="s">
        <v>2302</v>
      </c>
      <c r="G686" t="s">
        <v>322</v>
      </c>
      <c r="N686" s="107"/>
    </row>
    <row r="687" spans="1:14" hidden="1" x14ac:dyDescent="0.35">
      <c r="A687" t="s">
        <v>167</v>
      </c>
      <c r="B687" t="s">
        <v>1056</v>
      </c>
      <c r="C687" t="s">
        <v>1448</v>
      </c>
      <c r="D687">
        <f t="shared" si="10"/>
        <v>0</v>
      </c>
      <c r="E687" t="s">
        <v>19</v>
      </c>
      <c r="F687" t="s">
        <v>1448</v>
      </c>
      <c r="G687" t="s">
        <v>322</v>
      </c>
      <c r="N687" s="107"/>
    </row>
    <row r="688" spans="1:14" hidden="1" x14ac:dyDescent="0.35">
      <c r="A688" t="s">
        <v>167</v>
      </c>
      <c r="B688" t="s">
        <v>737</v>
      </c>
      <c r="C688" t="s">
        <v>1451</v>
      </c>
      <c r="D688">
        <f t="shared" si="10"/>
        <v>0</v>
      </c>
      <c r="E688" t="s">
        <v>19</v>
      </c>
      <c r="F688" t="s">
        <v>2632</v>
      </c>
      <c r="G688" t="s">
        <v>322</v>
      </c>
      <c r="N688" s="107"/>
    </row>
    <row r="689" spans="1:14" hidden="1" x14ac:dyDescent="0.35">
      <c r="A689" t="s">
        <v>167</v>
      </c>
      <c r="B689" t="s">
        <v>488</v>
      </c>
      <c r="C689" t="s">
        <v>1451</v>
      </c>
      <c r="D689">
        <f t="shared" si="10"/>
        <v>0</v>
      </c>
      <c r="E689" t="s">
        <v>19</v>
      </c>
      <c r="F689" t="s">
        <v>2635</v>
      </c>
      <c r="G689" t="s">
        <v>322</v>
      </c>
      <c r="N689" s="107"/>
    </row>
    <row r="690" spans="1:14" hidden="1" x14ac:dyDescent="0.35">
      <c r="A690" t="s">
        <v>167</v>
      </c>
      <c r="B690" t="s">
        <v>758</v>
      </c>
      <c r="C690" t="s">
        <v>1451</v>
      </c>
      <c r="D690">
        <f t="shared" si="10"/>
        <v>0</v>
      </c>
      <c r="E690" t="s">
        <v>19</v>
      </c>
      <c r="F690" t="s">
        <v>2636</v>
      </c>
      <c r="G690" t="s">
        <v>322</v>
      </c>
      <c r="N690" s="107"/>
    </row>
    <row r="691" spans="1:14" hidden="1" x14ac:dyDescent="0.35">
      <c r="A691" t="s">
        <v>168</v>
      </c>
      <c r="B691" t="s">
        <v>593</v>
      </c>
      <c r="C691" t="s">
        <v>1175</v>
      </c>
      <c r="D691">
        <f t="shared" si="10"/>
        <v>0</v>
      </c>
      <c r="E691" t="s">
        <v>19</v>
      </c>
      <c r="F691" t="s">
        <v>1782</v>
      </c>
      <c r="G691" t="s">
        <v>322</v>
      </c>
      <c r="N691" s="107"/>
    </row>
    <row r="692" spans="1:14" hidden="1" x14ac:dyDescent="0.35">
      <c r="A692" t="s">
        <v>168</v>
      </c>
      <c r="B692" t="s">
        <v>489</v>
      </c>
      <c r="C692" t="s">
        <v>1178</v>
      </c>
      <c r="D692">
        <f t="shared" si="10"/>
        <v>0</v>
      </c>
      <c r="E692" t="s">
        <v>19</v>
      </c>
      <c r="F692" t="s">
        <v>1812</v>
      </c>
      <c r="G692" t="s">
        <v>322</v>
      </c>
      <c r="N692" s="107"/>
    </row>
    <row r="693" spans="1:14" hidden="1" x14ac:dyDescent="0.35">
      <c r="A693" t="s">
        <v>168</v>
      </c>
      <c r="B693" t="s">
        <v>761</v>
      </c>
      <c r="C693" t="s">
        <v>1251</v>
      </c>
      <c r="D693">
        <f t="shared" si="10"/>
        <v>0</v>
      </c>
      <c r="E693" t="s">
        <v>19</v>
      </c>
      <c r="F693" t="s">
        <v>2052</v>
      </c>
      <c r="G693" t="s">
        <v>322</v>
      </c>
      <c r="N693" s="107"/>
    </row>
    <row r="694" spans="1:14" hidden="1" x14ac:dyDescent="0.35">
      <c r="A694" t="s">
        <v>168</v>
      </c>
      <c r="B694" t="s">
        <v>841</v>
      </c>
      <c r="C694" t="s">
        <v>1302</v>
      </c>
      <c r="D694">
        <f t="shared" si="10"/>
        <v>0</v>
      </c>
      <c r="E694" t="s">
        <v>19</v>
      </c>
      <c r="F694" t="s">
        <v>2185</v>
      </c>
      <c r="G694" t="s">
        <v>322</v>
      </c>
      <c r="N694" s="107"/>
    </row>
    <row r="695" spans="1:14" hidden="1" x14ac:dyDescent="0.35">
      <c r="A695" t="s">
        <v>168</v>
      </c>
      <c r="B695" t="s">
        <v>915</v>
      </c>
      <c r="C695" t="s">
        <v>1349</v>
      </c>
      <c r="D695">
        <f t="shared" si="10"/>
        <v>0</v>
      </c>
      <c r="E695" t="s">
        <v>19</v>
      </c>
      <c r="F695" t="s">
        <v>2295</v>
      </c>
      <c r="G695" t="s">
        <v>322</v>
      </c>
      <c r="N695" s="107"/>
    </row>
    <row r="696" spans="1:14" hidden="1" x14ac:dyDescent="0.35">
      <c r="A696" t="s">
        <v>168</v>
      </c>
      <c r="B696" t="s">
        <v>959</v>
      </c>
      <c r="C696" t="s">
        <v>1404</v>
      </c>
      <c r="D696">
        <f t="shared" si="10"/>
        <v>0</v>
      </c>
      <c r="E696" t="s">
        <v>19</v>
      </c>
      <c r="F696" t="s">
        <v>2390</v>
      </c>
      <c r="G696" t="s">
        <v>322</v>
      </c>
      <c r="N696" s="107"/>
    </row>
    <row r="697" spans="1:14" hidden="1" x14ac:dyDescent="0.35">
      <c r="A697" t="s">
        <v>168</v>
      </c>
      <c r="B697" t="s">
        <v>961</v>
      </c>
      <c r="C697" t="s">
        <v>1404</v>
      </c>
      <c r="D697">
        <f t="shared" si="10"/>
        <v>0</v>
      </c>
      <c r="E697" t="s">
        <v>19</v>
      </c>
      <c r="F697" t="s">
        <v>2396</v>
      </c>
      <c r="G697" t="s">
        <v>322</v>
      </c>
      <c r="N697" s="107"/>
    </row>
    <row r="698" spans="1:14" hidden="1" x14ac:dyDescent="0.35">
      <c r="A698" t="s">
        <v>168</v>
      </c>
      <c r="B698" t="s">
        <v>489</v>
      </c>
      <c r="C698" t="s">
        <v>1404</v>
      </c>
      <c r="D698">
        <f t="shared" si="10"/>
        <v>0</v>
      </c>
      <c r="E698" t="s">
        <v>19</v>
      </c>
      <c r="F698" t="s">
        <v>2401</v>
      </c>
      <c r="G698" t="s">
        <v>322</v>
      </c>
      <c r="N698" s="107"/>
    </row>
    <row r="699" spans="1:14" hidden="1" x14ac:dyDescent="0.35">
      <c r="A699" t="s">
        <v>168</v>
      </c>
      <c r="B699" t="s">
        <v>972</v>
      </c>
      <c r="C699" t="s">
        <v>1404</v>
      </c>
      <c r="D699">
        <f t="shared" si="10"/>
        <v>0</v>
      </c>
      <c r="E699" t="s">
        <v>19</v>
      </c>
      <c r="F699" t="s">
        <v>2413</v>
      </c>
      <c r="G699" t="s">
        <v>322</v>
      </c>
      <c r="N699" s="107"/>
    </row>
    <row r="700" spans="1:14" hidden="1" x14ac:dyDescent="0.35">
      <c r="A700" t="s">
        <v>168</v>
      </c>
      <c r="B700" t="s">
        <v>1036</v>
      </c>
      <c r="C700" t="s">
        <v>1443</v>
      </c>
      <c r="D700">
        <f t="shared" si="10"/>
        <v>0</v>
      </c>
      <c r="E700" t="s">
        <v>19</v>
      </c>
      <c r="F700" t="s">
        <v>2577</v>
      </c>
      <c r="G700" t="s">
        <v>322</v>
      </c>
      <c r="N700" s="107"/>
    </row>
    <row r="701" spans="1:14" hidden="1" x14ac:dyDescent="0.35">
      <c r="A701" t="s">
        <v>168</v>
      </c>
      <c r="B701" t="s">
        <v>506</v>
      </c>
      <c r="C701" t="s">
        <v>1443</v>
      </c>
      <c r="D701">
        <f t="shared" si="10"/>
        <v>0</v>
      </c>
      <c r="E701" t="s">
        <v>19</v>
      </c>
      <c r="F701" t="s">
        <v>2581</v>
      </c>
      <c r="G701" t="s">
        <v>322</v>
      </c>
      <c r="N701" s="107"/>
    </row>
    <row r="702" spans="1:14" hidden="1" x14ac:dyDescent="0.35">
      <c r="A702" t="s">
        <v>168</v>
      </c>
      <c r="B702" t="s">
        <v>1040</v>
      </c>
      <c r="C702" t="s">
        <v>1443</v>
      </c>
      <c r="D702">
        <f t="shared" si="10"/>
        <v>0</v>
      </c>
      <c r="E702" t="s">
        <v>19</v>
      </c>
      <c r="F702" t="s">
        <v>2582</v>
      </c>
      <c r="G702" t="s">
        <v>322</v>
      </c>
      <c r="N702" s="107"/>
    </row>
    <row r="703" spans="1:14" hidden="1" x14ac:dyDescent="0.35">
      <c r="A703" t="s">
        <v>168</v>
      </c>
      <c r="B703" t="s">
        <v>531</v>
      </c>
      <c r="C703" t="s">
        <v>1443</v>
      </c>
      <c r="D703">
        <f t="shared" si="10"/>
        <v>0</v>
      </c>
      <c r="E703" t="s">
        <v>19</v>
      </c>
      <c r="F703" t="s">
        <v>2587</v>
      </c>
      <c r="G703" t="s">
        <v>322</v>
      </c>
      <c r="N703" s="107"/>
    </row>
    <row r="704" spans="1:14" hidden="1" x14ac:dyDescent="0.35">
      <c r="A704" t="s">
        <v>168</v>
      </c>
      <c r="B704" t="s">
        <v>1050</v>
      </c>
      <c r="C704" t="s">
        <v>1443</v>
      </c>
      <c r="D704">
        <f t="shared" si="10"/>
        <v>0</v>
      </c>
      <c r="E704" t="s">
        <v>19</v>
      </c>
      <c r="F704" t="s">
        <v>2604</v>
      </c>
      <c r="G704" t="s">
        <v>322</v>
      </c>
      <c r="N704" s="107"/>
    </row>
    <row r="705" spans="1:14" hidden="1" x14ac:dyDescent="0.35">
      <c r="A705" t="s">
        <v>168</v>
      </c>
      <c r="B705" t="s">
        <v>1057</v>
      </c>
      <c r="C705" t="s">
        <v>1449</v>
      </c>
      <c r="D705">
        <f t="shared" ref="D705:D768" si="11">SIGN(SUBTOTAL(3,E705))</f>
        <v>0</v>
      </c>
      <c r="E705" t="s">
        <v>19</v>
      </c>
      <c r="F705" t="s">
        <v>2623</v>
      </c>
      <c r="G705" t="s">
        <v>322</v>
      </c>
      <c r="N705" s="107"/>
    </row>
    <row r="706" spans="1:14" hidden="1" x14ac:dyDescent="0.35">
      <c r="A706" t="s">
        <v>169</v>
      </c>
      <c r="B706" t="s">
        <v>490</v>
      </c>
      <c r="C706" t="s">
        <v>1172</v>
      </c>
      <c r="D706">
        <f t="shared" si="11"/>
        <v>0</v>
      </c>
      <c r="E706" t="s">
        <v>19</v>
      </c>
      <c r="F706" t="s">
        <v>1766</v>
      </c>
      <c r="G706" t="s">
        <v>322</v>
      </c>
      <c r="N706" s="107"/>
    </row>
    <row r="707" spans="1:14" hidden="1" x14ac:dyDescent="0.35">
      <c r="A707" t="s">
        <v>169</v>
      </c>
      <c r="B707" t="s">
        <v>490</v>
      </c>
      <c r="C707" t="s">
        <v>1172</v>
      </c>
      <c r="D707">
        <f t="shared" si="11"/>
        <v>0</v>
      </c>
      <c r="E707" t="s">
        <v>19</v>
      </c>
      <c r="F707" t="s">
        <v>1772</v>
      </c>
      <c r="G707" t="s">
        <v>322</v>
      </c>
      <c r="N707" s="107"/>
    </row>
    <row r="708" spans="1:14" hidden="1" x14ac:dyDescent="0.35">
      <c r="A708" t="s">
        <v>169</v>
      </c>
      <c r="B708" t="s">
        <v>490</v>
      </c>
      <c r="C708" t="s">
        <v>1189</v>
      </c>
      <c r="D708">
        <f t="shared" si="11"/>
        <v>0</v>
      </c>
      <c r="E708" t="s">
        <v>19</v>
      </c>
      <c r="F708" t="s">
        <v>1849</v>
      </c>
      <c r="G708" t="s">
        <v>322</v>
      </c>
      <c r="N708" s="107"/>
    </row>
    <row r="709" spans="1:14" hidden="1" x14ac:dyDescent="0.35">
      <c r="A709" t="s">
        <v>169</v>
      </c>
      <c r="B709" t="s">
        <v>900</v>
      </c>
      <c r="C709" t="s">
        <v>1336</v>
      </c>
      <c r="D709">
        <f t="shared" si="11"/>
        <v>0</v>
      </c>
      <c r="E709" t="s">
        <v>19</v>
      </c>
      <c r="F709" t="s">
        <v>2264</v>
      </c>
      <c r="G709" t="s">
        <v>322</v>
      </c>
      <c r="N709" s="107"/>
    </row>
    <row r="710" spans="1:14" hidden="1" x14ac:dyDescent="0.35">
      <c r="A710" t="s">
        <v>169</v>
      </c>
      <c r="B710" t="s">
        <v>491</v>
      </c>
      <c r="C710" t="s">
        <v>1378</v>
      </c>
      <c r="D710">
        <f t="shared" si="11"/>
        <v>0</v>
      </c>
      <c r="E710" t="s">
        <v>19</v>
      </c>
      <c r="F710" t="s">
        <v>2320</v>
      </c>
      <c r="G710" t="s">
        <v>322</v>
      </c>
      <c r="N710" s="107"/>
    </row>
    <row r="711" spans="1:14" hidden="1" x14ac:dyDescent="0.35">
      <c r="A711" t="s">
        <v>169</v>
      </c>
      <c r="B711" t="s">
        <v>490</v>
      </c>
      <c r="C711" t="s">
        <v>1390</v>
      </c>
      <c r="D711">
        <f t="shared" si="11"/>
        <v>0</v>
      </c>
      <c r="E711" t="s">
        <v>19</v>
      </c>
      <c r="F711" t="s">
        <v>2352</v>
      </c>
      <c r="G711" t="s">
        <v>322</v>
      </c>
      <c r="N711" s="107"/>
    </row>
    <row r="712" spans="1:14" hidden="1" x14ac:dyDescent="0.35">
      <c r="A712" t="s">
        <v>169</v>
      </c>
      <c r="B712" t="s">
        <v>1017</v>
      </c>
      <c r="C712" t="s">
        <v>1416</v>
      </c>
      <c r="D712">
        <f t="shared" si="11"/>
        <v>0</v>
      </c>
      <c r="E712" t="s">
        <v>19</v>
      </c>
      <c r="F712" t="s">
        <v>2537</v>
      </c>
      <c r="G712" t="s">
        <v>322</v>
      </c>
      <c r="N712" s="107"/>
    </row>
    <row r="713" spans="1:14" hidden="1" x14ac:dyDescent="0.35">
      <c r="A713" t="s">
        <v>169</v>
      </c>
      <c r="B713" t="s">
        <v>1063</v>
      </c>
      <c r="C713" t="s">
        <v>1450</v>
      </c>
      <c r="D713">
        <f t="shared" si="11"/>
        <v>0</v>
      </c>
      <c r="E713" t="s">
        <v>19</v>
      </c>
      <c r="F713" t="s">
        <v>1450</v>
      </c>
      <c r="G713" t="s">
        <v>322</v>
      </c>
      <c r="N713" s="107"/>
    </row>
    <row r="714" spans="1:14" hidden="1" x14ac:dyDescent="0.35">
      <c r="A714" t="s">
        <v>169</v>
      </c>
      <c r="B714" t="s">
        <v>490</v>
      </c>
      <c r="C714" t="s">
        <v>1477</v>
      </c>
      <c r="D714">
        <f t="shared" si="11"/>
        <v>0</v>
      </c>
      <c r="E714" t="s">
        <v>19</v>
      </c>
      <c r="F714" t="s">
        <v>1477</v>
      </c>
      <c r="G714" t="s">
        <v>322</v>
      </c>
      <c r="N714" s="107"/>
    </row>
    <row r="715" spans="1:14" hidden="1" x14ac:dyDescent="0.35">
      <c r="A715" t="s">
        <v>170</v>
      </c>
      <c r="B715" t="s">
        <v>672</v>
      </c>
      <c r="C715" t="s">
        <v>1216</v>
      </c>
      <c r="D715">
        <f t="shared" si="11"/>
        <v>0</v>
      </c>
      <c r="E715" t="s">
        <v>19</v>
      </c>
      <c r="F715" t="s">
        <v>1216</v>
      </c>
      <c r="G715" t="s">
        <v>322</v>
      </c>
      <c r="N715" s="107"/>
    </row>
    <row r="716" spans="1:14" hidden="1" x14ac:dyDescent="0.35">
      <c r="A716" t="s">
        <v>170</v>
      </c>
      <c r="B716" t="s">
        <v>672</v>
      </c>
      <c r="C716" t="s">
        <v>1342</v>
      </c>
      <c r="D716">
        <f t="shared" si="11"/>
        <v>0</v>
      </c>
      <c r="E716" t="s">
        <v>19</v>
      </c>
      <c r="F716" t="s">
        <v>2271</v>
      </c>
      <c r="G716" t="s">
        <v>322</v>
      </c>
      <c r="N716" s="107"/>
    </row>
    <row r="717" spans="1:14" hidden="1" x14ac:dyDescent="0.35">
      <c r="A717" t="s">
        <v>170</v>
      </c>
      <c r="B717" t="s">
        <v>672</v>
      </c>
      <c r="C717" t="s">
        <v>1342</v>
      </c>
      <c r="D717">
        <f t="shared" si="11"/>
        <v>0</v>
      </c>
      <c r="E717" t="s">
        <v>19</v>
      </c>
      <c r="F717" t="s">
        <v>2272</v>
      </c>
      <c r="G717" t="s">
        <v>322</v>
      </c>
      <c r="N717" s="107"/>
    </row>
    <row r="718" spans="1:14" hidden="1" x14ac:dyDescent="0.35">
      <c r="A718" t="s">
        <v>170</v>
      </c>
      <c r="B718" t="s">
        <v>931</v>
      </c>
      <c r="C718" t="s">
        <v>1370</v>
      </c>
      <c r="D718">
        <f t="shared" si="11"/>
        <v>0</v>
      </c>
      <c r="E718" t="s">
        <v>19</v>
      </c>
      <c r="F718" t="s">
        <v>2310</v>
      </c>
      <c r="G718" t="s">
        <v>322</v>
      </c>
      <c r="N718" s="107"/>
    </row>
    <row r="719" spans="1:14" hidden="1" x14ac:dyDescent="0.35">
      <c r="A719" t="s">
        <v>171</v>
      </c>
      <c r="B719" t="s">
        <v>492</v>
      </c>
      <c r="C719" t="s">
        <v>1164</v>
      </c>
      <c r="D719">
        <f t="shared" si="11"/>
        <v>0</v>
      </c>
      <c r="E719" t="s">
        <v>19</v>
      </c>
      <c r="F719" t="s">
        <v>1752</v>
      </c>
      <c r="G719" t="s">
        <v>322</v>
      </c>
      <c r="N719" s="107"/>
    </row>
    <row r="720" spans="1:14" hidden="1" x14ac:dyDescent="0.35">
      <c r="A720" t="s">
        <v>171</v>
      </c>
      <c r="B720" t="s">
        <v>592</v>
      </c>
      <c r="C720" t="s">
        <v>1175</v>
      </c>
      <c r="D720">
        <f t="shared" si="11"/>
        <v>0</v>
      </c>
      <c r="E720" t="s">
        <v>19</v>
      </c>
      <c r="F720" t="s">
        <v>1781</v>
      </c>
      <c r="G720" t="s">
        <v>322</v>
      </c>
      <c r="N720" s="107"/>
    </row>
    <row r="721" spans="1:14" hidden="1" x14ac:dyDescent="0.35">
      <c r="A721" t="s">
        <v>171</v>
      </c>
      <c r="B721" t="s">
        <v>627</v>
      </c>
      <c r="C721" t="s">
        <v>1182</v>
      </c>
      <c r="D721">
        <f t="shared" si="11"/>
        <v>0</v>
      </c>
      <c r="E721" t="s">
        <v>19</v>
      </c>
      <c r="F721" t="s">
        <v>1828</v>
      </c>
      <c r="G721" t="s">
        <v>322</v>
      </c>
      <c r="N721" s="107"/>
    </row>
    <row r="722" spans="1:14" hidden="1" x14ac:dyDescent="0.35">
      <c r="A722" t="s">
        <v>171</v>
      </c>
      <c r="B722" t="s">
        <v>629</v>
      </c>
      <c r="C722" t="s">
        <v>1182</v>
      </c>
      <c r="D722">
        <f t="shared" si="11"/>
        <v>0</v>
      </c>
      <c r="E722" t="s">
        <v>19</v>
      </c>
      <c r="F722" t="s">
        <v>1831</v>
      </c>
      <c r="G722" t="s">
        <v>322</v>
      </c>
      <c r="N722" s="107"/>
    </row>
    <row r="723" spans="1:14" hidden="1" x14ac:dyDescent="0.35">
      <c r="A723" t="s">
        <v>171</v>
      </c>
      <c r="B723" t="s">
        <v>714</v>
      </c>
      <c r="C723" t="s">
        <v>1227</v>
      </c>
      <c r="D723">
        <f t="shared" si="11"/>
        <v>0</v>
      </c>
      <c r="E723" t="s">
        <v>19</v>
      </c>
      <c r="F723" t="s">
        <v>1963</v>
      </c>
      <c r="G723" t="s">
        <v>322</v>
      </c>
      <c r="N723" s="107"/>
    </row>
    <row r="724" spans="1:14" hidden="1" x14ac:dyDescent="0.35">
      <c r="A724" t="s">
        <v>171</v>
      </c>
      <c r="B724" t="s">
        <v>714</v>
      </c>
      <c r="C724" t="s">
        <v>1227</v>
      </c>
      <c r="D724">
        <f t="shared" si="11"/>
        <v>0</v>
      </c>
      <c r="E724" t="s">
        <v>19</v>
      </c>
      <c r="F724" t="s">
        <v>1970</v>
      </c>
      <c r="G724" t="s">
        <v>322</v>
      </c>
      <c r="N724" s="107"/>
    </row>
    <row r="725" spans="1:14" hidden="1" x14ac:dyDescent="0.35">
      <c r="A725" t="s">
        <v>171</v>
      </c>
      <c r="B725" t="s">
        <v>715</v>
      </c>
      <c r="C725" t="s">
        <v>1227</v>
      </c>
      <c r="D725">
        <f t="shared" si="11"/>
        <v>0</v>
      </c>
      <c r="E725" t="s">
        <v>19</v>
      </c>
      <c r="F725" t="s">
        <v>1971</v>
      </c>
      <c r="G725" t="s">
        <v>322</v>
      </c>
      <c r="N725" s="107"/>
    </row>
    <row r="726" spans="1:14" hidden="1" x14ac:dyDescent="0.35">
      <c r="A726" t="s">
        <v>171</v>
      </c>
      <c r="B726" t="s">
        <v>716</v>
      </c>
      <c r="C726" t="s">
        <v>1227</v>
      </c>
      <c r="D726">
        <f t="shared" si="11"/>
        <v>0</v>
      </c>
      <c r="E726" t="s">
        <v>19</v>
      </c>
      <c r="F726" t="s">
        <v>1974</v>
      </c>
      <c r="G726" t="s">
        <v>322</v>
      </c>
      <c r="N726" s="107"/>
    </row>
    <row r="727" spans="1:14" hidden="1" x14ac:dyDescent="0.35">
      <c r="A727" t="s">
        <v>171</v>
      </c>
      <c r="B727" t="s">
        <v>718</v>
      </c>
      <c r="C727" t="s">
        <v>1227</v>
      </c>
      <c r="D727">
        <f t="shared" si="11"/>
        <v>0</v>
      </c>
      <c r="E727" t="s">
        <v>19</v>
      </c>
      <c r="F727" t="s">
        <v>1977</v>
      </c>
      <c r="G727" t="s">
        <v>322</v>
      </c>
      <c r="N727" s="107"/>
    </row>
    <row r="728" spans="1:14" hidden="1" x14ac:dyDescent="0.35">
      <c r="A728" t="s">
        <v>171</v>
      </c>
      <c r="B728" t="s">
        <v>721</v>
      </c>
      <c r="C728" t="s">
        <v>1227</v>
      </c>
      <c r="D728">
        <f t="shared" si="11"/>
        <v>0</v>
      </c>
      <c r="E728" t="s">
        <v>19</v>
      </c>
      <c r="F728" t="s">
        <v>1981</v>
      </c>
      <c r="G728" t="s">
        <v>322</v>
      </c>
      <c r="N728" s="107"/>
    </row>
    <row r="729" spans="1:14" hidden="1" x14ac:dyDescent="0.35">
      <c r="A729" t="s">
        <v>171</v>
      </c>
      <c r="B729" t="s">
        <v>627</v>
      </c>
      <c r="C729" t="s">
        <v>1251</v>
      </c>
      <c r="D729">
        <f t="shared" si="11"/>
        <v>0</v>
      </c>
      <c r="E729" t="s">
        <v>19</v>
      </c>
      <c r="F729" t="s">
        <v>2031</v>
      </c>
      <c r="G729" t="s">
        <v>322</v>
      </c>
      <c r="N729" s="107"/>
    </row>
    <row r="730" spans="1:14" hidden="1" x14ac:dyDescent="0.35">
      <c r="A730" t="s">
        <v>171</v>
      </c>
      <c r="B730" t="s">
        <v>627</v>
      </c>
      <c r="C730" t="s">
        <v>1251</v>
      </c>
      <c r="D730">
        <f t="shared" si="11"/>
        <v>0</v>
      </c>
      <c r="E730" t="s">
        <v>19</v>
      </c>
      <c r="F730" t="s">
        <v>2032</v>
      </c>
      <c r="G730" t="s">
        <v>322</v>
      </c>
      <c r="N730" s="107"/>
    </row>
    <row r="731" spans="1:14" hidden="1" x14ac:dyDescent="0.35">
      <c r="A731" t="s">
        <v>171</v>
      </c>
      <c r="B731" t="s">
        <v>721</v>
      </c>
      <c r="C731" t="s">
        <v>1259</v>
      </c>
      <c r="D731">
        <f t="shared" si="11"/>
        <v>0</v>
      </c>
      <c r="E731" t="s">
        <v>19</v>
      </c>
      <c r="F731" t="s">
        <v>1259</v>
      </c>
      <c r="G731" t="s">
        <v>322</v>
      </c>
      <c r="N731" s="107"/>
    </row>
    <row r="732" spans="1:14" hidden="1" x14ac:dyDescent="0.35">
      <c r="A732" t="s">
        <v>171</v>
      </c>
      <c r="B732" t="s">
        <v>786</v>
      </c>
      <c r="C732" t="s">
        <v>1272</v>
      </c>
      <c r="D732">
        <f t="shared" si="11"/>
        <v>0</v>
      </c>
      <c r="E732" t="s">
        <v>19</v>
      </c>
      <c r="F732" t="s">
        <v>2083</v>
      </c>
      <c r="G732" t="s">
        <v>322</v>
      </c>
      <c r="N732" s="107"/>
    </row>
    <row r="733" spans="1:14" hidden="1" x14ac:dyDescent="0.35">
      <c r="A733" t="s">
        <v>171</v>
      </c>
      <c r="B733" t="s">
        <v>786</v>
      </c>
      <c r="C733" t="s">
        <v>1274</v>
      </c>
      <c r="D733">
        <f t="shared" si="11"/>
        <v>0</v>
      </c>
      <c r="E733" t="s">
        <v>19</v>
      </c>
      <c r="F733" t="s">
        <v>1274</v>
      </c>
      <c r="G733" t="s">
        <v>322</v>
      </c>
      <c r="N733" s="107"/>
    </row>
    <row r="734" spans="1:14" hidden="1" x14ac:dyDescent="0.35">
      <c r="A734" t="s">
        <v>171</v>
      </c>
      <c r="B734" t="s">
        <v>805</v>
      </c>
      <c r="C734" t="s">
        <v>1285</v>
      </c>
      <c r="D734">
        <f t="shared" si="11"/>
        <v>0</v>
      </c>
      <c r="E734" t="s">
        <v>19</v>
      </c>
      <c r="F734" t="s">
        <v>2122</v>
      </c>
      <c r="G734" t="s">
        <v>322</v>
      </c>
      <c r="N734" s="107"/>
    </row>
    <row r="735" spans="1:14" hidden="1" x14ac:dyDescent="0.35">
      <c r="A735" t="s">
        <v>171</v>
      </c>
      <c r="B735" t="s">
        <v>492</v>
      </c>
      <c r="C735" t="s">
        <v>1285</v>
      </c>
      <c r="D735">
        <f t="shared" si="11"/>
        <v>0</v>
      </c>
      <c r="E735" t="s">
        <v>19</v>
      </c>
      <c r="F735" t="s">
        <v>2128</v>
      </c>
      <c r="G735" t="s">
        <v>322</v>
      </c>
      <c r="N735" s="107"/>
    </row>
    <row r="736" spans="1:14" hidden="1" x14ac:dyDescent="0.35">
      <c r="A736" t="s">
        <v>171</v>
      </c>
      <c r="B736" t="s">
        <v>805</v>
      </c>
      <c r="C736" t="s">
        <v>1285</v>
      </c>
      <c r="D736">
        <f t="shared" si="11"/>
        <v>0</v>
      </c>
      <c r="E736" t="s">
        <v>19</v>
      </c>
      <c r="F736" t="s">
        <v>2130</v>
      </c>
      <c r="G736" t="s">
        <v>322</v>
      </c>
      <c r="N736" s="107"/>
    </row>
    <row r="737" spans="1:14" hidden="1" x14ac:dyDescent="0.35">
      <c r="A737" t="s">
        <v>171</v>
      </c>
      <c r="B737" t="s">
        <v>786</v>
      </c>
      <c r="C737" t="s">
        <v>1287</v>
      </c>
      <c r="D737">
        <f t="shared" si="11"/>
        <v>0</v>
      </c>
      <c r="E737" t="s">
        <v>19</v>
      </c>
      <c r="F737" t="s">
        <v>2141</v>
      </c>
      <c r="G737" t="s">
        <v>322</v>
      </c>
      <c r="N737" s="107"/>
    </row>
    <row r="738" spans="1:14" hidden="1" x14ac:dyDescent="0.35">
      <c r="A738" t="s">
        <v>171</v>
      </c>
      <c r="B738" t="s">
        <v>627</v>
      </c>
      <c r="C738" t="s">
        <v>1287</v>
      </c>
      <c r="D738">
        <f t="shared" si="11"/>
        <v>0</v>
      </c>
      <c r="E738" t="s">
        <v>19</v>
      </c>
      <c r="F738" t="s">
        <v>2145</v>
      </c>
      <c r="G738" t="s">
        <v>322</v>
      </c>
      <c r="N738" s="107"/>
    </row>
    <row r="739" spans="1:14" hidden="1" x14ac:dyDescent="0.35">
      <c r="A739" t="s">
        <v>171</v>
      </c>
      <c r="B739" t="s">
        <v>786</v>
      </c>
      <c r="C739" t="s">
        <v>1314</v>
      </c>
      <c r="D739">
        <f t="shared" si="11"/>
        <v>0</v>
      </c>
      <c r="E739" t="s">
        <v>19</v>
      </c>
      <c r="F739" t="s">
        <v>2215</v>
      </c>
      <c r="G739" t="s">
        <v>322</v>
      </c>
      <c r="N739" s="107"/>
    </row>
    <row r="740" spans="1:14" hidden="1" x14ac:dyDescent="0.35">
      <c r="A740" t="s">
        <v>171</v>
      </c>
      <c r="B740" t="s">
        <v>874</v>
      </c>
      <c r="C740" t="s">
        <v>1321</v>
      </c>
      <c r="D740">
        <f t="shared" si="11"/>
        <v>0</v>
      </c>
      <c r="E740" t="s">
        <v>19</v>
      </c>
      <c r="F740" t="s">
        <v>1321</v>
      </c>
      <c r="G740" t="s">
        <v>322</v>
      </c>
      <c r="N740" s="107"/>
    </row>
    <row r="741" spans="1:14" hidden="1" x14ac:dyDescent="0.35">
      <c r="A741" t="s">
        <v>171</v>
      </c>
      <c r="B741" t="s">
        <v>718</v>
      </c>
      <c r="C741" t="s">
        <v>1332</v>
      </c>
      <c r="D741">
        <f t="shared" si="11"/>
        <v>0</v>
      </c>
      <c r="E741" t="s">
        <v>19</v>
      </c>
      <c r="F741" t="s">
        <v>2254</v>
      </c>
      <c r="G741" t="s">
        <v>322</v>
      </c>
      <c r="N741" s="107"/>
    </row>
    <row r="742" spans="1:14" hidden="1" x14ac:dyDescent="0.35">
      <c r="A742" t="s">
        <v>171</v>
      </c>
      <c r="B742" t="s">
        <v>718</v>
      </c>
      <c r="C742" t="s">
        <v>1364</v>
      </c>
      <c r="D742">
        <f t="shared" si="11"/>
        <v>0</v>
      </c>
      <c r="E742" t="s">
        <v>19</v>
      </c>
      <c r="F742" t="s">
        <v>1364</v>
      </c>
      <c r="G742" t="s">
        <v>322</v>
      </c>
      <c r="N742" s="107"/>
    </row>
    <row r="743" spans="1:14" hidden="1" x14ac:dyDescent="0.35">
      <c r="A743" t="s">
        <v>171</v>
      </c>
      <c r="B743" t="s">
        <v>714</v>
      </c>
      <c r="C743" t="s">
        <v>1380</v>
      </c>
      <c r="D743">
        <f t="shared" si="11"/>
        <v>0</v>
      </c>
      <c r="E743" t="s">
        <v>19</v>
      </c>
      <c r="F743" t="s">
        <v>2333</v>
      </c>
      <c r="G743" t="s">
        <v>322</v>
      </c>
      <c r="N743" s="107"/>
    </row>
    <row r="744" spans="1:14" hidden="1" x14ac:dyDescent="0.35">
      <c r="A744" t="s">
        <v>171</v>
      </c>
      <c r="B744" t="s">
        <v>944</v>
      </c>
      <c r="C744" t="s">
        <v>1385</v>
      </c>
      <c r="D744">
        <f t="shared" si="11"/>
        <v>0</v>
      </c>
      <c r="E744" t="s">
        <v>19</v>
      </c>
      <c r="F744" t="s">
        <v>2335</v>
      </c>
      <c r="G744" t="s">
        <v>322</v>
      </c>
      <c r="N744" s="107"/>
    </row>
    <row r="745" spans="1:14" hidden="1" x14ac:dyDescent="0.35">
      <c r="A745" t="s">
        <v>171</v>
      </c>
      <c r="B745" t="s">
        <v>944</v>
      </c>
      <c r="C745" t="s">
        <v>1382</v>
      </c>
      <c r="D745">
        <f t="shared" si="11"/>
        <v>0</v>
      </c>
      <c r="E745" t="s">
        <v>19</v>
      </c>
      <c r="F745" t="s">
        <v>2340</v>
      </c>
      <c r="G745" t="s">
        <v>322</v>
      </c>
      <c r="N745" s="107"/>
    </row>
    <row r="746" spans="1:14" hidden="1" x14ac:dyDescent="0.35">
      <c r="A746" t="s">
        <v>171</v>
      </c>
      <c r="B746" t="s">
        <v>627</v>
      </c>
      <c r="C746" t="s">
        <v>1463</v>
      </c>
      <c r="D746">
        <f t="shared" si="11"/>
        <v>0</v>
      </c>
      <c r="E746" t="s">
        <v>19</v>
      </c>
      <c r="F746" t="s">
        <v>2676</v>
      </c>
      <c r="G746" t="s">
        <v>322</v>
      </c>
      <c r="N746" s="107"/>
    </row>
    <row r="747" spans="1:14" hidden="1" x14ac:dyDescent="0.35">
      <c r="A747" t="s">
        <v>171</v>
      </c>
      <c r="B747" t="s">
        <v>1084</v>
      </c>
      <c r="C747" t="s">
        <v>1479</v>
      </c>
      <c r="D747">
        <f t="shared" si="11"/>
        <v>0</v>
      </c>
      <c r="E747" t="s">
        <v>19</v>
      </c>
      <c r="F747" t="s">
        <v>2700</v>
      </c>
      <c r="G747" t="s">
        <v>322</v>
      </c>
      <c r="N747" s="107"/>
    </row>
    <row r="748" spans="1:14" hidden="1" x14ac:dyDescent="0.35">
      <c r="A748" t="s">
        <v>171</v>
      </c>
      <c r="B748" t="s">
        <v>492</v>
      </c>
      <c r="C748" t="s">
        <v>1479</v>
      </c>
      <c r="D748">
        <f t="shared" si="11"/>
        <v>0</v>
      </c>
      <c r="E748" t="s">
        <v>19</v>
      </c>
      <c r="F748" t="s">
        <v>2702</v>
      </c>
      <c r="G748" t="s">
        <v>322</v>
      </c>
      <c r="N748" s="107"/>
    </row>
    <row r="749" spans="1:14" hidden="1" x14ac:dyDescent="0.35">
      <c r="A749" t="s">
        <v>171</v>
      </c>
      <c r="B749" t="s">
        <v>1118</v>
      </c>
      <c r="C749" t="s">
        <v>1513</v>
      </c>
      <c r="D749">
        <f t="shared" si="11"/>
        <v>0</v>
      </c>
      <c r="E749" t="s">
        <v>19</v>
      </c>
      <c r="F749" t="s">
        <v>2808</v>
      </c>
      <c r="G749" t="s">
        <v>322</v>
      </c>
      <c r="N749" s="107"/>
    </row>
    <row r="750" spans="1:14" hidden="1" x14ac:dyDescent="0.35">
      <c r="A750" t="s">
        <v>172</v>
      </c>
      <c r="B750" t="s">
        <v>493</v>
      </c>
      <c r="C750" t="s">
        <v>1254</v>
      </c>
      <c r="D750">
        <f t="shared" si="11"/>
        <v>0</v>
      </c>
      <c r="E750" t="s">
        <v>19</v>
      </c>
      <c r="F750" t="s">
        <v>2059</v>
      </c>
      <c r="G750" t="s">
        <v>322</v>
      </c>
      <c r="N750" s="107"/>
    </row>
    <row r="751" spans="1:14" hidden="1" x14ac:dyDescent="0.35">
      <c r="A751" t="s">
        <v>172</v>
      </c>
      <c r="B751" t="s">
        <v>787</v>
      </c>
      <c r="C751" t="s">
        <v>1276</v>
      </c>
      <c r="D751">
        <f t="shared" si="11"/>
        <v>0</v>
      </c>
      <c r="E751" t="s">
        <v>19</v>
      </c>
      <c r="F751" t="s">
        <v>1276</v>
      </c>
      <c r="G751" t="s">
        <v>322</v>
      </c>
      <c r="N751" s="107"/>
    </row>
    <row r="752" spans="1:14" hidden="1" x14ac:dyDescent="0.35">
      <c r="A752" t="s">
        <v>172</v>
      </c>
      <c r="B752" t="s">
        <v>911</v>
      </c>
      <c r="C752" t="s">
        <v>1349</v>
      </c>
      <c r="D752">
        <f t="shared" si="11"/>
        <v>0</v>
      </c>
      <c r="E752" t="s">
        <v>19</v>
      </c>
      <c r="F752" t="s">
        <v>2289</v>
      </c>
      <c r="G752" t="s">
        <v>322</v>
      </c>
      <c r="N752" s="107"/>
    </row>
    <row r="753" spans="1:14" hidden="1" x14ac:dyDescent="0.35">
      <c r="A753" t="s">
        <v>172</v>
      </c>
      <c r="B753" t="s">
        <v>913</v>
      </c>
      <c r="C753" t="s">
        <v>1350</v>
      </c>
      <c r="D753">
        <f t="shared" si="11"/>
        <v>0</v>
      </c>
      <c r="E753" t="s">
        <v>19</v>
      </c>
      <c r="F753" t="s">
        <v>2292</v>
      </c>
      <c r="G753" t="s">
        <v>322</v>
      </c>
      <c r="N753" s="107"/>
    </row>
    <row r="754" spans="1:14" hidden="1" x14ac:dyDescent="0.35">
      <c r="A754" t="s">
        <v>172</v>
      </c>
      <c r="B754" t="s">
        <v>493</v>
      </c>
      <c r="C754" t="s">
        <v>1350</v>
      </c>
      <c r="D754">
        <f t="shared" si="11"/>
        <v>0</v>
      </c>
      <c r="E754" t="s">
        <v>19</v>
      </c>
      <c r="F754" t="s">
        <v>2293</v>
      </c>
      <c r="G754" t="s">
        <v>322</v>
      </c>
      <c r="N754" s="107"/>
    </row>
    <row r="755" spans="1:14" hidden="1" x14ac:dyDescent="0.35">
      <c r="A755" t="s">
        <v>172</v>
      </c>
      <c r="B755" t="s">
        <v>958</v>
      </c>
      <c r="C755" t="s">
        <v>1403</v>
      </c>
      <c r="D755">
        <f t="shared" si="11"/>
        <v>0</v>
      </c>
      <c r="E755" t="s">
        <v>19</v>
      </c>
      <c r="F755" t="s">
        <v>2388</v>
      </c>
      <c r="G755" t="s">
        <v>322</v>
      </c>
      <c r="N755" s="107"/>
    </row>
    <row r="756" spans="1:14" hidden="1" x14ac:dyDescent="0.35">
      <c r="A756" t="s">
        <v>172</v>
      </c>
      <c r="B756" t="s">
        <v>493</v>
      </c>
      <c r="C756" t="s">
        <v>1416</v>
      </c>
      <c r="D756">
        <f t="shared" si="11"/>
        <v>0</v>
      </c>
      <c r="E756" t="s">
        <v>19</v>
      </c>
      <c r="F756" t="s">
        <v>2532</v>
      </c>
      <c r="G756" t="s">
        <v>322</v>
      </c>
      <c r="N756" s="107"/>
    </row>
    <row r="757" spans="1:14" hidden="1" x14ac:dyDescent="0.35">
      <c r="A757" t="s">
        <v>172</v>
      </c>
      <c r="B757" t="s">
        <v>1015</v>
      </c>
      <c r="C757" t="s">
        <v>1416</v>
      </c>
      <c r="D757">
        <f t="shared" si="11"/>
        <v>0</v>
      </c>
      <c r="E757" t="s">
        <v>19</v>
      </c>
      <c r="F757" t="s">
        <v>2533</v>
      </c>
      <c r="G757" t="s">
        <v>322</v>
      </c>
      <c r="N757" s="107"/>
    </row>
    <row r="758" spans="1:14" hidden="1" x14ac:dyDescent="0.35">
      <c r="A758" t="s">
        <v>172</v>
      </c>
      <c r="B758" t="s">
        <v>1016</v>
      </c>
      <c r="C758" t="s">
        <v>1416</v>
      </c>
      <c r="D758">
        <f t="shared" si="11"/>
        <v>0</v>
      </c>
      <c r="E758" t="s">
        <v>19</v>
      </c>
      <c r="F758" t="s">
        <v>2535</v>
      </c>
      <c r="G758" t="s">
        <v>322</v>
      </c>
      <c r="N758" s="107"/>
    </row>
    <row r="759" spans="1:14" hidden="1" x14ac:dyDescent="0.35">
      <c r="A759" t="s">
        <v>172</v>
      </c>
      <c r="B759" t="s">
        <v>493</v>
      </c>
      <c r="C759" t="s">
        <v>1434</v>
      </c>
      <c r="D759">
        <f t="shared" si="11"/>
        <v>0</v>
      </c>
      <c r="E759" t="s">
        <v>19</v>
      </c>
      <c r="F759" t="s">
        <v>2560</v>
      </c>
      <c r="G759" t="s">
        <v>322</v>
      </c>
      <c r="N759" s="107"/>
    </row>
    <row r="760" spans="1:14" hidden="1" x14ac:dyDescent="0.35">
      <c r="A760" t="s">
        <v>172</v>
      </c>
      <c r="B760" t="s">
        <v>493</v>
      </c>
      <c r="C760" t="s">
        <v>1443</v>
      </c>
      <c r="D760">
        <f t="shared" si="11"/>
        <v>0</v>
      </c>
      <c r="E760" t="s">
        <v>19</v>
      </c>
      <c r="F760" t="s">
        <v>2571</v>
      </c>
      <c r="G760" t="s">
        <v>322</v>
      </c>
      <c r="N760" s="107"/>
    </row>
    <row r="761" spans="1:14" hidden="1" x14ac:dyDescent="0.35">
      <c r="A761" t="s">
        <v>172</v>
      </c>
      <c r="B761" t="s">
        <v>1051</v>
      </c>
      <c r="C761" t="s">
        <v>1443</v>
      </c>
      <c r="D761">
        <f t="shared" si="11"/>
        <v>0</v>
      </c>
      <c r="E761" t="s">
        <v>19</v>
      </c>
      <c r="F761" t="s">
        <v>2606</v>
      </c>
      <c r="G761" t="s">
        <v>322</v>
      </c>
      <c r="N761" s="107"/>
    </row>
    <row r="762" spans="1:14" hidden="1" x14ac:dyDescent="0.35">
      <c r="A762" t="s">
        <v>173</v>
      </c>
      <c r="B762" t="s">
        <v>558</v>
      </c>
      <c r="C762" t="s">
        <v>1163</v>
      </c>
      <c r="D762">
        <f t="shared" si="11"/>
        <v>0</v>
      </c>
      <c r="E762" t="s">
        <v>19</v>
      </c>
      <c r="F762" t="s">
        <v>1733</v>
      </c>
      <c r="G762" t="s">
        <v>322</v>
      </c>
      <c r="N762" s="107"/>
    </row>
    <row r="763" spans="1:14" hidden="1" x14ac:dyDescent="0.35">
      <c r="A763" t="s">
        <v>173</v>
      </c>
      <c r="B763" t="s">
        <v>497</v>
      </c>
      <c r="C763" t="s">
        <v>1164</v>
      </c>
      <c r="D763">
        <f t="shared" si="11"/>
        <v>0</v>
      </c>
      <c r="E763" t="s">
        <v>19</v>
      </c>
      <c r="F763" t="s">
        <v>1739</v>
      </c>
      <c r="G763" t="s">
        <v>322</v>
      </c>
      <c r="N763" s="107"/>
    </row>
    <row r="764" spans="1:14" hidden="1" x14ac:dyDescent="0.35">
      <c r="A764" t="s">
        <v>173</v>
      </c>
      <c r="B764" t="s">
        <v>562</v>
      </c>
      <c r="C764" t="s">
        <v>1164</v>
      </c>
      <c r="D764">
        <f t="shared" si="11"/>
        <v>0</v>
      </c>
      <c r="E764" t="s">
        <v>19</v>
      </c>
      <c r="F764" t="s">
        <v>1740</v>
      </c>
      <c r="G764" t="s">
        <v>322</v>
      </c>
      <c r="N764" s="107"/>
    </row>
    <row r="765" spans="1:14" hidden="1" x14ac:dyDescent="0.35">
      <c r="A765" t="s">
        <v>173</v>
      </c>
      <c r="B765" t="s">
        <v>671</v>
      </c>
      <c r="C765" t="s">
        <v>1214</v>
      </c>
      <c r="D765">
        <f t="shared" si="11"/>
        <v>0</v>
      </c>
      <c r="E765" t="s">
        <v>19</v>
      </c>
      <c r="F765" t="s">
        <v>1892</v>
      </c>
      <c r="G765" t="s">
        <v>322</v>
      </c>
      <c r="N765" s="107"/>
    </row>
    <row r="766" spans="1:14" hidden="1" x14ac:dyDescent="0.35">
      <c r="A766" t="s">
        <v>173</v>
      </c>
      <c r="B766" t="s">
        <v>671</v>
      </c>
      <c r="C766" t="s">
        <v>1214</v>
      </c>
      <c r="D766">
        <f t="shared" si="11"/>
        <v>0</v>
      </c>
      <c r="E766" t="s">
        <v>19</v>
      </c>
      <c r="F766" t="s">
        <v>1893</v>
      </c>
      <c r="G766" t="s">
        <v>322</v>
      </c>
      <c r="N766" s="107"/>
    </row>
    <row r="767" spans="1:14" hidden="1" x14ac:dyDescent="0.35">
      <c r="A767" t="s">
        <v>173</v>
      </c>
      <c r="B767" t="s">
        <v>690</v>
      </c>
      <c r="C767" t="s">
        <v>1227</v>
      </c>
      <c r="D767">
        <f t="shared" si="11"/>
        <v>0</v>
      </c>
      <c r="E767" t="s">
        <v>19</v>
      </c>
      <c r="F767" t="s">
        <v>1914</v>
      </c>
      <c r="G767" t="s">
        <v>322</v>
      </c>
      <c r="N767" s="107"/>
    </row>
    <row r="768" spans="1:14" hidden="1" x14ac:dyDescent="0.35">
      <c r="A768" t="s">
        <v>173</v>
      </c>
      <c r="B768" t="s">
        <v>691</v>
      </c>
      <c r="C768" t="s">
        <v>1227</v>
      </c>
      <c r="D768">
        <f t="shared" si="11"/>
        <v>0</v>
      </c>
      <c r="E768" t="s">
        <v>19</v>
      </c>
      <c r="F768" t="s">
        <v>1915</v>
      </c>
      <c r="G768" t="s">
        <v>322</v>
      </c>
      <c r="N768" s="107"/>
    </row>
    <row r="769" spans="1:14" hidden="1" x14ac:dyDescent="0.35">
      <c r="A769" t="s">
        <v>173</v>
      </c>
      <c r="B769" t="s">
        <v>497</v>
      </c>
      <c r="C769" t="s">
        <v>1227</v>
      </c>
      <c r="D769">
        <f t="shared" ref="D769:D832" si="12">SIGN(SUBTOTAL(3,E769))</f>
        <v>0</v>
      </c>
      <c r="E769" t="s">
        <v>19</v>
      </c>
      <c r="F769" t="s">
        <v>1916</v>
      </c>
      <c r="G769" t="s">
        <v>322</v>
      </c>
      <c r="N769" s="107"/>
    </row>
    <row r="770" spans="1:14" hidden="1" x14ac:dyDescent="0.35">
      <c r="A770" t="s">
        <v>173</v>
      </c>
      <c r="B770" t="s">
        <v>692</v>
      </c>
      <c r="C770" t="s">
        <v>1227</v>
      </c>
      <c r="D770">
        <f t="shared" si="12"/>
        <v>0</v>
      </c>
      <c r="E770" t="s">
        <v>19</v>
      </c>
      <c r="F770" t="s">
        <v>1917</v>
      </c>
      <c r="G770" t="s">
        <v>322</v>
      </c>
      <c r="N770" s="107"/>
    </row>
    <row r="771" spans="1:14" hidden="1" x14ac:dyDescent="0.35">
      <c r="A771" t="s">
        <v>173</v>
      </c>
      <c r="B771" t="s">
        <v>693</v>
      </c>
      <c r="C771" t="s">
        <v>1227</v>
      </c>
      <c r="D771">
        <f t="shared" si="12"/>
        <v>0</v>
      </c>
      <c r="E771" t="s">
        <v>19</v>
      </c>
      <c r="F771" t="s">
        <v>1918</v>
      </c>
      <c r="G771" t="s">
        <v>322</v>
      </c>
      <c r="N771" s="107"/>
    </row>
    <row r="772" spans="1:14" hidden="1" x14ac:dyDescent="0.35">
      <c r="A772" t="s">
        <v>173</v>
      </c>
      <c r="B772" t="s">
        <v>495</v>
      </c>
      <c r="C772" t="s">
        <v>1227</v>
      </c>
      <c r="D772">
        <f t="shared" si="12"/>
        <v>0</v>
      </c>
      <c r="E772" t="s">
        <v>19</v>
      </c>
      <c r="F772" t="s">
        <v>1919</v>
      </c>
      <c r="G772" t="s">
        <v>322</v>
      </c>
      <c r="N772" s="107"/>
    </row>
    <row r="773" spans="1:14" hidden="1" x14ac:dyDescent="0.35">
      <c r="A773" t="s">
        <v>173</v>
      </c>
      <c r="B773" t="s">
        <v>497</v>
      </c>
      <c r="C773" t="s">
        <v>1227</v>
      </c>
      <c r="D773">
        <f t="shared" si="12"/>
        <v>0</v>
      </c>
      <c r="E773" t="s">
        <v>19</v>
      </c>
      <c r="F773" t="s">
        <v>1920</v>
      </c>
      <c r="G773" t="s">
        <v>322</v>
      </c>
      <c r="N773" s="107"/>
    </row>
    <row r="774" spans="1:14" hidden="1" x14ac:dyDescent="0.35">
      <c r="A774" t="s">
        <v>173</v>
      </c>
      <c r="B774" t="s">
        <v>498</v>
      </c>
      <c r="C774" t="s">
        <v>1227</v>
      </c>
      <c r="D774">
        <f t="shared" si="12"/>
        <v>0</v>
      </c>
      <c r="E774" t="s">
        <v>19</v>
      </c>
      <c r="F774" t="s">
        <v>1964</v>
      </c>
      <c r="G774" t="s">
        <v>322</v>
      </c>
      <c r="N774" s="107"/>
    </row>
    <row r="775" spans="1:14" hidden="1" x14ac:dyDescent="0.35">
      <c r="A775" t="s">
        <v>173</v>
      </c>
      <c r="B775" t="s">
        <v>497</v>
      </c>
      <c r="C775" t="s">
        <v>1227</v>
      </c>
      <c r="D775">
        <f t="shared" si="12"/>
        <v>0</v>
      </c>
      <c r="E775" t="s">
        <v>19</v>
      </c>
      <c r="F775" t="s">
        <v>1967</v>
      </c>
      <c r="G775" t="s">
        <v>322</v>
      </c>
      <c r="N775" s="107"/>
    </row>
    <row r="776" spans="1:14" hidden="1" x14ac:dyDescent="0.35">
      <c r="A776" t="s">
        <v>173</v>
      </c>
      <c r="B776" t="s">
        <v>558</v>
      </c>
      <c r="C776" t="s">
        <v>1227</v>
      </c>
      <c r="D776">
        <f t="shared" si="12"/>
        <v>0</v>
      </c>
      <c r="E776" t="s">
        <v>19</v>
      </c>
      <c r="F776" t="s">
        <v>1978</v>
      </c>
      <c r="G776" t="s">
        <v>322</v>
      </c>
      <c r="N776" s="107"/>
    </row>
    <row r="777" spans="1:14" hidden="1" x14ac:dyDescent="0.35">
      <c r="A777" t="s">
        <v>173</v>
      </c>
      <c r="B777" t="s">
        <v>494</v>
      </c>
      <c r="C777" t="s">
        <v>1229</v>
      </c>
      <c r="D777">
        <f t="shared" si="12"/>
        <v>0</v>
      </c>
      <c r="E777" t="s">
        <v>19</v>
      </c>
      <c r="F777" t="s">
        <v>1229</v>
      </c>
      <c r="G777" t="s">
        <v>322</v>
      </c>
      <c r="N777" s="107"/>
    </row>
    <row r="778" spans="1:14" hidden="1" x14ac:dyDescent="0.35">
      <c r="A778" t="s">
        <v>173</v>
      </c>
      <c r="B778" t="s">
        <v>744</v>
      </c>
      <c r="C778" t="s">
        <v>1242</v>
      </c>
      <c r="D778">
        <f t="shared" si="12"/>
        <v>0</v>
      </c>
      <c r="E778" t="s">
        <v>19</v>
      </c>
      <c r="F778" t="s">
        <v>1242</v>
      </c>
      <c r="G778" t="s">
        <v>322</v>
      </c>
      <c r="N778" s="107"/>
    </row>
    <row r="779" spans="1:14" hidden="1" x14ac:dyDescent="0.35">
      <c r="A779" t="s">
        <v>173</v>
      </c>
      <c r="B779" t="s">
        <v>795</v>
      </c>
      <c r="C779" t="s">
        <v>1284</v>
      </c>
      <c r="D779">
        <f t="shared" si="12"/>
        <v>0</v>
      </c>
      <c r="E779" t="s">
        <v>19</v>
      </c>
      <c r="F779" t="s">
        <v>1284</v>
      </c>
      <c r="G779" t="s">
        <v>322</v>
      </c>
      <c r="N779" s="107"/>
    </row>
    <row r="780" spans="1:14" hidden="1" x14ac:dyDescent="0.35">
      <c r="A780" t="s">
        <v>173</v>
      </c>
      <c r="B780" t="s">
        <v>495</v>
      </c>
      <c r="C780" t="s">
        <v>1285</v>
      </c>
      <c r="D780">
        <f t="shared" si="12"/>
        <v>0</v>
      </c>
      <c r="E780" t="s">
        <v>19</v>
      </c>
      <c r="F780" t="s">
        <v>2097</v>
      </c>
      <c r="G780" t="s">
        <v>322</v>
      </c>
      <c r="N780" s="107"/>
    </row>
    <row r="781" spans="1:14" hidden="1" x14ac:dyDescent="0.35">
      <c r="A781" t="s">
        <v>173</v>
      </c>
      <c r="B781" t="s">
        <v>497</v>
      </c>
      <c r="C781" t="s">
        <v>1285</v>
      </c>
      <c r="D781">
        <f t="shared" si="12"/>
        <v>0</v>
      </c>
      <c r="E781" t="s">
        <v>19</v>
      </c>
      <c r="F781" t="s">
        <v>2111</v>
      </c>
      <c r="G781" t="s">
        <v>322</v>
      </c>
      <c r="N781" s="107"/>
    </row>
    <row r="782" spans="1:14" hidden="1" x14ac:dyDescent="0.35">
      <c r="A782" t="s">
        <v>173</v>
      </c>
      <c r="B782" t="s">
        <v>809</v>
      </c>
      <c r="C782" t="s">
        <v>1285</v>
      </c>
      <c r="D782">
        <f t="shared" si="12"/>
        <v>0</v>
      </c>
      <c r="E782" t="s">
        <v>19</v>
      </c>
      <c r="F782" t="s">
        <v>2131</v>
      </c>
      <c r="G782" t="s">
        <v>322</v>
      </c>
      <c r="N782" s="107"/>
    </row>
    <row r="783" spans="1:14" hidden="1" x14ac:dyDescent="0.35">
      <c r="A783" t="s">
        <v>173</v>
      </c>
      <c r="B783" t="s">
        <v>811</v>
      </c>
      <c r="C783" t="s">
        <v>1287</v>
      </c>
      <c r="D783">
        <f t="shared" si="12"/>
        <v>0</v>
      </c>
      <c r="E783" t="s">
        <v>19</v>
      </c>
      <c r="F783" t="s">
        <v>2133</v>
      </c>
      <c r="G783" t="s">
        <v>322</v>
      </c>
      <c r="N783" s="107"/>
    </row>
    <row r="784" spans="1:14" hidden="1" x14ac:dyDescent="0.35">
      <c r="A784" t="s">
        <v>173</v>
      </c>
      <c r="B784" t="s">
        <v>497</v>
      </c>
      <c r="C784" t="s">
        <v>1287</v>
      </c>
      <c r="D784">
        <f t="shared" si="12"/>
        <v>0</v>
      </c>
      <c r="E784" t="s">
        <v>19</v>
      </c>
      <c r="F784" t="s">
        <v>2134</v>
      </c>
      <c r="G784" t="s">
        <v>322</v>
      </c>
      <c r="N784" s="107"/>
    </row>
    <row r="785" spans="1:14" hidden="1" x14ac:dyDescent="0.35">
      <c r="A785" t="s">
        <v>173</v>
      </c>
      <c r="B785" t="s">
        <v>691</v>
      </c>
      <c r="C785" t="s">
        <v>1287</v>
      </c>
      <c r="D785">
        <f t="shared" si="12"/>
        <v>0</v>
      </c>
      <c r="E785" t="s">
        <v>19</v>
      </c>
      <c r="F785" t="s">
        <v>2135</v>
      </c>
      <c r="G785" t="s">
        <v>322</v>
      </c>
      <c r="N785" s="107"/>
    </row>
    <row r="786" spans="1:14" hidden="1" x14ac:dyDescent="0.35">
      <c r="A786" t="s">
        <v>173</v>
      </c>
      <c r="B786" t="s">
        <v>558</v>
      </c>
      <c r="C786" t="s">
        <v>1287</v>
      </c>
      <c r="D786">
        <f t="shared" si="12"/>
        <v>0</v>
      </c>
      <c r="E786" t="s">
        <v>19</v>
      </c>
      <c r="F786" t="s">
        <v>2140</v>
      </c>
      <c r="G786" t="s">
        <v>322</v>
      </c>
      <c r="N786" s="107"/>
    </row>
    <row r="787" spans="1:14" hidden="1" x14ac:dyDescent="0.35">
      <c r="A787" t="s">
        <v>173</v>
      </c>
      <c r="B787" t="s">
        <v>671</v>
      </c>
      <c r="C787" t="s">
        <v>1293</v>
      </c>
      <c r="D787">
        <f t="shared" si="12"/>
        <v>0</v>
      </c>
      <c r="E787" t="s">
        <v>19</v>
      </c>
      <c r="F787" t="s">
        <v>2149</v>
      </c>
      <c r="G787" t="s">
        <v>322</v>
      </c>
      <c r="N787" s="107"/>
    </row>
    <row r="788" spans="1:14" hidden="1" x14ac:dyDescent="0.35">
      <c r="A788" t="s">
        <v>173</v>
      </c>
      <c r="B788" t="s">
        <v>837</v>
      </c>
      <c r="C788" t="s">
        <v>1302</v>
      </c>
      <c r="D788">
        <f t="shared" si="12"/>
        <v>0</v>
      </c>
      <c r="E788" t="s">
        <v>19</v>
      </c>
      <c r="F788" t="s">
        <v>2181</v>
      </c>
      <c r="G788" t="s">
        <v>322</v>
      </c>
      <c r="N788" s="107"/>
    </row>
    <row r="789" spans="1:14" hidden="1" x14ac:dyDescent="0.35">
      <c r="A789" t="s">
        <v>173</v>
      </c>
      <c r="B789" t="s">
        <v>838</v>
      </c>
      <c r="C789" t="s">
        <v>1302</v>
      </c>
      <c r="D789">
        <f t="shared" si="12"/>
        <v>0</v>
      </c>
      <c r="E789" t="s">
        <v>19</v>
      </c>
      <c r="F789" t="s">
        <v>2182</v>
      </c>
      <c r="G789" t="s">
        <v>322</v>
      </c>
      <c r="N789" s="107"/>
    </row>
    <row r="790" spans="1:14" hidden="1" x14ac:dyDescent="0.35">
      <c r="A790" t="s">
        <v>173</v>
      </c>
      <c r="B790" t="s">
        <v>839</v>
      </c>
      <c r="C790" t="s">
        <v>1302</v>
      </c>
      <c r="D790">
        <f t="shared" si="12"/>
        <v>0</v>
      </c>
      <c r="E790" t="s">
        <v>19</v>
      </c>
      <c r="F790" t="s">
        <v>2183</v>
      </c>
      <c r="G790" t="s">
        <v>322</v>
      </c>
      <c r="N790" s="107"/>
    </row>
    <row r="791" spans="1:14" hidden="1" x14ac:dyDescent="0.35">
      <c r="A791" t="s">
        <v>173</v>
      </c>
      <c r="B791" t="s">
        <v>840</v>
      </c>
      <c r="C791" t="s">
        <v>1302</v>
      </c>
      <c r="D791">
        <f t="shared" si="12"/>
        <v>0</v>
      </c>
      <c r="E791" t="s">
        <v>19</v>
      </c>
      <c r="F791" t="s">
        <v>2184</v>
      </c>
      <c r="G791" t="s">
        <v>322</v>
      </c>
      <c r="N791" s="107"/>
    </row>
    <row r="792" spans="1:14" hidden="1" x14ac:dyDescent="0.35">
      <c r="A792" t="s">
        <v>173</v>
      </c>
      <c r="B792" t="s">
        <v>494</v>
      </c>
      <c r="C792" t="s">
        <v>1328</v>
      </c>
      <c r="D792">
        <f t="shared" si="12"/>
        <v>0</v>
      </c>
      <c r="E792" t="s">
        <v>19</v>
      </c>
      <c r="F792" t="s">
        <v>2234</v>
      </c>
      <c r="G792" t="s">
        <v>322</v>
      </c>
      <c r="N792" s="107"/>
    </row>
    <row r="793" spans="1:14" hidden="1" x14ac:dyDescent="0.35">
      <c r="A793" t="s">
        <v>173</v>
      </c>
      <c r="B793" t="s">
        <v>890</v>
      </c>
      <c r="C793" t="s">
        <v>1328</v>
      </c>
      <c r="D793">
        <f t="shared" si="12"/>
        <v>0</v>
      </c>
      <c r="E793" t="s">
        <v>19</v>
      </c>
      <c r="F793" t="s">
        <v>2243</v>
      </c>
      <c r="G793" t="s">
        <v>322</v>
      </c>
      <c r="N793" s="107"/>
    </row>
    <row r="794" spans="1:14" hidden="1" x14ac:dyDescent="0.35">
      <c r="A794" t="s">
        <v>173</v>
      </c>
      <c r="B794" t="s">
        <v>891</v>
      </c>
      <c r="C794" t="s">
        <v>1328</v>
      </c>
      <c r="D794">
        <f t="shared" si="12"/>
        <v>0</v>
      </c>
      <c r="E794" t="s">
        <v>19</v>
      </c>
      <c r="F794" t="s">
        <v>2244</v>
      </c>
      <c r="G794" t="s">
        <v>322</v>
      </c>
      <c r="N794" s="107"/>
    </row>
    <row r="795" spans="1:14" hidden="1" x14ac:dyDescent="0.35">
      <c r="A795" t="s">
        <v>173</v>
      </c>
      <c r="B795" t="s">
        <v>892</v>
      </c>
      <c r="C795" t="s">
        <v>1328</v>
      </c>
      <c r="D795">
        <f t="shared" si="12"/>
        <v>0</v>
      </c>
      <c r="E795" t="s">
        <v>19</v>
      </c>
      <c r="F795" t="s">
        <v>2245</v>
      </c>
      <c r="G795" t="s">
        <v>322</v>
      </c>
      <c r="N795" s="107"/>
    </row>
    <row r="796" spans="1:14" hidden="1" x14ac:dyDescent="0.35">
      <c r="A796" t="s">
        <v>173</v>
      </c>
      <c r="B796" t="s">
        <v>498</v>
      </c>
      <c r="C796" t="s">
        <v>1329</v>
      </c>
      <c r="D796">
        <f t="shared" si="12"/>
        <v>0</v>
      </c>
      <c r="E796" t="s">
        <v>19</v>
      </c>
      <c r="F796" t="s">
        <v>2246</v>
      </c>
      <c r="G796" t="s">
        <v>322</v>
      </c>
      <c r="N796" s="107"/>
    </row>
    <row r="797" spans="1:14" hidden="1" x14ac:dyDescent="0.35">
      <c r="A797" t="s">
        <v>173</v>
      </c>
      <c r="B797" t="s">
        <v>890</v>
      </c>
      <c r="C797" t="s">
        <v>1329</v>
      </c>
      <c r="D797">
        <f t="shared" si="12"/>
        <v>0</v>
      </c>
      <c r="E797" t="s">
        <v>19</v>
      </c>
      <c r="F797" t="s">
        <v>2247</v>
      </c>
      <c r="G797" t="s">
        <v>322</v>
      </c>
      <c r="N797" s="107"/>
    </row>
    <row r="798" spans="1:14" hidden="1" x14ac:dyDescent="0.35">
      <c r="A798" t="s">
        <v>173</v>
      </c>
      <c r="B798" t="s">
        <v>498</v>
      </c>
      <c r="C798" t="s">
        <v>1329</v>
      </c>
      <c r="D798">
        <f t="shared" si="12"/>
        <v>0</v>
      </c>
      <c r="E798" t="s">
        <v>19</v>
      </c>
      <c r="F798" t="s">
        <v>2248</v>
      </c>
      <c r="G798" t="s">
        <v>322</v>
      </c>
      <c r="N798" s="107"/>
    </row>
    <row r="799" spans="1:14" hidden="1" x14ac:dyDescent="0.35">
      <c r="A799" t="s">
        <v>173</v>
      </c>
      <c r="B799" t="s">
        <v>494</v>
      </c>
      <c r="C799" t="s">
        <v>1328</v>
      </c>
      <c r="D799">
        <f t="shared" si="12"/>
        <v>0</v>
      </c>
      <c r="E799" t="s">
        <v>19</v>
      </c>
      <c r="F799" t="s">
        <v>2249</v>
      </c>
      <c r="G799" t="s">
        <v>322</v>
      </c>
      <c r="N799" s="107"/>
    </row>
    <row r="800" spans="1:14" hidden="1" x14ac:dyDescent="0.35">
      <c r="A800" t="s">
        <v>173</v>
      </c>
      <c r="B800" t="s">
        <v>903</v>
      </c>
      <c r="C800" t="s">
        <v>1340</v>
      </c>
      <c r="D800">
        <f t="shared" si="12"/>
        <v>0</v>
      </c>
      <c r="E800" t="s">
        <v>19</v>
      </c>
      <c r="F800" t="s">
        <v>1340</v>
      </c>
      <c r="G800" t="s">
        <v>322</v>
      </c>
      <c r="N800" s="107"/>
    </row>
    <row r="801" spans="1:14" hidden="1" x14ac:dyDescent="0.35">
      <c r="A801" t="s">
        <v>173</v>
      </c>
      <c r="B801" t="s">
        <v>558</v>
      </c>
      <c r="C801" t="s">
        <v>1342</v>
      </c>
      <c r="D801">
        <f t="shared" si="12"/>
        <v>0</v>
      </c>
      <c r="E801" t="s">
        <v>19</v>
      </c>
      <c r="F801" t="s">
        <v>2273</v>
      </c>
      <c r="G801" t="s">
        <v>322</v>
      </c>
      <c r="N801" s="107"/>
    </row>
    <row r="802" spans="1:14" hidden="1" x14ac:dyDescent="0.35">
      <c r="A802" t="s">
        <v>173</v>
      </c>
      <c r="B802" t="s">
        <v>907</v>
      </c>
      <c r="C802" t="s">
        <v>1343</v>
      </c>
      <c r="D802">
        <f t="shared" si="12"/>
        <v>0</v>
      </c>
      <c r="E802" t="s">
        <v>19</v>
      </c>
      <c r="F802" t="s">
        <v>2276</v>
      </c>
      <c r="G802" t="s">
        <v>322</v>
      </c>
      <c r="N802" s="107"/>
    </row>
    <row r="803" spans="1:14" hidden="1" x14ac:dyDescent="0.35">
      <c r="A803" t="s">
        <v>173</v>
      </c>
      <c r="B803" t="s">
        <v>908</v>
      </c>
      <c r="C803" t="s">
        <v>1343</v>
      </c>
      <c r="D803">
        <f t="shared" si="12"/>
        <v>0</v>
      </c>
      <c r="E803" t="s">
        <v>19</v>
      </c>
      <c r="F803" t="s">
        <v>2280</v>
      </c>
      <c r="G803" t="s">
        <v>322</v>
      </c>
      <c r="N803" s="107"/>
    </row>
    <row r="804" spans="1:14" hidden="1" x14ac:dyDescent="0.35">
      <c r="A804" t="s">
        <v>173</v>
      </c>
      <c r="B804" t="s">
        <v>892</v>
      </c>
      <c r="C804" t="s">
        <v>1343</v>
      </c>
      <c r="D804">
        <f t="shared" si="12"/>
        <v>0</v>
      </c>
      <c r="E804" t="s">
        <v>19</v>
      </c>
      <c r="F804" t="s">
        <v>2281</v>
      </c>
      <c r="G804" t="s">
        <v>322</v>
      </c>
      <c r="N804" s="107"/>
    </row>
    <row r="805" spans="1:14" hidden="1" x14ac:dyDescent="0.35">
      <c r="A805" t="s">
        <v>173</v>
      </c>
      <c r="B805" t="s">
        <v>907</v>
      </c>
      <c r="C805" t="s">
        <v>1343</v>
      </c>
      <c r="D805">
        <f t="shared" si="12"/>
        <v>0</v>
      </c>
      <c r="E805" t="s">
        <v>19</v>
      </c>
      <c r="F805" t="s">
        <v>2282</v>
      </c>
      <c r="G805" t="s">
        <v>322</v>
      </c>
      <c r="N805" s="107"/>
    </row>
    <row r="806" spans="1:14" hidden="1" x14ac:dyDescent="0.35">
      <c r="A806" t="s">
        <v>173</v>
      </c>
      <c r="B806" t="s">
        <v>799</v>
      </c>
      <c r="C806" t="s">
        <v>1351</v>
      </c>
      <c r="D806">
        <f t="shared" si="12"/>
        <v>0</v>
      </c>
      <c r="E806" t="s">
        <v>19</v>
      </c>
      <c r="F806" t="s">
        <v>2298</v>
      </c>
      <c r="G806" t="s">
        <v>322</v>
      </c>
      <c r="N806" s="107"/>
    </row>
    <row r="807" spans="1:14" hidden="1" x14ac:dyDescent="0.35">
      <c r="A807" t="s">
        <v>173</v>
      </c>
      <c r="B807" t="s">
        <v>671</v>
      </c>
      <c r="C807" t="s">
        <v>1382</v>
      </c>
      <c r="D807">
        <f t="shared" si="12"/>
        <v>0</v>
      </c>
      <c r="E807" t="s">
        <v>19</v>
      </c>
      <c r="F807" t="s">
        <v>2339</v>
      </c>
      <c r="G807" t="s">
        <v>322</v>
      </c>
      <c r="N807" s="107"/>
    </row>
    <row r="808" spans="1:14" hidden="1" x14ac:dyDescent="0.35">
      <c r="A808" t="s">
        <v>173</v>
      </c>
      <c r="B808" t="s">
        <v>1001</v>
      </c>
      <c r="C808" t="s">
        <v>1412</v>
      </c>
      <c r="D808">
        <f t="shared" si="12"/>
        <v>0</v>
      </c>
      <c r="E808" t="s">
        <v>19</v>
      </c>
      <c r="F808" t="s">
        <v>1412</v>
      </c>
      <c r="G808" t="s">
        <v>322</v>
      </c>
      <c r="N808" s="107"/>
    </row>
    <row r="809" spans="1:14" hidden="1" x14ac:dyDescent="0.35">
      <c r="A809" t="s">
        <v>173</v>
      </c>
      <c r="B809" t="s">
        <v>1001</v>
      </c>
      <c r="C809" t="s">
        <v>1437</v>
      </c>
      <c r="D809">
        <f t="shared" si="12"/>
        <v>0</v>
      </c>
      <c r="E809" t="s">
        <v>19</v>
      </c>
      <c r="F809" t="s">
        <v>1437</v>
      </c>
      <c r="G809" t="s">
        <v>322</v>
      </c>
      <c r="N809" s="107"/>
    </row>
    <row r="810" spans="1:14" hidden="1" x14ac:dyDescent="0.35">
      <c r="A810" t="s">
        <v>173</v>
      </c>
      <c r="B810" t="s">
        <v>1032</v>
      </c>
      <c r="C810" t="s">
        <v>1441</v>
      </c>
      <c r="D810">
        <f t="shared" si="12"/>
        <v>0</v>
      </c>
      <c r="E810" t="s">
        <v>19</v>
      </c>
      <c r="F810" t="s">
        <v>1441</v>
      </c>
      <c r="G810" t="s">
        <v>322</v>
      </c>
      <c r="N810" s="107"/>
    </row>
    <row r="811" spans="1:14" hidden="1" x14ac:dyDescent="0.35">
      <c r="A811" t="s">
        <v>173</v>
      </c>
      <c r="B811" t="s">
        <v>1033</v>
      </c>
      <c r="C811" t="s">
        <v>1442</v>
      </c>
      <c r="D811">
        <f t="shared" si="12"/>
        <v>0</v>
      </c>
      <c r="E811" t="s">
        <v>19</v>
      </c>
      <c r="F811" t="s">
        <v>1442</v>
      </c>
      <c r="G811" t="s">
        <v>322</v>
      </c>
      <c r="N811" s="107"/>
    </row>
    <row r="812" spans="1:14" hidden="1" x14ac:dyDescent="0.35">
      <c r="A812" t="s">
        <v>173</v>
      </c>
      <c r="B812" t="s">
        <v>693</v>
      </c>
      <c r="C812" t="s">
        <v>1462</v>
      </c>
      <c r="D812">
        <f t="shared" si="12"/>
        <v>0</v>
      </c>
      <c r="E812" t="s">
        <v>19</v>
      </c>
      <c r="F812" t="s">
        <v>2663</v>
      </c>
      <c r="G812" t="s">
        <v>322</v>
      </c>
      <c r="N812" s="107"/>
    </row>
    <row r="813" spans="1:14" hidden="1" x14ac:dyDescent="0.35">
      <c r="A813" t="s">
        <v>173</v>
      </c>
      <c r="B813" t="s">
        <v>562</v>
      </c>
      <c r="C813" t="s">
        <v>1463</v>
      </c>
      <c r="D813">
        <f t="shared" si="12"/>
        <v>0</v>
      </c>
      <c r="E813" t="s">
        <v>19</v>
      </c>
      <c r="F813" t="s">
        <v>2680</v>
      </c>
      <c r="G813" t="s">
        <v>322</v>
      </c>
      <c r="N813" s="107"/>
    </row>
    <row r="814" spans="1:14" hidden="1" x14ac:dyDescent="0.35">
      <c r="A814" t="s">
        <v>173</v>
      </c>
      <c r="B814" t="s">
        <v>908</v>
      </c>
      <c r="C814" t="s">
        <v>1479</v>
      </c>
      <c r="D814">
        <f t="shared" si="12"/>
        <v>0</v>
      </c>
      <c r="E814" t="s">
        <v>19</v>
      </c>
      <c r="F814" t="s">
        <v>2697</v>
      </c>
      <c r="G814" t="s">
        <v>322</v>
      </c>
      <c r="N814" s="107"/>
    </row>
    <row r="815" spans="1:14" hidden="1" x14ac:dyDescent="0.35">
      <c r="A815" t="s">
        <v>173</v>
      </c>
      <c r="B815" t="s">
        <v>1093</v>
      </c>
      <c r="C815" t="s">
        <v>1491</v>
      </c>
      <c r="D815">
        <f t="shared" si="12"/>
        <v>0</v>
      </c>
      <c r="E815" t="s">
        <v>19</v>
      </c>
      <c r="F815" t="s">
        <v>2737</v>
      </c>
      <c r="G815" t="s">
        <v>322</v>
      </c>
      <c r="N815" s="107"/>
    </row>
    <row r="816" spans="1:14" hidden="1" x14ac:dyDescent="0.35">
      <c r="A816" t="s">
        <v>173</v>
      </c>
      <c r="B816" t="s">
        <v>1094</v>
      </c>
      <c r="C816" t="s">
        <v>1491</v>
      </c>
      <c r="D816">
        <f t="shared" si="12"/>
        <v>0</v>
      </c>
      <c r="E816" t="s">
        <v>19</v>
      </c>
      <c r="F816" t="s">
        <v>2738</v>
      </c>
      <c r="G816" t="s">
        <v>322</v>
      </c>
      <c r="N816" s="107"/>
    </row>
    <row r="817" spans="1:14" hidden="1" x14ac:dyDescent="0.35">
      <c r="A817" t="s">
        <v>173</v>
      </c>
      <c r="B817" t="s">
        <v>671</v>
      </c>
      <c r="C817" t="s">
        <v>1515</v>
      </c>
      <c r="D817">
        <f t="shared" si="12"/>
        <v>0</v>
      </c>
      <c r="E817" t="s">
        <v>19</v>
      </c>
      <c r="F817" t="s">
        <v>1515</v>
      </c>
      <c r="G817" t="s">
        <v>322</v>
      </c>
      <c r="N817" s="107"/>
    </row>
    <row r="818" spans="1:14" hidden="1" x14ac:dyDescent="0.35">
      <c r="A818" t="s">
        <v>173</v>
      </c>
      <c r="B818" t="s">
        <v>1001</v>
      </c>
      <c r="C818" t="s">
        <v>1516</v>
      </c>
      <c r="D818">
        <f t="shared" si="12"/>
        <v>0</v>
      </c>
      <c r="E818" t="s">
        <v>19</v>
      </c>
      <c r="F818" t="s">
        <v>2817</v>
      </c>
      <c r="G818" t="s">
        <v>322</v>
      </c>
      <c r="N818" s="107"/>
    </row>
    <row r="819" spans="1:14" hidden="1" x14ac:dyDescent="0.35">
      <c r="A819" t="s">
        <v>173</v>
      </c>
      <c r="B819" t="s">
        <v>497</v>
      </c>
      <c r="C819" t="s">
        <v>1516</v>
      </c>
      <c r="D819">
        <f t="shared" si="12"/>
        <v>0</v>
      </c>
      <c r="E819" t="s">
        <v>19</v>
      </c>
      <c r="F819" t="s">
        <v>2818</v>
      </c>
      <c r="G819" t="s">
        <v>322</v>
      </c>
      <c r="N819" s="107"/>
    </row>
    <row r="820" spans="1:14" hidden="1" x14ac:dyDescent="0.35">
      <c r="A820" t="s">
        <v>173</v>
      </c>
      <c r="B820" t="s">
        <v>1122</v>
      </c>
      <c r="C820" t="s">
        <v>1516</v>
      </c>
      <c r="D820">
        <f t="shared" si="12"/>
        <v>0</v>
      </c>
      <c r="E820" t="s">
        <v>19</v>
      </c>
      <c r="F820" t="s">
        <v>2819</v>
      </c>
      <c r="G820" t="s">
        <v>322</v>
      </c>
      <c r="N820" s="107"/>
    </row>
    <row r="821" spans="1:14" hidden="1" x14ac:dyDescent="0.35">
      <c r="A821" t="s">
        <v>173</v>
      </c>
      <c r="B821" t="s">
        <v>1124</v>
      </c>
      <c r="C821" t="s">
        <v>1524</v>
      </c>
      <c r="D821">
        <f t="shared" si="12"/>
        <v>0</v>
      </c>
      <c r="E821" t="s">
        <v>19</v>
      </c>
      <c r="F821" t="s">
        <v>1524</v>
      </c>
      <c r="G821" t="s">
        <v>322</v>
      </c>
      <c r="N821" s="107"/>
    </row>
    <row r="822" spans="1:14" hidden="1" x14ac:dyDescent="0.35">
      <c r="A822" t="s">
        <v>173</v>
      </c>
      <c r="B822" t="s">
        <v>1129</v>
      </c>
      <c r="C822" t="s">
        <v>1531</v>
      </c>
      <c r="D822">
        <f t="shared" si="12"/>
        <v>0</v>
      </c>
      <c r="E822" t="s">
        <v>19</v>
      </c>
      <c r="F822" t="s">
        <v>1531</v>
      </c>
      <c r="G822" t="s">
        <v>322</v>
      </c>
      <c r="N822" s="107"/>
    </row>
    <row r="823" spans="1:14" hidden="1" x14ac:dyDescent="0.35">
      <c r="A823" t="s">
        <v>174</v>
      </c>
      <c r="B823" t="s">
        <v>557</v>
      </c>
      <c r="C823" t="s">
        <v>1162</v>
      </c>
      <c r="D823">
        <f t="shared" si="12"/>
        <v>0</v>
      </c>
      <c r="E823" t="s">
        <v>19</v>
      </c>
      <c r="F823" t="s">
        <v>1731</v>
      </c>
      <c r="G823" t="s">
        <v>322</v>
      </c>
      <c r="N823" s="107"/>
    </row>
    <row r="824" spans="1:14" hidden="1" x14ac:dyDescent="0.35">
      <c r="A824" t="s">
        <v>174</v>
      </c>
      <c r="B824" t="s">
        <v>502</v>
      </c>
      <c r="C824" t="s">
        <v>1164</v>
      </c>
      <c r="D824">
        <f t="shared" si="12"/>
        <v>0</v>
      </c>
      <c r="E824" t="s">
        <v>19</v>
      </c>
      <c r="F824" t="s">
        <v>1750</v>
      </c>
      <c r="G824" t="s">
        <v>322</v>
      </c>
      <c r="N824" s="107"/>
    </row>
    <row r="825" spans="1:14" hidden="1" x14ac:dyDescent="0.35">
      <c r="A825" t="s">
        <v>174</v>
      </c>
      <c r="B825" t="s">
        <v>557</v>
      </c>
      <c r="C825" t="s">
        <v>1167</v>
      </c>
      <c r="D825">
        <f t="shared" si="12"/>
        <v>0</v>
      </c>
      <c r="E825" t="s">
        <v>19</v>
      </c>
      <c r="F825" t="s">
        <v>1167</v>
      </c>
      <c r="G825" t="s">
        <v>322</v>
      </c>
      <c r="N825" s="107"/>
    </row>
    <row r="826" spans="1:14" hidden="1" x14ac:dyDescent="0.35">
      <c r="A826" t="s">
        <v>174</v>
      </c>
      <c r="B826" t="s">
        <v>557</v>
      </c>
      <c r="C826" t="s">
        <v>1175</v>
      </c>
      <c r="D826">
        <f t="shared" si="12"/>
        <v>0</v>
      </c>
      <c r="E826" t="s">
        <v>19</v>
      </c>
      <c r="F826" t="s">
        <v>1788</v>
      </c>
      <c r="G826" t="s">
        <v>322</v>
      </c>
      <c r="N826" s="107"/>
    </row>
    <row r="827" spans="1:14" hidden="1" x14ac:dyDescent="0.35">
      <c r="A827" t="s">
        <v>174</v>
      </c>
      <c r="B827" t="s">
        <v>501</v>
      </c>
      <c r="C827" t="s">
        <v>1195</v>
      </c>
      <c r="D827">
        <f t="shared" si="12"/>
        <v>0</v>
      </c>
      <c r="E827" t="s">
        <v>19</v>
      </c>
      <c r="F827" t="s">
        <v>1195</v>
      </c>
      <c r="G827" t="s">
        <v>322</v>
      </c>
      <c r="N827" s="107"/>
    </row>
    <row r="828" spans="1:14" hidden="1" x14ac:dyDescent="0.35">
      <c r="A828" t="s">
        <v>174</v>
      </c>
      <c r="B828" t="s">
        <v>570</v>
      </c>
      <c r="C828" t="s">
        <v>1199</v>
      </c>
      <c r="D828">
        <f t="shared" si="12"/>
        <v>0</v>
      </c>
      <c r="E828" t="s">
        <v>19</v>
      </c>
      <c r="F828" t="s">
        <v>1199</v>
      </c>
      <c r="G828" t="s">
        <v>322</v>
      </c>
      <c r="N828" s="107"/>
    </row>
    <row r="829" spans="1:14" hidden="1" x14ac:dyDescent="0.35">
      <c r="A829" t="s">
        <v>174</v>
      </c>
      <c r="B829" t="s">
        <v>502</v>
      </c>
      <c r="C829" t="s">
        <v>1200</v>
      </c>
      <c r="D829">
        <f t="shared" si="12"/>
        <v>0</v>
      </c>
      <c r="E829" t="s">
        <v>19</v>
      </c>
      <c r="F829" t="s">
        <v>1200</v>
      </c>
      <c r="G829" t="s">
        <v>322</v>
      </c>
      <c r="N829" s="107"/>
    </row>
    <row r="830" spans="1:14" hidden="1" x14ac:dyDescent="0.35">
      <c r="A830" t="s">
        <v>174</v>
      </c>
      <c r="B830" t="s">
        <v>557</v>
      </c>
      <c r="C830" t="s">
        <v>1227</v>
      </c>
      <c r="D830">
        <f t="shared" si="12"/>
        <v>0</v>
      </c>
      <c r="E830" t="s">
        <v>19</v>
      </c>
      <c r="F830" t="s">
        <v>1969</v>
      </c>
      <c r="G830" t="s">
        <v>322</v>
      </c>
      <c r="N830" s="107"/>
    </row>
    <row r="831" spans="1:14" hidden="1" x14ac:dyDescent="0.35">
      <c r="A831" t="s">
        <v>174</v>
      </c>
      <c r="B831" t="s">
        <v>730</v>
      </c>
      <c r="C831" t="s">
        <v>1233</v>
      </c>
      <c r="D831">
        <f t="shared" si="12"/>
        <v>0</v>
      </c>
      <c r="E831" t="s">
        <v>19</v>
      </c>
      <c r="F831" t="s">
        <v>1998</v>
      </c>
      <c r="G831" t="s">
        <v>322</v>
      </c>
      <c r="N831" s="107"/>
    </row>
    <row r="832" spans="1:14" hidden="1" x14ac:dyDescent="0.35">
      <c r="A832" t="s">
        <v>174</v>
      </c>
      <c r="B832" t="s">
        <v>502</v>
      </c>
      <c r="C832" t="s">
        <v>1233</v>
      </c>
      <c r="D832">
        <f t="shared" si="12"/>
        <v>0</v>
      </c>
      <c r="E832" t="s">
        <v>19</v>
      </c>
      <c r="F832" t="s">
        <v>1999</v>
      </c>
      <c r="G832" t="s">
        <v>322</v>
      </c>
      <c r="N832" s="107"/>
    </row>
    <row r="833" spans="1:14" hidden="1" x14ac:dyDescent="0.35">
      <c r="A833" t="s">
        <v>174</v>
      </c>
      <c r="B833" t="s">
        <v>501</v>
      </c>
      <c r="C833" t="s">
        <v>1233</v>
      </c>
      <c r="D833">
        <f t="shared" ref="D833:D896" si="13">SIGN(SUBTOTAL(3,E833))</f>
        <v>0</v>
      </c>
      <c r="E833" t="s">
        <v>19</v>
      </c>
      <c r="F833" t="s">
        <v>2003</v>
      </c>
      <c r="G833" t="s">
        <v>322</v>
      </c>
      <c r="N833" s="107"/>
    </row>
    <row r="834" spans="1:14" hidden="1" x14ac:dyDescent="0.35">
      <c r="A834" t="s">
        <v>174</v>
      </c>
      <c r="B834" t="s">
        <v>501</v>
      </c>
      <c r="C834" t="s">
        <v>1233</v>
      </c>
      <c r="D834">
        <f t="shared" si="13"/>
        <v>0</v>
      </c>
      <c r="E834" t="s">
        <v>19</v>
      </c>
      <c r="F834" t="s">
        <v>2004</v>
      </c>
      <c r="G834" t="s">
        <v>322</v>
      </c>
      <c r="N834" s="107"/>
    </row>
    <row r="835" spans="1:14" hidden="1" x14ac:dyDescent="0.35">
      <c r="A835" t="s">
        <v>174</v>
      </c>
      <c r="B835" t="s">
        <v>502</v>
      </c>
      <c r="C835" t="s">
        <v>1233</v>
      </c>
      <c r="D835">
        <f t="shared" si="13"/>
        <v>0</v>
      </c>
      <c r="E835" t="s">
        <v>19</v>
      </c>
      <c r="F835" t="s">
        <v>2009</v>
      </c>
      <c r="G835" t="s">
        <v>322</v>
      </c>
      <c r="N835" s="107"/>
    </row>
    <row r="836" spans="1:14" hidden="1" x14ac:dyDescent="0.35">
      <c r="A836" t="s">
        <v>174</v>
      </c>
      <c r="B836" t="s">
        <v>501</v>
      </c>
      <c r="C836" t="s">
        <v>1245</v>
      </c>
      <c r="D836">
        <f t="shared" si="13"/>
        <v>0</v>
      </c>
      <c r="E836" t="s">
        <v>19</v>
      </c>
      <c r="F836" t="s">
        <v>2026</v>
      </c>
      <c r="G836" t="s">
        <v>322</v>
      </c>
      <c r="N836" s="107"/>
    </row>
    <row r="837" spans="1:14" hidden="1" x14ac:dyDescent="0.35">
      <c r="A837" t="s">
        <v>174</v>
      </c>
      <c r="B837" t="s">
        <v>502</v>
      </c>
      <c r="C837" t="s">
        <v>1249</v>
      </c>
      <c r="D837">
        <f t="shared" si="13"/>
        <v>0</v>
      </c>
      <c r="E837" t="s">
        <v>19</v>
      </c>
      <c r="F837" t="s">
        <v>1249</v>
      </c>
      <c r="G837" t="s">
        <v>322</v>
      </c>
      <c r="N837" s="107"/>
    </row>
    <row r="838" spans="1:14" hidden="1" x14ac:dyDescent="0.35">
      <c r="A838" t="s">
        <v>174</v>
      </c>
      <c r="B838" t="s">
        <v>791</v>
      </c>
      <c r="C838" t="s">
        <v>1280</v>
      </c>
      <c r="D838">
        <f t="shared" si="13"/>
        <v>0</v>
      </c>
      <c r="E838" t="s">
        <v>19</v>
      </c>
      <c r="F838" t="s">
        <v>2092</v>
      </c>
      <c r="G838" t="s">
        <v>322</v>
      </c>
      <c r="N838" s="107"/>
    </row>
    <row r="839" spans="1:14" hidden="1" x14ac:dyDescent="0.35">
      <c r="A839" t="s">
        <v>174</v>
      </c>
      <c r="B839" t="s">
        <v>730</v>
      </c>
      <c r="C839" t="s">
        <v>1293</v>
      </c>
      <c r="D839">
        <f t="shared" si="13"/>
        <v>0</v>
      </c>
      <c r="E839" t="s">
        <v>19</v>
      </c>
      <c r="F839" t="s">
        <v>2153</v>
      </c>
      <c r="G839" t="s">
        <v>322</v>
      </c>
      <c r="N839" s="107"/>
    </row>
    <row r="840" spans="1:14" hidden="1" x14ac:dyDescent="0.35">
      <c r="A840" t="s">
        <v>174</v>
      </c>
      <c r="B840" t="s">
        <v>826</v>
      </c>
      <c r="C840" t="s">
        <v>1298</v>
      </c>
      <c r="D840">
        <f t="shared" si="13"/>
        <v>0</v>
      </c>
      <c r="E840" t="s">
        <v>19</v>
      </c>
      <c r="F840" t="s">
        <v>2165</v>
      </c>
      <c r="G840" t="s">
        <v>322</v>
      </c>
      <c r="N840" s="107"/>
    </row>
    <row r="841" spans="1:14" hidden="1" x14ac:dyDescent="0.35">
      <c r="A841" t="s">
        <v>174</v>
      </c>
      <c r="B841" t="s">
        <v>832</v>
      </c>
      <c r="C841" t="s">
        <v>1301</v>
      </c>
      <c r="D841">
        <f t="shared" si="13"/>
        <v>0</v>
      </c>
      <c r="E841" t="s">
        <v>19</v>
      </c>
      <c r="F841" t="s">
        <v>2174</v>
      </c>
      <c r="G841" t="s">
        <v>322</v>
      </c>
      <c r="N841" s="107"/>
    </row>
    <row r="842" spans="1:14" hidden="1" x14ac:dyDescent="0.35">
      <c r="A842" t="s">
        <v>174</v>
      </c>
      <c r="B842" t="s">
        <v>883</v>
      </c>
      <c r="C842" t="s">
        <v>1324</v>
      </c>
      <c r="D842">
        <f t="shared" si="13"/>
        <v>0</v>
      </c>
      <c r="E842" t="s">
        <v>19</v>
      </c>
      <c r="F842" t="s">
        <v>1324</v>
      </c>
      <c r="G842" t="s">
        <v>322</v>
      </c>
      <c r="N842" s="107"/>
    </row>
    <row r="843" spans="1:14" hidden="1" x14ac:dyDescent="0.35">
      <c r="A843" t="s">
        <v>174</v>
      </c>
      <c r="B843" t="s">
        <v>730</v>
      </c>
      <c r="C843" t="s">
        <v>1392</v>
      </c>
      <c r="D843">
        <f t="shared" si="13"/>
        <v>0</v>
      </c>
      <c r="E843" t="s">
        <v>19</v>
      </c>
      <c r="F843" t="s">
        <v>2360</v>
      </c>
      <c r="G843" t="s">
        <v>322</v>
      </c>
      <c r="N843" s="107"/>
    </row>
    <row r="844" spans="1:14" hidden="1" x14ac:dyDescent="0.35">
      <c r="A844" t="s">
        <v>174</v>
      </c>
      <c r="B844" t="s">
        <v>502</v>
      </c>
      <c r="C844" t="s">
        <v>1392</v>
      </c>
      <c r="D844">
        <f t="shared" si="13"/>
        <v>0</v>
      </c>
      <c r="E844" t="s">
        <v>19</v>
      </c>
      <c r="F844" t="s">
        <v>2362</v>
      </c>
      <c r="G844" t="s">
        <v>322</v>
      </c>
      <c r="N844" s="107"/>
    </row>
    <row r="845" spans="1:14" hidden="1" x14ac:dyDescent="0.35">
      <c r="A845" t="s">
        <v>174</v>
      </c>
      <c r="B845" t="s">
        <v>501</v>
      </c>
      <c r="C845" t="s">
        <v>1392</v>
      </c>
      <c r="D845">
        <f t="shared" si="13"/>
        <v>0</v>
      </c>
      <c r="E845" t="s">
        <v>19</v>
      </c>
      <c r="F845" t="s">
        <v>2367</v>
      </c>
      <c r="G845" t="s">
        <v>322</v>
      </c>
      <c r="N845" s="107"/>
    </row>
    <row r="846" spans="1:14" hidden="1" x14ac:dyDescent="0.35">
      <c r="A846" t="s">
        <v>174</v>
      </c>
      <c r="B846" t="s">
        <v>501</v>
      </c>
      <c r="C846" t="s">
        <v>1392</v>
      </c>
      <c r="D846">
        <f t="shared" si="13"/>
        <v>0</v>
      </c>
      <c r="E846" t="s">
        <v>19</v>
      </c>
      <c r="F846" t="s">
        <v>2368</v>
      </c>
      <c r="G846" t="s">
        <v>322</v>
      </c>
      <c r="N846" s="107"/>
    </row>
    <row r="847" spans="1:14" hidden="1" x14ac:dyDescent="0.35">
      <c r="A847" t="s">
        <v>174</v>
      </c>
      <c r="B847" t="s">
        <v>502</v>
      </c>
      <c r="C847" t="s">
        <v>1392</v>
      </c>
      <c r="D847">
        <f t="shared" si="13"/>
        <v>0</v>
      </c>
      <c r="E847" t="s">
        <v>19</v>
      </c>
      <c r="F847" t="s">
        <v>2369</v>
      </c>
      <c r="G847" t="s">
        <v>322</v>
      </c>
      <c r="N847" s="107"/>
    </row>
    <row r="848" spans="1:14" hidden="1" x14ac:dyDescent="0.35">
      <c r="A848" t="s">
        <v>174</v>
      </c>
      <c r="B848" t="s">
        <v>730</v>
      </c>
      <c r="C848" t="s">
        <v>1392</v>
      </c>
      <c r="D848">
        <f t="shared" si="13"/>
        <v>0</v>
      </c>
      <c r="E848" t="s">
        <v>19</v>
      </c>
      <c r="F848" t="s">
        <v>2370</v>
      </c>
      <c r="G848" t="s">
        <v>322</v>
      </c>
      <c r="N848" s="107"/>
    </row>
    <row r="849" spans="1:14" hidden="1" x14ac:dyDescent="0.35">
      <c r="A849" t="s">
        <v>174</v>
      </c>
      <c r="B849" t="s">
        <v>501</v>
      </c>
      <c r="C849" t="s">
        <v>1392</v>
      </c>
      <c r="D849">
        <f t="shared" si="13"/>
        <v>0</v>
      </c>
      <c r="E849" t="s">
        <v>19</v>
      </c>
      <c r="F849" t="s">
        <v>2371</v>
      </c>
      <c r="G849" t="s">
        <v>322</v>
      </c>
      <c r="N849" s="107"/>
    </row>
    <row r="850" spans="1:14" hidden="1" x14ac:dyDescent="0.35">
      <c r="A850" t="s">
        <v>174</v>
      </c>
      <c r="B850" t="s">
        <v>730</v>
      </c>
      <c r="C850" t="s">
        <v>1392</v>
      </c>
      <c r="D850">
        <f t="shared" si="13"/>
        <v>0</v>
      </c>
      <c r="E850" t="s">
        <v>19</v>
      </c>
      <c r="F850" t="s">
        <v>2372</v>
      </c>
      <c r="G850" t="s">
        <v>322</v>
      </c>
      <c r="N850" s="107"/>
    </row>
    <row r="851" spans="1:14" hidden="1" x14ac:dyDescent="0.35">
      <c r="A851" t="s">
        <v>174</v>
      </c>
      <c r="B851" t="s">
        <v>730</v>
      </c>
      <c r="C851" t="s">
        <v>1392</v>
      </c>
      <c r="D851">
        <f t="shared" si="13"/>
        <v>0</v>
      </c>
      <c r="E851" t="s">
        <v>19</v>
      </c>
      <c r="F851" t="s">
        <v>2373</v>
      </c>
      <c r="G851" t="s">
        <v>322</v>
      </c>
      <c r="N851" s="107"/>
    </row>
    <row r="852" spans="1:14" hidden="1" x14ac:dyDescent="0.35">
      <c r="A852" t="s">
        <v>174</v>
      </c>
      <c r="B852" t="s">
        <v>557</v>
      </c>
      <c r="C852" t="s">
        <v>1396</v>
      </c>
      <c r="D852">
        <f t="shared" si="13"/>
        <v>0</v>
      </c>
      <c r="E852" t="s">
        <v>19</v>
      </c>
      <c r="F852" t="s">
        <v>1396</v>
      </c>
      <c r="G852" t="s">
        <v>322</v>
      </c>
      <c r="N852" s="107"/>
    </row>
    <row r="853" spans="1:14" hidden="1" x14ac:dyDescent="0.35">
      <c r="A853" t="s">
        <v>174</v>
      </c>
      <c r="B853" t="s">
        <v>730</v>
      </c>
      <c r="C853" t="s">
        <v>1414</v>
      </c>
      <c r="D853">
        <f t="shared" si="13"/>
        <v>0</v>
      </c>
      <c r="E853" t="s">
        <v>19</v>
      </c>
      <c r="F853" t="s">
        <v>2509</v>
      </c>
      <c r="G853" t="s">
        <v>322</v>
      </c>
      <c r="N853" s="107"/>
    </row>
    <row r="854" spans="1:14" hidden="1" x14ac:dyDescent="0.35">
      <c r="A854" t="s">
        <v>174</v>
      </c>
      <c r="B854" t="s">
        <v>730</v>
      </c>
      <c r="C854" t="s">
        <v>1414</v>
      </c>
      <c r="D854">
        <f t="shared" si="13"/>
        <v>0</v>
      </c>
      <c r="E854" t="s">
        <v>19</v>
      </c>
      <c r="F854" t="s">
        <v>2511</v>
      </c>
      <c r="G854" t="s">
        <v>322</v>
      </c>
      <c r="N854" s="107"/>
    </row>
    <row r="855" spans="1:14" hidden="1" x14ac:dyDescent="0.35">
      <c r="A855" t="s">
        <v>174</v>
      </c>
      <c r="B855" t="s">
        <v>501</v>
      </c>
      <c r="C855" t="s">
        <v>1414</v>
      </c>
      <c r="D855">
        <f t="shared" si="13"/>
        <v>0</v>
      </c>
      <c r="E855" t="s">
        <v>19</v>
      </c>
      <c r="F855" t="s">
        <v>2513</v>
      </c>
      <c r="G855" t="s">
        <v>322</v>
      </c>
      <c r="N855" s="107"/>
    </row>
    <row r="856" spans="1:14" hidden="1" x14ac:dyDescent="0.35">
      <c r="A856" t="s">
        <v>174</v>
      </c>
      <c r="B856" t="s">
        <v>501</v>
      </c>
      <c r="C856" t="s">
        <v>1424</v>
      </c>
      <c r="D856">
        <f t="shared" si="13"/>
        <v>0</v>
      </c>
      <c r="E856" t="s">
        <v>19</v>
      </c>
      <c r="F856" t="s">
        <v>2555</v>
      </c>
      <c r="G856" t="s">
        <v>322</v>
      </c>
      <c r="N856" s="107"/>
    </row>
    <row r="857" spans="1:14" hidden="1" x14ac:dyDescent="0.35">
      <c r="A857" t="s">
        <v>174</v>
      </c>
      <c r="B857" t="s">
        <v>730</v>
      </c>
      <c r="C857" t="s">
        <v>1462</v>
      </c>
      <c r="D857">
        <f t="shared" si="13"/>
        <v>0</v>
      </c>
      <c r="E857" t="s">
        <v>19</v>
      </c>
      <c r="F857" t="s">
        <v>2655</v>
      </c>
      <c r="G857" t="s">
        <v>322</v>
      </c>
      <c r="N857" s="107"/>
    </row>
    <row r="858" spans="1:14" hidden="1" x14ac:dyDescent="0.35">
      <c r="A858" t="s">
        <v>174</v>
      </c>
      <c r="B858" t="s">
        <v>501</v>
      </c>
      <c r="C858" t="s">
        <v>1462</v>
      </c>
      <c r="D858">
        <f t="shared" si="13"/>
        <v>0</v>
      </c>
      <c r="E858" t="s">
        <v>19</v>
      </c>
      <c r="F858" t="s">
        <v>2669</v>
      </c>
      <c r="G858" t="s">
        <v>322</v>
      </c>
      <c r="N858" s="107"/>
    </row>
    <row r="859" spans="1:14" hidden="1" x14ac:dyDescent="0.35">
      <c r="A859" t="s">
        <v>174</v>
      </c>
      <c r="B859" t="s">
        <v>502</v>
      </c>
      <c r="C859" t="s">
        <v>1483</v>
      </c>
      <c r="D859">
        <f t="shared" si="13"/>
        <v>0</v>
      </c>
      <c r="E859" t="s">
        <v>19</v>
      </c>
      <c r="F859" t="s">
        <v>2707</v>
      </c>
      <c r="G859" t="s">
        <v>322</v>
      </c>
      <c r="N859" s="107"/>
    </row>
    <row r="860" spans="1:14" hidden="1" x14ac:dyDescent="0.35">
      <c r="A860" t="s">
        <v>174</v>
      </c>
      <c r="B860" t="s">
        <v>832</v>
      </c>
      <c r="C860" t="s">
        <v>1483</v>
      </c>
      <c r="D860">
        <f t="shared" si="13"/>
        <v>0</v>
      </c>
      <c r="E860" t="s">
        <v>19</v>
      </c>
      <c r="F860" t="s">
        <v>2715</v>
      </c>
      <c r="G860" t="s">
        <v>322</v>
      </c>
      <c r="N860" s="107"/>
    </row>
    <row r="861" spans="1:14" hidden="1" x14ac:dyDescent="0.35">
      <c r="A861" t="s">
        <v>174</v>
      </c>
      <c r="B861" t="s">
        <v>501</v>
      </c>
      <c r="C861" t="s">
        <v>1483</v>
      </c>
      <c r="D861">
        <f t="shared" si="13"/>
        <v>0</v>
      </c>
      <c r="E861" t="s">
        <v>19</v>
      </c>
      <c r="F861" t="s">
        <v>2717</v>
      </c>
      <c r="G861" t="s">
        <v>322</v>
      </c>
      <c r="N861" s="107"/>
    </row>
    <row r="862" spans="1:14" hidden="1" x14ac:dyDescent="0.35">
      <c r="A862" t="s">
        <v>174</v>
      </c>
      <c r="B862" t="s">
        <v>1087</v>
      </c>
      <c r="C862" t="s">
        <v>1483</v>
      </c>
      <c r="D862">
        <f t="shared" si="13"/>
        <v>0</v>
      </c>
      <c r="E862" t="s">
        <v>19</v>
      </c>
      <c r="F862" t="s">
        <v>2722</v>
      </c>
      <c r="G862" t="s">
        <v>322</v>
      </c>
      <c r="N862" s="107"/>
    </row>
    <row r="863" spans="1:14" hidden="1" x14ac:dyDescent="0.35">
      <c r="A863" t="s">
        <v>174</v>
      </c>
      <c r="B863" t="s">
        <v>501</v>
      </c>
      <c r="C863" t="s">
        <v>1483</v>
      </c>
      <c r="D863">
        <f t="shared" si="13"/>
        <v>0</v>
      </c>
      <c r="E863" t="s">
        <v>19</v>
      </c>
      <c r="F863" t="s">
        <v>2726</v>
      </c>
      <c r="G863" t="s">
        <v>322</v>
      </c>
      <c r="N863" s="107"/>
    </row>
    <row r="864" spans="1:14" hidden="1" x14ac:dyDescent="0.35">
      <c r="A864" t="s">
        <v>174</v>
      </c>
      <c r="B864" t="s">
        <v>502</v>
      </c>
      <c r="C864" t="s">
        <v>1504</v>
      </c>
      <c r="D864">
        <f t="shared" si="13"/>
        <v>0</v>
      </c>
      <c r="E864" t="s">
        <v>19</v>
      </c>
      <c r="F864" t="s">
        <v>1504</v>
      </c>
      <c r="G864" t="s">
        <v>322</v>
      </c>
      <c r="N864" s="107"/>
    </row>
    <row r="865" spans="1:14" hidden="1" x14ac:dyDescent="0.35">
      <c r="A865" t="s">
        <v>174</v>
      </c>
      <c r="B865" t="s">
        <v>501</v>
      </c>
      <c r="C865" t="s">
        <v>1509</v>
      </c>
      <c r="D865">
        <f t="shared" si="13"/>
        <v>0</v>
      </c>
      <c r="E865" t="s">
        <v>19</v>
      </c>
      <c r="F865" t="s">
        <v>2774</v>
      </c>
      <c r="G865" t="s">
        <v>322</v>
      </c>
      <c r="N865" s="107"/>
    </row>
    <row r="866" spans="1:14" hidden="1" x14ac:dyDescent="0.35">
      <c r="A866" t="s">
        <v>174</v>
      </c>
      <c r="B866" t="s">
        <v>502</v>
      </c>
      <c r="C866" t="s">
        <v>1509</v>
      </c>
      <c r="D866">
        <f t="shared" si="13"/>
        <v>0</v>
      </c>
      <c r="E866" t="s">
        <v>19</v>
      </c>
      <c r="F866" t="s">
        <v>2775</v>
      </c>
      <c r="G866" t="s">
        <v>322</v>
      </c>
      <c r="N866" s="107"/>
    </row>
    <row r="867" spans="1:14" hidden="1" x14ac:dyDescent="0.35">
      <c r="A867" t="s">
        <v>174</v>
      </c>
      <c r="B867" t="s">
        <v>730</v>
      </c>
      <c r="C867" t="s">
        <v>1509</v>
      </c>
      <c r="D867">
        <f t="shared" si="13"/>
        <v>0</v>
      </c>
      <c r="E867" t="s">
        <v>19</v>
      </c>
      <c r="F867" t="s">
        <v>2776</v>
      </c>
      <c r="G867" t="s">
        <v>322</v>
      </c>
      <c r="N867" s="107"/>
    </row>
    <row r="868" spans="1:14" hidden="1" x14ac:dyDescent="0.35">
      <c r="A868" t="s">
        <v>175</v>
      </c>
      <c r="B868" t="s">
        <v>613</v>
      </c>
      <c r="C868" t="s">
        <v>1179</v>
      </c>
      <c r="D868">
        <f t="shared" si="13"/>
        <v>0</v>
      </c>
      <c r="E868" t="s">
        <v>19</v>
      </c>
      <c r="F868" t="s">
        <v>1811</v>
      </c>
      <c r="G868" t="s">
        <v>322</v>
      </c>
      <c r="N868" s="107"/>
    </row>
    <row r="869" spans="1:14" hidden="1" x14ac:dyDescent="0.35">
      <c r="A869" t="s">
        <v>175</v>
      </c>
      <c r="B869" t="s">
        <v>735</v>
      </c>
      <c r="C869" t="s">
        <v>1238</v>
      </c>
      <c r="D869">
        <f t="shared" si="13"/>
        <v>0</v>
      </c>
      <c r="E869" t="s">
        <v>19</v>
      </c>
      <c r="F869" t="s">
        <v>2015</v>
      </c>
      <c r="G869" t="s">
        <v>322</v>
      </c>
      <c r="N869" s="107"/>
    </row>
    <row r="870" spans="1:14" hidden="1" x14ac:dyDescent="0.35">
      <c r="A870" t="s">
        <v>175</v>
      </c>
      <c r="B870" t="s">
        <v>504</v>
      </c>
      <c r="C870" t="s">
        <v>1404</v>
      </c>
      <c r="D870">
        <f t="shared" si="13"/>
        <v>0</v>
      </c>
      <c r="E870" t="s">
        <v>19</v>
      </c>
      <c r="F870" t="s">
        <v>2391</v>
      </c>
      <c r="G870" t="s">
        <v>322</v>
      </c>
      <c r="N870" s="107"/>
    </row>
    <row r="871" spans="1:14" hidden="1" x14ac:dyDescent="0.35">
      <c r="A871" t="s">
        <v>175</v>
      </c>
      <c r="B871" t="s">
        <v>969</v>
      </c>
      <c r="C871" t="s">
        <v>1404</v>
      </c>
      <c r="D871">
        <f t="shared" si="13"/>
        <v>0</v>
      </c>
      <c r="E871" t="s">
        <v>19</v>
      </c>
      <c r="F871" t="s">
        <v>2408</v>
      </c>
      <c r="G871" t="s">
        <v>322</v>
      </c>
      <c r="N871" s="107"/>
    </row>
    <row r="872" spans="1:14" hidden="1" x14ac:dyDescent="0.35">
      <c r="A872" t="s">
        <v>175</v>
      </c>
      <c r="B872" t="s">
        <v>1041</v>
      </c>
      <c r="C872" t="s">
        <v>1443</v>
      </c>
      <c r="D872">
        <f t="shared" si="13"/>
        <v>0</v>
      </c>
      <c r="E872" t="s">
        <v>19</v>
      </c>
      <c r="F872" t="s">
        <v>2583</v>
      </c>
      <c r="G872" t="s">
        <v>322</v>
      </c>
      <c r="N872" s="107"/>
    </row>
    <row r="873" spans="1:14" hidden="1" x14ac:dyDescent="0.35">
      <c r="A873" t="s">
        <v>175</v>
      </c>
      <c r="B873" t="s">
        <v>1065</v>
      </c>
      <c r="C873" t="s">
        <v>1454</v>
      </c>
      <c r="D873">
        <f t="shared" si="13"/>
        <v>0</v>
      </c>
      <c r="E873" t="s">
        <v>19</v>
      </c>
      <c r="F873" t="s">
        <v>2639</v>
      </c>
      <c r="G873" t="s">
        <v>322</v>
      </c>
      <c r="N873" s="107"/>
    </row>
    <row r="874" spans="1:14" hidden="1" x14ac:dyDescent="0.35">
      <c r="A874" t="s">
        <v>176</v>
      </c>
      <c r="B874" t="s">
        <v>538</v>
      </c>
      <c r="C874" t="s">
        <v>1136</v>
      </c>
      <c r="D874">
        <f t="shared" si="13"/>
        <v>0</v>
      </c>
      <c r="E874" t="s">
        <v>19</v>
      </c>
      <c r="F874" t="s">
        <v>1727</v>
      </c>
      <c r="G874" t="s">
        <v>322</v>
      </c>
      <c r="N874" s="107"/>
    </row>
    <row r="875" spans="1:14" hidden="1" x14ac:dyDescent="0.35">
      <c r="A875" t="s">
        <v>176</v>
      </c>
      <c r="B875" t="s">
        <v>506</v>
      </c>
      <c r="C875" t="s">
        <v>1215</v>
      </c>
      <c r="D875">
        <f t="shared" si="13"/>
        <v>0</v>
      </c>
      <c r="E875" t="s">
        <v>19</v>
      </c>
      <c r="F875" t="s">
        <v>1215</v>
      </c>
      <c r="G875" t="s">
        <v>322</v>
      </c>
      <c r="N875" s="107"/>
    </row>
    <row r="876" spans="1:14" hidden="1" x14ac:dyDescent="0.35">
      <c r="A876" t="s">
        <v>176</v>
      </c>
      <c r="B876" t="s">
        <v>538</v>
      </c>
      <c r="C876" t="s">
        <v>1227</v>
      </c>
      <c r="D876">
        <f t="shared" si="13"/>
        <v>0</v>
      </c>
      <c r="E876" t="s">
        <v>19</v>
      </c>
      <c r="F876" t="s">
        <v>1899</v>
      </c>
      <c r="G876" t="s">
        <v>322</v>
      </c>
      <c r="N876" s="107"/>
    </row>
    <row r="877" spans="1:14" hidden="1" x14ac:dyDescent="0.35">
      <c r="A877" t="s">
        <v>176</v>
      </c>
      <c r="B877" t="s">
        <v>685</v>
      </c>
      <c r="C877" t="s">
        <v>1227</v>
      </c>
      <c r="D877">
        <f t="shared" si="13"/>
        <v>0</v>
      </c>
      <c r="E877" t="s">
        <v>19</v>
      </c>
      <c r="F877" t="s">
        <v>1904</v>
      </c>
      <c r="G877" t="s">
        <v>322</v>
      </c>
      <c r="N877" s="107"/>
    </row>
    <row r="878" spans="1:14" hidden="1" x14ac:dyDescent="0.35">
      <c r="A878" t="s">
        <v>176</v>
      </c>
      <c r="B878" t="s">
        <v>686</v>
      </c>
      <c r="C878" t="s">
        <v>1227</v>
      </c>
      <c r="D878">
        <f t="shared" si="13"/>
        <v>0</v>
      </c>
      <c r="E878" t="s">
        <v>19</v>
      </c>
      <c r="F878" t="s">
        <v>1905</v>
      </c>
      <c r="G878" t="s">
        <v>322</v>
      </c>
      <c r="N878" s="107"/>
    </row>
    <row r="879" spans="1:14" hidden="1" x14ac:dyDescent="0.35">
      <c r="A879" t="s">
        <v>176</v>
      </c>
      <c r="B879" t="s">
        <v>505</v>
      </c>
      <c r="C879" t="s">
        <v>1227</v>
      </c>
      <c r="D879">
        <f t="shared" si="13"/>
        <v>0</v>
      </c>
      <c r="E879" t="s">
        <v>19</v>
      </c>
      <c r="F879" t="s">
        <v>1907</v>
      </c>
      <c r="G879" t="s">
        <v>322</v>
      </c>
      <c r="N879" s="107"/>
    </row>
    <row r="880" spans="1:14" hidden="1" x14ac:dyDescent="0.35">
      <c r="A880" t="s">
        <v>176</v>
      </c>
      <c r="B880" t="s">
        <v>506</v>
      </c>
      <c r="C880" t="s">
        <v>1227</v>
      </c>
      <c r="D880">
        <f t="shared" si="13"/>
        <v>0</v>
      </c>
      <c r="E880" t="s">
        <v>19</v>
      </c>
      <c r="F880" t="s">
        <v>1910</v>
      </c>
      <c r="G880" t="s">
        <v>322</v>
      </c>
      <c r="N880" s="107"/>
    </row>
    <row r="881" spans="1:14" hidden="1" x14ac:dyDescent="0.35">
      <c r="A881" t="s">
        <v>176</v>
      </c>
      <c r="B881" t="s">
        <v>685</v>
      </c>
      <c r="C881" t="s">
        <v>1227</v>
      </c>
      <c r="D881">
        <f t="shared" si="13"/>
        <v>0</v>
      </c>
      <c r="E881" t="s">
        <v>19</v>
      </c>
      <c r="F881" t="s">
        <v>1921</v>
      </c>
      <c r="G881" t="s">
        <v>322</v>
      </c>
      <c r="N881" s="107"/>
    </row>
    <row r="882" spans="1:14" hidden="1" x14ac:dyDescent="0.35">
      <c r="A882" t="s">
        <v>176</v>
      </c>
      <c r="B882" t="s">
        <v>705</v>
      </c>
      <c r="C882" t="s">
        <v>1227</v>
      </c>
      <c r="D882">
        <f t="shared" si="13"/>
        <v>0</v>
      </c>
      <c r="E882" t="s">
        <v>19</v>
      </c>
      <c r="F882" t="s">
        <v>1938</v>
      </c>
      <c r="G882" t="s">
        <v>322</v>
      </c>
      <c r="N882" s="107"/>
    </row>
    <row r="883" spans="1:14" hidden="1" x14ac:dyDescent="0.35">
      <c r="A883" t="s">
        <v>176</v>
      </c>
      <c r="B883" t="s">
        <v>706</v>
      </c>
      <c r="C883" t="s">
        <v>1227</v>
      </c>
      <c r="D883">
        <f t="shared" si="13"/>
        <v>0</v>
      </c>
      <c r="E883" t="s">
        <v>19</v>
      </c>
      <c r="F883" t="s">
        <v>1941</v>
      </c>
      <c r="G883" t="s">
        <v>322</v>
      </c>
      <c r="N883" s="107"/>
    </row>
    <row r="884" spans="1:14" hidden="1" x14ac:dyDescent="0.35">
      <c r="A884" t="s">
        <v>176</v>
      </c>
      <c r="B884" t="s">
        <v>506</v>
      </c>
      <c r="C884" t="s">
        <v>1227</v>
      </c>
      <c r="D884">
        <f t="shared" si="13"/>
        <v>0</v>
      </c>
      <c r="E884" t="s">
        <v>19</v>
      </c>
      <c r="F884" t="s">
        <v>1942</v>
      </c>
      <c r="G884" t="s">
        <v>322</v>
      </c>
      <c r="N884" s="107"/>
    </row>
    <row r="885" spans="1:14" hidden="1" x14ac:dyDescent="0.35">
      <c r="A885" t="s">
        <v>176</v>
      </c>
      <c r="B885" t="s">
        <v>505</v>
      </c>
      <c r="C885" t="s">
        <v>1227</v>
      </c>
      <c r="D885">
        <f t="shared" si="13"/>
        <v>0</v>
      </c>
      <c r="E885" t="s">
        <v>19</v>
      </c>
      <c r="F885" t="s">
        <v>1948</v>
      </c>
      <c r="G885" t="s">
        <v>322</v>
      </c>
      <c r="N885" s="107"/>
    </row>
    <row r="886" spans="1:14" hidden="1" x14ac:dyDescent="0.35">
      <c r="A886" t="s">
        <v>176</v>
      </c>
      <c r="B886" t="s">
        <v>652</v>
      </c>
      <c r="C886" t="s">
        <v>1227</v>
      </c>
      <c r="D886">
        <f t="shared" si="13"/>
        <v>0</v>
      </c>
      <c r="E886" t="s">
        <v>19</v>
      </c>
      <c r="F886" t="s">
        <v>1954</v>
      </c>
      <c r="G886" t="s">
        <v>322</v>
      </c>
      <c r="N886" s="107"/>
    </row>
    <row r="887" spans="1:14" hidden="1" x14ac:dyDescent="0.35">
      <c r="A887" t="s">
        <v>176</v>
      </c>
      <c r="B887" t="s">
        <v>695</v>
      </c>
      <c r="C887" t="s">
        <v>1227</v>
      </c>
      <c r="D887">
        <f t="shared" si="13"/>
        <v>0</v>
      </c>
      <c r="E887" t="s">
        <v>19</v>
      </c>
      <c r="F887" t="s">
        <v>1957</v>
      </c>
      <c r="G887" t="s">
        <v>322</v>
      </c>
      <c r="N887" s="107"/>
    </row>
    <row r="888" spans="1:14" hidden="1" x14ac:dyDescent="0.35">
      <c r="A888" t="s">
        <v>176</v>
      </c>
      <c r="B888" t="s">
        <v>706</v>
      </c>
      <c r="C888" t="s">
        <v>1272</v>
      </c>
      <c r="D888">
        <f t="shared" si="13"/>
        <v>0</v>
      </c>
      <c r="E888" t="s">
        <v>19</v>
      </c>
      <c r="F888" t="s">
        <v>2086</v>
      </c>
      <c r="G888" t="s">
        <v>322</v>
      </c>
      <c r="N888" s="107"/>
    </row>
    <row r="889" spans="1:14" hidden="1" x14ac:dyDescent="0.35">
      <c r="A889" t="s">
        <v>176</v>
      </c>
      <c r="B889" t="s">
        <v>506</v>
      </c>
      <c r="C889" t="s">
        <v>1285</v>
      </c>
      <c r="D889">
        <f t="shared" si="13"/>
        <v>0</v>
      </c>
      <c r="E889" t="s">
        <v>19</v>
      </c>
      <c r="F889" t="s">
        <v>2096</v>
      </c>
      <c r="G889" t="s">
        <v>322</v>
      </c>
      <c r="N889" s="107"/>
    </row>
    <row r="890" spans="1:14" hidden="1" x14ac:dyDescent="0.35">
      <c r="A890" t="s">
        <v>176</v>
      </c>
      <c r="B890" t="s">
        <v>796</v>
      </c>
      <c r="C890" t="s">
        <v>1285</v>
      </c>
      <c r="D890">
        <f t="shared" si="13"/>
        <v>0</v>
      </c>
      <c r="E890" t="s">
        <v>19</v>
      </c>
      <c r="F890" t="s">
        <v>2098</v>
      </c>
      <c r="G890" t="s">
        <v>322</v>
      </c>
      <c r="N890" s="107"/>
    </row>
    <row r="891" spans="1:14" hidden="1" x14ac:dyDescent="0.35">
      <c r="A891" t="s">
        <v>176</v>
      </c>
      <c r="B891" t="s">
        <v>686</v>
      </c>
      <c r="C891" t="s">
        <v>1285</v>
      </c>
      <c r="D891">
        <f t="shared" si="13"/>
        <v>0</v>
      </c>
      <c r="E891" t="s">
        <v>19</v>
      </c>
      <c r="F891" t="s">
        <v>2102</v>
      </c>
      <c r="G891" t="s">
        <v>322</v>
      </c>
      <c r="N891" s="107"/>
    </row>
    <row r="892" spans="1:14" hidden="1" x14ac:dyDescent="0.35">
      <c r="A892" t="s">
        <v>176</v>
      </c>
      <c r="B892" t="s">
        <v>505</v>
      </c>
      <c r="C892" t="s">
        <v>1285</v>
      </c>
      <c r="D892">
        <f t="shared" si="13"/>
        <v>0</v>
      </c>
      <c r="E892" t="s">
        <v>19</v>
      </c>
      <c r="F892" t="s">
        <v>2107</v>
      </c>
      <c r="G892" t="s">
        <v>322</v>
      </c>
      <c r="N892" s="107"/>
    </row>
    <row r="893" spans="1:14" hidden="1" x14ac:dyDescent="0.35">
      <c r="A893" t="s">
        <v>176</v>
      </c>
      <c r="B893" t="s">
        <v>798</v>
      </c>
      <c r="C893" t="s">
        <v>1285</v>
      </c>
      <c r="D893">
        <f t="shared" si="13"/>
        <v>0</v>
      </c>
      <c r="E893" t="s">
        <v>19</v>
      </c>
      <c r="F893" t="s">
        <v>2108</v>
      </c>
      <c r="G893" t="s">
        <v>322</v>
      </c>
      <c r="N893" s="107"/>
    </row>
    <row r="894" spans="1:14" hidden="1" x14ac:dyDescent="0.35">
      <c r="A894" t="s">
        <v>176</v>
      </c>
      <c r="B894" t="s">
        <v>506</v>
      </c>
      <c r="C894" t="s">
        <v>1285</v>
      </c>
      <c r="D894">
        <f t="shared" si="13"/>
        <v>0</v>
      </c>
      <c r="E894" t="s">
        <v>19</v>
      </c>
      <c r="F894" t="s">
        <v>2110</v>
      </c>
      <c r="G894" t="s">
        <v>322</v>
      </c>
      <c r="N894" s="107"/>
    </row>
    <row r="895" spans="1:14" hidden="1" x14ac:dyDescent="0.35">
      <c r="A895" t="s">
        <v>176</v>
      </c>
      <c r="B895" t="s">
        <v>505</v>
      </c>
      <c r="C895" t="s">
        <v>1293</v>
      </c>
      <c r="D895">
        <f t="shared" si="13"/>
        <v>0</v>
      </c>
      <c r="E895" t="s">
        <v>19</v>
      </c>
      <c r="F895" t="s">
        <v>2150</v>
      </c>
      <c r="G895" t="s">
        <v>322</v>
      </c>
      <c r="N895" s="107"/>
    </row>
    <row r="896" spans="1:14" hidden="1" x14ac:dyDescent="0.35">
      <c r="A896" t="s">
        <v>176</v>
      </c>
      <c r="B896" t="s">
        <v>706</v>
      </c>
      <c r="C896" t="s">
        <v>1294</v>
      </c>
      <c r="D896">
        <f t="shared" si="13"/>
        <v>0</v>
      </c>
      <c r="E896" t="s">
        <v>19</v>
      </c>
      <c r="F896" t="s">
        <v>1294</v>
      </c>
      <c r="G896" t="s">
        <v>322</v>
      </c>
      <c r="N896" s="107"/>
    </row>
    <row r="897" spans="1:14" hidden="1" x14ac:dyDescent="0.35">
      <c r="A897" t="s">
        <v>176</v>
      </c>
      <c r="B897" t="s">
        <v>817</v>
      </c>
      <c r="C897" t="s">
        <v>1293</v>
      </c>
      <c r="D897">
        <f t="shared" ref="D897:D960" si="14">SIGN(SUBTOTAL(3,E897))</f>
        <v>0</v>
      </c>
      <c r="E897" t="s">
        <v>19</v>
      </c>
      <c r="F897" t="s">
        <v>2157</v>
      </c>
      <c r="G897" t="s">
        <v>322</v>
      </c>
      <c r="N897" s="107"/>
    </row>
    <row r="898" spans="1:14" hidden="1" x14ac:dyDescent="0.35">
      <c r="A898" t="s">
        <v>176</v>
      </c>
      <c r="B898" t="s">
        <v>835</v>
      </c>
      <c r="C898" t="s">
        <v>1302</v>
      </c>
      <c r="D898">
        <f t="shared" si="14"/>
        <v>0</v>
      </c>
      <c r="E898" t="s">
        <v>19</v>
      </c>
      <c r="F898" t="s">
        <v>2177</v>
      </c>
      <c r="G898" t="s">
        <v>322</v>
      </c>
      <c r="N898" s="107"/>
    </row>
    <row r="899" spans="1:14" hidden="1" x14ac:dyDescent="0.35">
      <c r="A899" t="s">
        <v>176</v>
      </c>
      <c r="B899" t="s">
        <v>633</v>
      </c>
      <c r="C899" t="s">
        <v>1302</v>
      </c>
      <c r="D899">
        <f t="shared" si="14"/>
        <v>0</v>
      </c>
      <c r="E899" t="s">
        <v>19</v>
      </c>
      <c r="F899" t="s">
        <v>2178</v>
      </c>
      <c r="G899" t="s">
        <v>322</v>
      </c>
      <c r="N899" s="107"/>
    </row>
    <row r="900" spans="1:14" hidden="1" x14ac:dyDescent="0.35">
      <c r="A900" t="s">
        <v>176</v>
      </c>
      <c r="B900" t="s">
        <v>860</v>
      </c>
      <c r="C900" t="s">
        <v>1307</v>
      </c>
      <c r="D900">
        <f t="shared" si="14"/>
        <v>0</v>
      </c>
      <c r="E900" t="s">
        <v>19</v>
      </c>
      <c r="F900" t="s">
        <v>2205</v>
      </c>
      <c r="G900" t="s">
        <v>322</v>
      </c>
      <c r="N900" s="107"/>
    </row>
    <row r="901" spans="1:14" hidden="1" x14ac:dyDescent="0.35">
      <c r="A901" t="s">
        <v>176</v>
      </c>
      <c r="B901" t="s">
        <v>506</v>
      </c>
      <c r="C901" t="s">
        <v>1347</v>
      </c>
      <c r="D901">
        <f t="shared" si="14"/>
        <v>0</v>
      </c>
      <c r="E901" t="s">
        <v>19</v>
      </c>
      <c r="F901" t="s">
        <v>2284</v>
      </c>
      <c r="G901" t="s">
        <v>322</v>
      </c>
      <c r="N901" s="107"/>
    </row>
    <row r="902" spans="1:14" hidden="1" x14ac:dyDescent="0.35">
      <c r="A902" t="s">
        <v>176</v>
      </c>
      <c r="B902" t="s">
        <v>538</v>
      </c>
      <c r="C902" t="s">
        <v>1382</v>
      </c>
      <c r="D902">
        <f t="shared" si="14"/>
        <v>0</v>
      </c>
      <c r="E902" t="s">
        <v>19</v>
      </c>
      <c r="F902" t="s">
        <v>2342</v>
      </c>
      <c r="G902" t="s">
        <v>322</v>
      </c>
      <c r="N902" s="107"/>
    </row>
    <row r="903" spans="1:14" hidden="1" x14ac:dyDescent="0.35">
      <c r="A903" t="s">
        <v>176</v>
      </c>
      <c r="B903" t="s">
        <v>686</v>
      </c>
      <c r="C903" t="s">
        <v>1382</v>
      </c>
      <c r="D903">
        <f t="shared" si="14"/>
        <v>0</v>
      </c>
      <c r="E903" t="s">
        <v>19</v>
      </c>
      <c r="F903" t="s">
        <v>2344</v>
      </c>
      <c r="G903" t="s">
        <v>322</v>
      </c>
      <c r="N903" s="107"/>
    </row>
    <row r="904" spans="1:14" hidden="1" x14ac:dyDescent="0.35">
      <c r="A904" t="s">
        <v>176</v>
      </c>
      <c r="B904" t="s">
        <v>706</v>
      </c>
      <c r="C904" t="s">
        <v>1398</v>
      </c>
      <c r="D904">
        <f t="shared" si="14"/>
        <v>0</v>
      </c>
      <c r="E904" t="s">
        <v>19</v>
      </c>
      <c r="F904" t="s">
        <v>1398</v>
      </c>
      <c r="G904" t="s">
        <v>322</v>
      </c>
      <c r="N904" s="107"/>
    </row>
    <row r="905" spans="1:14" hidden="1" x14ac:dyDescent="0.35">
      <c r="A905" t="s">
        <v>176</v>
      </c>
      <c r="B905" t="s">
        <v>991</v>
      </c>
      <c r="C905" t="s">
        <v>1411</v>
      </c>
      <c r="D905">
        <f t="shared" si="14"/>
        <v>0</v>
      </c>
      <c r="E905" t="s">
        <v>19</v>
      </c>
      <c r="F905" t="s">
        <v>2443</v>
      </c>
      <c r="G905" t="s">
        <v>322</v>
      </c>
      <c r="N905" s="107"/>
    </row>
    <row r="906" spans="1:14" hidden="1" x14ac:dyDescent="0.35">
      <c r="A906" t="s">
        <v>176</v>
      </c>
      <c r="B906" t="s">
        <v>994</v>
      </c>
      <c r="C906" t="s">
        <v>1411</v>
      </c>
      <c r="D906">
        <f t="shared" si="14"/>
        <v>0</v>
      </c>
      <c r="E906" t="s">
        <v>19</v>
      </c>
      <c r="F906" t="s">
        <v>2448</v>
      </c>
      <c r="G906" t="s">
        <v>322</v>
      </c>
      <c r="N906" s="107"/>
    </row>
    <row r="907" spans="1:14" hidden="1" x14ac:dyDescent="0.35">
      <c r="A907" t="s">
        <v>176</v>
      </c>
      <c r="B907" t="s">
        <v>796</v>
      </c>
      <c r="C907" t="s">
        <v>1411</v>
      </c>
      <c r="D907">
        <f t="shared" si="14"/>
        <v>0</v>
      </c>
      <c r="E907" t="s">
        <v>19</v>
      </c>
      <c r="F907" t="s">
        <v>2449</v>
      </c>
      <c r="G907" t="s">
        <v>322</v>
      </c>
      <c r="N907" s="107"/>
    </row>
    <row r="908" spans="1:14" hidden="1" x14ac:dyDescent="0.35">
      <c r="A908" t="s">
        <v>176</v>
      </c>
      <c r="B908" t="s">
        <v>995</v>
      </c>
      <c r="C908" t="s">
        <v>1411</v>
      </c>
      <c r="D908">
        <f t="shared" si="14"/>
        <v>0</v>
      </c>
      <c r="E908" t="s">
        <v>19</v>
      </c>
      <c r="F908" t="s">
        <v>2450</v>
      </c>
      <c r="G908" t="s">
        <v>322</v>
      </c>
      <c r="N908" s="107"/>
    </row>
    <row r="909" spans="1:14" hidden="1" x14ac:dyDescent="0.35">
      <c r="A909" t="s">
        <v>176</v>
      </c>
      <c r="B909" t="s">
        <v>505</v>
      </c>
      <c r="C909" t="s">
        <v>1411</v>
      </c>
      <c r="D909">
        <f t="shared" si="14"/>
        <v>0</v>
      </c>
      <c r="E909" t="s">
        <v>19</v>
      </c>
      <c r="F909" t="s">
        <v>2452</v>
      </c>
      <c r="G909" t="s">
        <v>322</v>
      </c>
      <c r="N909" s="107"/>
    </row>
    <row r="910" spans="1:14" hidden="1" x14ac:dyDescent="0.35">
      <c r="A910" t="s">
        <v>176</v>
      </c>
      <c r="B910" t="s">
        <v>1000</v>
      </c>
      <c r="C910" t="s">
        <v>1411</v>
      </c>
      <c r="D910">
        <f t="shared" si="14"/>
        <v>0</v>
      </c>
      <c r="E910" t="s">
        <v>19</v>
      </c>
      <c r="F910" t="s">
        <v>2462</v>
      </c>
      <c r="G910" t="s">
        <v>322</v>
      </c>
      <c r="N910" s="107"/>
    </row>
    <row r="911" spans="1:14" hidden="1" x14ac:dyDescent="0.35">
      <c r="A911" t="s">
        <v>176</v>
      </c>
      <c r="B911" t="s">
        <v>178</v>
      </c>
      <c r="C911" t="s">
        <v>1414</v>
      </c>
      <c r="D911">
        <f t="shared" si="14"/>
        <v>0</v>
      </c>
      <c r="E911" t="s">
        <v>19</v>
      </c>
      <c r="F911" t="s">
        <v>2473</v>
      </c>
      <c r="G911" t="s">
        <v>322</v>
      </c>
      <c r="N911" s="107"/>
    </row>
    <row r="912" spans="1:14" hidden="1" x14ac:dyDescent="0.35">
      <c r="A912" t="s">
        <v>176</v>
      </c>
      <c r="B912" t="s">
        <v>685</v>
      </c>
      <c r="C912" t="s">
        <v>1414</v>
      </c>
      <c r="D912">
        <f t="shared" si="14"/>
        <v>0</v>
      </c>
      <c r="E912" t="s">
        <v>19</v>
      </c>
      <c r="F912" t="s">
        <v>2477</v>
      </c>
      <c r="G912" t="s">
        <v>322</v>
      </c>
      <c r="N912" s="107"/>
    </row>
    <row r="913" spans="1:14" hidden="1" x14ac:dyDescent="0.35">
      <c r="A913" t="s">
        <v>176</v>
      </c>
      <c r="B913" t="s">
        <v>1006</v>
      </c>
      <c r="C913" t="s">
        <v>1414</v>
      </c>
      <c r="D913">
        <f t="shared" si="14"/>
        <v>0</v>
      </c>
      <c r="E913" t="s">
        <v>19</v>
      </c>
      <c r="F913" t="s">
        <v>2482</v>
      </c>
      <c r="G913" t="s">
        <v>322</v>
      </c>
      <c r="N913" s="107"/>
    </row>
    <row r="914" spans="1:14" hidden="1" x14ac:dyDescent="0.35">
      <c r="A914" t="s">
        <v>176</v>
      </c>
      <c r="B914" t="s">
        <v>506</v>
      </c>
      <c r="C914" t="s">
        <v>1414</v>
      </c>
      <c r="D914">
        <f t="shared" si="14"/>
        <v>0</v>
      </c>
      <c r="E914" t="s">
        <v>19</v>
      </c>
      <c r="F914" t="s">
        <v>2483</v>
      </c>
      <c r="G914" t="s">
        <v>322</v>
      </c>
      <c r="N914" s="107"/>
    </row>
    <row r="915" spans="1:14" hidden="1" x14ac:dyDescent="0.35">
      <c r="A915" t="s">
        <v>176</v>
      </c>
      <c r="B915" t="s">
        <v>506</v>
      </c>
      <c r="C915" t="s">
        <v>1414</v>
      </c>
      <c r="D915">
        <f t="shared" si="14"/>
        <v>0</v>
      </c>
      <c r="E915" t="s">
        <v>19</v>
      </c>
      <c r="F915" t="s">
        <v>2484</v>
      </c>
      <c r="G915" t="s">
        <v>322</v>
      </c>
      <c r="N915" s="107"/>
    </row>
    <row r="916" spans="1:14" hidden="1" x14ac:dyDescent="0.35">
      <c r="A916" t="s">
        <v>176</v>
      </c>
      <c r="B916" t="s">
        <v>538</v>
      </c>
      <c r="C916" t="s">
        <v>1414</v>
      </c>
      <c r="D916">
        <f t="shared" si="14"/>
        <v>0</v>
      </c>
      <c r="E916" t="s">
        <v>19</v>
      </c>
      <c r="F916" t="s">
        <v>2485</v>
      </c>
      <c r="G916" t="s">
        <v>322</v>
      </c>
      <c r="N916" s="107"/>
    </row>
    <row r="917" spans="1:14" hidden="1" x14ac:dyDescent="0.35">
      <c r="A917" t="s">
        <v>176</v>
      </c>
      <c r="B917" t="s">
        <v>1008</v>
      </c>
      <c r="C917" t="s">
        <v>1414</v>
      </c>
      <c r="D917">
        <f t="shared" si="14"/>
        <v>0</v>
      </c>
      <c r="E917" t="s">
        <v>19</v>
      </c>
      <c r="F917" t="s">
        <v>2487</v>
      </c>
      <c r="G917" t="s">
        <v>322</v>
      </c>
      <c r="N917" s="107"/>
    </row>
    <row r="918" spans="1:14" hidden="1" x14ac:dyDescent="0.35">
      <c r="A918" t="s">
        <v>176</v>
      </c>
      <c r="B918" t="s">
        <v>652</v>
      </c>
      <c r="C918" t="s">
        <v>1414</v>
      </c>
      <c r="D918">
        <f t="shared" si="14"/>
        <v>0</v>
      </c>
      <c r="E918" t="s">
        <v>19</v>
      </c>
      <c r="F918" t="s">
        <v>2492</v>
      </c>
      <c r="G918" t="s">
        <v>322</v>
      </c>
      <c r="N918" s="107"/>
    </row>
    <row r="919" spans="1:14" hidden="1" x14ac:dyDescent="0.35">
      <c r="A919" t="s">
        <v>176</v>
      </c>
      <c r="B919" t="s">
        <v>1010</v>
      </c>
      <c r="C919" t="s">
        <v>1414</v>
      </c>
      <c r="D919">
        <f t="shared" si="14"/>
        <v>0</v>
      </c>
      <c r="E919" t="s">
        <v>19</v>
      </c>
      <c r="F919" t="s">
        <v>2498</v>
      </c>
      <c r="G919" t="s">
        <v>322</v>
      </c>
      <c r="N919" s="107"/>
    </row>
    <row r="920" spans="1:14" hidden="1" x14ac:dyDescent="0.35">
      <c r="A920" t="s">
        <v>176</v>
      </c>
      <c r="B920" t="s">
        <v>506</v>
      </c>
      <c r="C920" t="s">
        <v>1461</v>
      </c>
      <c r="D920">
        <f t="shared" si="14"/>
        <v>0</v>
      </c>
      <c r="E920" t="s">
        <v>19</v>
      </c>
      <c r="F920" t="s">
        <v>2650</v>
      </c>
      <c r="G920" t="s">
        <v>322</v>
      </c>
      <c r="N920" s="107"/>
    </row>
    <row r="921" spans="1:14" hidden="1" x14ac:dyDescent="0.35">
      <c r="A921" t="s">
        <v>176</v>
      </c>
      <c r="B921" t="s">
        <v>686</v>
      </c>
      <c r="C921" t="s">
        <v>1463</v>
      </c>
      <c r="D921">
        <f t="shared" si="14"/>
        <v>0</v>
      </c>
      <c r="E921" t="s">
        <v>19</v>
      </c>
      <c r="F921" t="s">
        <v>2677</v>
      </c>
      <c r="G921" t="s">
        <v>322</v>
      </c>
      <c r="N921" s="107"/>
    </row>
    <row r="922" spans="1:14" hidden="1" x14ac:dyDescent="0.35">
      <c r="A922" t="s">
        <v>176</v>
      </c>
      <c r="B922" t="s">
        <v>706</v>
      </c>
      <c r="C922" t="s">
        <v>1463</v>
      </c>
      <c r="D922">
        <f t="shared" si="14"/>
        <v>0</v>
      </c>
      <c r="E922" t="s">
        <v>19</v>
      </c>
      <c r="F922" t="s">
        <v>2678</v>
      </c>
      <c r="G922" t="s">
        <v>322</v>
      </c>
      <c r="N922" s="107"/>
    </row>
    <row r="923" spans="1:14" hidden="1" x14ac:dyDescent="0.35">
      <c r="A923" t="s">
        <v>176</v>
      </c>
      <c r="B923" t="s">
        <v>1111</v>
      </c>
      <c r="C923" t="s">
        <v>1509</v>
      </c>
      <c r="D923">
        <f t="shared" si="14"/>
        <v>0</v>
      </c>
      <c r="E923" t="s">
        <v>19</v>
      </c>
      <c r="F923" t="s">
        <v>2777</v>
      </c>
      <c r="G923" t="s">
        <v>322</v>
      </c>
      <c r="N923" s="107"/>
    </row>
    <row r="924" spans="1:14" hidden="1" x14ac:dyDescent="0.35">
      <c r="A924" t="s">
        <v>176</v>
      </c>
      <c r="B924" t="s">
        <v>1119</v>
      </c>
      <c r="C924" t="s">
        <v>1513</v>
      </c>
      <c r="D924">
        <f t="shared" si="14"/>
        <v>0</v>
      </c>
      <c r="E924" t="s">
        <v>19</v>
      </c>
      <c r="F924" t="s">
        <v>2810</v>
      </c>
      <c r="G924" t="s">
        <v>322</v>
      </c>
      <c r="N924" s="107"/>
    </row>
    <row r="925" spans="1:14" hidden="1" x14ac:dyDescent="0.35">
      <c r="A925" t="s">
        <v>177</v>
      </c>
      <c r="B925" t="s">
        <v>575</v>
      </c>
      <c r="C925" t="s">
        <v>1173</v>
      </c>
      <c r="D925">
        <f t="shared" si="14"/>
        <v>0</v>
      </c>
      <c r="E925" t="s">
        <v>19</v>
      </c>
      <c r="F925" t="s">
        <v>1173</v>
      </c>
      <c r="G925" t="s">
        <v>322</v>
      </c>
      <c r="N925" s="107"/>
    </row>
    <row r="926" spans="1:14" hidden="1" x14ac:dyDescent="0.35">
      <c r="A926" t="s">
        <v>177</v>
      </c>
      <c r="B926" t="s">
        <v>581</v>
      </c>
      <c r="C926" t="s">
        <v>1172</v>
      </c>
      <c r="D926">
        <f t="shared" si="14"/>
        <v>0</v>
      </c>
      <c r="E926" t="s">
        <v>19</v>
      </c>
      <c r="F926" t="s">
        <v>1767</v>
      </c>
      <c r="G926" t="s">
        <v>322</v>
      </c>
      <c r="N926" s="107"/>
    </row>
    <row r="927" spans="1:14" hidden="1" x14ac:dyDescent="0.35">
      <c r="A927" t="s">
        <v>177</v>
      </c>
      <c r="B927" t="s">
        <v>575</v>
      </c>
      <c r="C927" t="s">
        <v>1175</v>
      </c>
      <c r="D927">
        <f t="shared" si="14"/>
        <v>0</v>
      </c>
      <c r="E927" t="s">
        <v>19</v>
      </c>
      <c r="F927" t="s">
        <v>1791</v>
      </c>
      <c r="G927" t="s">
        <v>322</v>
      </c>
      <c r="N927" s="107"/>
    </row>
    <row r="928" spans="1:14" hidden="1" x14ac:dyDescent="0.35">
      <c r="A928" t="s">
        <v>177</v>
      </c>
      <c r="B928" t="s">
        <v>575</v>
      </c>
      <c r="C928" t="s">
        <v>1175</v>
      </c>
      <c r="D928">
        <f t="shared" si="14"/>
        <v>0</v>
      </c>
      <c r="E928" t="s">
        <v>19</v>
      </c>
      <c r="F928" t="s">
        <v>1792</v>
      </c>
      <c r="G928" t="s">
        <v>322</v>
      </c>
      <c r="N928" s="107"/>
    </row>
    <row r="929" spans="1:14" hidden="1" x14ac:dyDescent="0.35">
      <c r="A929" t="s">
        <v>177</v>
      </c>
      <c r="B929" t="s">
        <v>599</v>
      </c>
      <c r="C929" t="s">
        <v>1175</v>
      </c>
      <c r="D929">
        <f t="shared" si="14"/>
        <v>0</v>
      </c>
      <c r="E929" t="s">
        <v>19</v>
      </c>
      <c r="F929" t="s">
        <v>1793</v>
      </c>
      <c r="G929" t="s">
        <v>322</v>
      </c>
      <c r="N929" s="107"/>
    </row>
    <row r="930" spans="1:14" hidden="1" x14ac:dyDescent="0.35">
      <c r="A930" t="s">
        <v>177</v>
      </c>
      <c r="B930" t="s">
        <v>599</v>
      </c>
      <c r="C930" t="s">
        <v>1175</v>
      </c>
      <c r="D930">
        <f t="shared" si="14"/>
        <v>0</v>
      </c>
      <c r="E930" t="s">
        <v>19</v>
      </c>
      <c r="F930" t="s">
        <v>1794</v>
      </c>
      <c r="G930" t="s">
        <v>322</v>
      </c>
      <c r="N930" s="107"/>
    </row>
    <row r="931" spans="1:14" hidden="1" x14ac:dyDescent="0.35">
      <c r="A931" t="s">
        <v>177</v>
      </c>
      <c r="B931" t="s">
        <v>507</v>
      </c>
      <c r="C931" t="s">
        <v>1251</v>
      </c>
      <c r="D931">
        <f t="shared" si="14"/>
        <v>0</v>
      </c>
      <c r="E931" t="s">
        <v>19</v>
      </c>
      <c r="F931" t="s">
        <v>2029</v>
      </c>
      <c r="G931" t="s">
        <v>322</v>
      </c>
      <c r="N931" s="107"/>
    </row>
    <row r="932" spans="1:14" hidden="1" x14ac:dyDescent="0.35">
      <c r="A932" t="s">
        <v>177</v>
      </c>
      <c r="B932" t="s">
        <v>754</v>
      </c>
      <c r="C932" t="s">
        <v>1251</v>
      </c>
      <c r="D932">
        <f t="shared" si="14"/>
        <v>0</v>
      </c>
      <c r="E932" t="s">
        <v>19</v>
      </c>
      <c r="F932" t="s">
        <v>2039</v>
      </c>
      <c r="G932" t="s">
        <v>322</v>
      </c>
      <c r="N932" s="107"/>
    </row>
    <row r="933" spans="1:14" hidden="1" x14ac:dyDescent="0.35">
      <c r="A933" t="s">
        <v>177</v>
      </c>
      <c r="B933" t="s">
        <v>759</v>
      </c>
      <c r="C933" t="s">
        <v>1251</v>
      </c>
      <c r="D933">
        <f t="shared" si="14"/>
        <v>0</v>
      </c>
      <c r="E933" t="s">
        <v>19</v>
      </c>
      <c r="F933" t="s">
        <v>2046</v>
      </c>
      <c r="G933" t="s">
        <v>322</v>
      </c>
      <c r="N933" s="107"/>
    </row>
    <row r="934" spans="1:14" hidden="1" x14ac:dyDescent="0.35">
      <c r="A934" t="s">
        <v>177</v>
      </c>
      <c r="B934" t="s">
        <v>764</v>
      </c>
      <c r="C934" t="s">
        <v>1251</v>
      </c>
      <c r="D934">
        <f t="shared" si="14"/>
        <v>0</v>
      </c>
      <c r="E934" t="s">
        <v>19</v>
      </c>
      <c r="F934" t="s">
        <v>2056</v>
      </c>
      <c r="G934" t="s">
        <v>322</v>
      </c>
      <c r="N934" s="107"/>
    </row>
    <row r="935" spans="1:14" hidden="1" x14ac:dyDescent="0.35">
      <c r="A935" t="s">
        <v>177</v>
      </c>
      <c r="B935" t="s">
        <v>783</v>
      </c>
      <c r="C935" t="s">
        <v>1267</v>
      </c>
      <c r="D935">
        <f t="shared" si="14"/>
        <v>0</v>
      </c>
      <c r="E935" t="s">
        <v>19</v>
      </c>
      <c r="F935" t="s">
        <v>1267</v>
      </c>
      <c r="G935" t="s">
        <v>322</v>
      </c>
      <c r="N935" s="107"/>
    </row>
    <row r="936" spans="1:14" hidden="1" x14ac:dyDescent="0.35">
      <c r="A936" t="s">
        <v>177</v>
      </c>
      <c r="B936" t="s">
        <v>937</v>
      </c>
      <c r="C936" t="s">
        <v>1377</v>
      </c>
      <c r="D936">
        <f t="shared" si="14"/>
        <v>0</v>
      </c>
      <c r="E936" t="s">
        <v>19</v>
      </c>
      <c r="F936" t="s">
        <v>1377</v>
      </c>
      <c r="G936" t="s">
        <v>322</v>
      </c>
      <c r="N936" s="107"/>
    </row>
    <row r="937" spans="1:14" hidden="1" x14ac:dyDescent="0.35">
      <c r="A937" t="s">
        <v>177</v>
      </c>
      <c r="B937" t="s">
        <v>508</v>
      </c>
      <c r="C937" t="s">
        <v>1404</v>
      </c>
      <c r="D937">
        <f t="shared" si="14"/>
        <v>0</v>
      </c>
      <c r="E937" t="s">
        <v>19</v>
      </c>
      <c r="F937" t="s">
        <v>2409</v>
      </c>
      <c r="G937" t="s">
        <v>322</v>
      </c>
      <c r="N937" s="107"/>
    </row>
    <row r="938" spans="1:14" hidden="1" x14ac:dyDescent="0.35">
      <c r="A938" t="s">
        <v>177</v>
      </c>
      <c r="B938" t="s">
        <v>970</v>
      </c>
      <c r="C938" t="s">
        <v>1404</v>
      </c>
      <c r="D938">
        <f t="shared" si="14"/>
        <v>0</v>
      </c>
      <c r="E938" t="s">
        <v>19</v>
      </c>
      <c r="F938" t="s">
        <v>2411</v>
      </c>
      <c r="G938" t="s">
        <v>322</v>
      </c>
      <c r="N938" s="107"/>
    </row>
    <row r="939" spans="1:14" hidden="1" x14ac:dyDescent="0.35">
      <c r="A939" t="s">
        <v>177</v>
      </c>
      <c r="B939" t="s">
        <v>974</v>
      </c>
      <c r="C939" t="s">
        <v>1404</v>
      </c>
      <c r="D939">
        <f t="shared" si="14"/>
        <v>0</v>
      </c>
      <c r="E939" t="s">
        <v>19</v>
      </c>
      <c r="F939" t="s">
        <v>2416</v>
      </c>
      <c r="G939" t="s">
        <v>322</v>
      </c>
      <c r="N939" s="107"/>
    </row>
    <row r="940" spans="1:14" hidden="1" x14ac:dyDescent="0.35">
      <c r="A940" t="s">
        <v>177</v>
      </c>
      <c r="B940" t="s">
        <v>507</v>
      </c>
      <c r="C940" t="s">
        <v>1404</v>
      </c>
      <c r="D940">
        <f t="shared" si="14"/>
        <v>0</v>
      </c>
      <c r="E940" t="s">
        <v>19</v>
      </c>
      <c r="F940" t="s">
        <v>2418</v>
      </c>
      <c r="G940" t="s">
        <v>322</v>
      </c>
      <c r="N940" s="107"/>
    </row>
    <row r="941" spans="1:14" hidden="1" x14ac:dyDescent="0.35">
      <c r="A941" t="s">
        <v>177</v>
      </c>
      <c r="B941" t="s">
        <v>575</v>
      </c>
      <c r="C941" t="s">
        <v>1443</v>
      </c>
      <c r="D941">
        <f t="shared" si="14"/>
        <v>0</v>
      </c>
      <c r="E941" t="s">
        <v>19</v>
      </c>
      <c r="F941" t="s">
        <v>2596</v>
      </c>
      <c r="G941" t="s">
        <v>322</v>
      </c>
      <c r="N941" s="107"/>
    </row>
    <row r="942" spans="1:14" hidden="1" x14ac:dyDescent="0.35">
      <c r="A942" t="s">
        <v>177</v>
      </c>
      <c r="B942" t="s">
        <v>507</v>
      </c>
      <c r="C942" t="s">
        <v>1462</v>
      </c>
      <c r="D942">
        <f t="shared" si="14"/>
        <v>0</v>
      </c>
      <c r="E942" t="s">
        <v>19</v>
      </c>
      <c r="F942" t="s">
        <v>2671</v>
      </c>
      <c r="G942" t="s">
        <v>322</v>
      </c>
      <c r="N942" s="107"/>
    </row>
    <row r="943" spans="1:14" hidden="1" x14ac:dyDescent="0.35">
      <c r="A943" t="s">
        <v>177</v>
      </c>
      <c r="B943" t="s">
        <v>508</v>
      </c>
      <c r="C943" t="s">
        <v>1470</v>
      </c>
      <c r="D943">
        <f t="shared" si="14"/>
        <v>0</v>
      </c>
      <c r="E943" t="s">
        <v>19</v>
      </c>
      <c r="F943" t="s">
        <v>2683</v>
      </c>
      <c r="G943" t="s">
        <v>322</v>
      </c>
      <c r="N943" s="107"/>
    </row>
    <row r="944" spans="1:14" hidden="1" x14ac:dyDescent="0.35">
      <c r="A944" t="s">
        <v>177</v>
      </c>
      <c r="B944" t="s">
        <v>507</v>
      </c>
      <c r="C944" t="s">
        <v>1509</v>
      </c>
      <c r="D944">
        <f t="shared" si="14"/>
        <v>0</v>
      </c>
      <c r="E944" t="s">
        <v>19</v>
      </c>
      <c r="F944" t="s">
        <v>2778</v>
      </c>
      <c r="G944" t="s">
        <v>322</v>
      </c>
      <c r="N944" s="107"/>
    </row>
    <row r="945" spans="1:14" hidden="1" x14ac:dyDescent="0.35">
      <c r="A945" t="s">
        <v>177</v>
      </c>
      <c r="B945" t="s">
        <v>507</v>
      </c>
      <c r="C945" t="s">
        <v>1513</v>
      </c>
      <c r="D945">
        <f t="shared" si="14"/>
        <v>0</v>
      </c>
      <c r="E945" t="s">
        <v>19</v>
      </c>
      <c r="F945" t="s">
        <v>2813</v>
      </c>
      <c r="G945" t="s">
        <v>322</v>
      </c>
      <c r="N945" s="107"/>
    </row>
    <row r="946" spans="1:14" x14ac:dyDescent="0.35">
      <c r="A946" t="s">
        <v>178</v>
      </c>
      <c r="B946" t="s">
        <v>510</v>
      </c>
      <c r="C946" t="s">
        <v>1144</v>
      </c>
      <c r="D946">
        <f t="shared" si="14"/>
        <v>1</v>
      </c>
      <c r="E946" t="s">
        <v>19</v>
      </c>
      <c r="F946" t="s">
        <v>1144</v>
      </c>
      <c r="G946" t="s">
        <v>322</v>
      </c>
      <c r="N946" s="107"/>
    </row>
    <row r="947" spans="1:14" x14ac:dyDescent="0.35">
      <c r="A947" t="s">
        <v>178</v>
      </c>
      <c r="B947" t="s">
        <v>510</v>
      </c>
      <c r="C947" t="s">
        <v>1185</v>
      </c>
      <c r="D947">
        <f t="shared" si="14"/>
        <v>1</v>
      </c>
      <c r="E947" t="s">
        <v>19</v>
      </c>
      <c r="F947" t="s">
        <v>1844</v>
      </c>
      <c r="G947" t="s">
        <v>322</v>
      </c>
      <c r="N947" s="107"/>
    </row>
    <row r="948" spans="1:14" x14ac:dyDescent="0.35">
      <c r="A948" t="s">
        <v>178</v>
      </c>
      <c r="B948" t="s">
        <v>510</v>
      </c>
      <c r="C948" t="s">
        <v>1251</v>
      </c>
      <c r="D948">
        <f t="shared" si="14"/>
        <v>1</v>
      </c>
      <c r="E948" t="s">
        <v>19</v>
      </c>
      <c r="F948" t="s">
        <v>2041</v>
      </c>
      <c r="G948" t="s">
        <v>322</v>
      </c>
      <c r="N948" s="107"/>
    </row>
    <row r="949" spans="1:14" x14ac:dyDescent="0.35">
      <c r="A949" t="s">
        <v>178</v>
      </c>
      <c r="B949" t="s">
        <v>510</v>
      </c>
      <c r="C949" t="s">
        <v>1252</v>
      </c>
      <c r="D949">
        <f t="shared" si="14"/>
        <v>1</v>
      </c>
      <c r="E949" t="s">
        <v>19</v>
      </c>
      <c r="F949" t="s">
        <v>2047</v>
      </c>
      <c r="G949" t="s">
        <v>322</v>
      </c>
      <c r="N949" s="107"/>
    </row>
    <row r="950" spans="1:14" x14ac:dyDescent="0.35">
      <c r="A950" t="s">
        <v>178</v>
      </c>
      <c r="B950" t="s">
        <v>893</v>
      </c>
      <c r="C950" t="s">
        <v>1329</v>
      </c>
      <c r="D950">
        <f t="shared" si="14"/>
        <v>1</v>
      </c>
      <c r="E950" t="s">
        <v>19</v>
      </c>
      <c r="F950" t="s">
        <v>2250</v>
      </c>
      <c r="G950" t="s">
        <v>322</v>
      </c>
      <c r="N950" s="107"/>
    </row>
    <row r="951" spans="1:14" x14ac:dyDescent="0.35">
      <c r="A951" t="s">
        <v>178</v>
      </c>
      <c r="B951" t="s">
        <v>510</v>
      </c>
      <c r="C951" t="s">
        <v>1341</v>
      </c>
      <c r="D951">
        <f t="shared" si="14"/>
        <v>1</v>
      </c>
      <c r="E951" t="s">
        <v>19</v>
      </c>
      <c r="F951" t="s">
        <v>1341</v>
      </c>
      <c r="G951" t="s">
        <v>322</v>
      </c>
      <c r="N951" s="107"/>
    </row>
    <row r="952" spans="1:14" x14ac:dyDescent="0.35">
      <c r="A952" t="s">
        <v>178</v>
      </c>
      <c r="B952" t="s">
        <v>509</v>
      </c>
      <c r="C952" t="s">
        <v>1378</v>
      </c>
      <c r="D952">
        <f t="shared" si="14"/>
        <v>1</v>
      </c>
      <c r="E952" t="s">
        <v>19</v>
      </c>
      <c r="F952" t="s">
        <v>2318</v>
      </c>
      <c r="G952" t="s">
        <v>322</v>
      </c>
      <c r="N952" s="107"/>
    </row>
    <row r="953" spans="1:14" x14ac:dyDescent="0.35">
      <c r="A953" t="s">
        <v>178</v>
      </c>
      <c r="B953" t="s">
        <v>510</v>
      </c>
      <c r="C953" t="s">
        <v>1388</v>
      </c>
      <c r="D953">
        <f t="shared" si="14"/>
        <v>1</v>
      </c>
      <c r="E953" t="s">
        <v>19</v>
      </c>
      <c r="F953" t="s">
        <v>1388</v>
      </c>
      <c r="G953" t="s">
        <v>322</v>
      </c>
      <c r="N953" s="107"/>
    </row>
    <row r="954" spans="1:14" x14ac:dyDescent="0.35">
      <c r="A954" t="s">
        <v>178</v>
      </c>
      <c r="B954" t="s">
        <v>510</v>
      </c>
      <c r="C954" t="s">
        <v>1423</v>
      </c>
      <c r="D954">
        <f t="shared" si="14"/>
        <v>1</v>
      </c>
      <c r="E954" t="s">
        <v>19</v>
      </c>
      <c r="F954" t="s">
        <v>1423</v>
      </c>
      <c r="G954" t="s">
        <v>322</v>
      </c>
      <c r="N954" s="107"/>
    </row>
    <row r="955" spans="1:14" x14ac:dyDescent="0.35">
      <c r="A955" t="s">
        <v>178</v>
      </c>
      <c r="B955" t="s">
        <v>510</v>
      </c>
      <c r="C955" t="s">
        <v>1443</v>
      </c>
      <c r="D955">
        <f t="shared" si="14"/>
        <v>1</v>
      </c>
      <c r="E955" t="s">
        <v>19</v>
      </c>
      <c r="F955" t="s">
        <v>2575</v>
      </c>
      <c r="G955" t="s">
        <v>322</v>
      </c>
      <c r="N955" s="107"/>
    </row>
    <row r="956" spans="1:14" x14ac:dyDescent="0.35">
      <c r="A956" t="s">
        <v>178</v>
      </c>
      <c r="B956" t="s">
        <v>510</v>
      </c>
      <c r="C956" t="s">
        <v>1478</v>
      </c>
      <c r="D956">
        <f t="shared" si="14"/>
        <v>1</v>
      </c>
      <c r="E956" t="s">
        <v>19</v>
      </c>
      <c r="F956" t="s">
        <v>2686</v>
      </c>
      <c r="G956" t="s">
        <v>322</v>
      </c>
      <c r="N956" s="107"/>
    </row>
    <row r="957" spans="1:14" x14ac:dyDescent="0.35">
      <c r="A957" t="s">
        <v>178</v>
      </c>
      <c r="B957" t="s">
        <v>1104</v>
      </c>
      <c r="C957" t="s">
        <v>1505</v>
      </c>
      <c r="D957">
        <f t="shared" si="14"/>
        <v>1</v>
      </c>
      <c r="E957" t="s">
        <v>19</v>
      </c>
      <c r="F957" t="s">
        <v>2751</v>
      </c>
      <c r="G957" t="s">
        <v>322</v>
      </c>
      <c r="N957" s="107"/>
    </row>
    <row r="958" spans="1:14" x14ac:dyDescent="0.35">
      <c r="A958" t="s">
        <v>178</v>
      </c>
      <c r="B958" t="s">
        <v>510</v>
      </c>
      <c r="C958" t="s">
        <v>1513</v>
      </c>
      <c r="D958">
        <f t="shared" si="14"/>
        <v>1</v>
      </c>
      <c r="E958" t="s">
        <v>19</v>
      </c>
      <c r="F958" t="s">
        <v>2809</v>
      </c>
      <c r="G958" t="s">
        <v>322</v>
      </c>
      <c r="N958" s="107"/>
    </row>
    <row r="959" spans="1:14" x14ac:dyDescent="0.35">
      <c r="A959" t="s">
        <v>178</v>
      </c>
      <c r="B959" t="s">
        <v>510</v>
      </c>
      <c r="C959" t="s">
        <v>1540</v>
      </c>
      <c r="D959">
        <f t="shared" si="14"/>
        <v>1</v>
      </c>
      <c r="E959" t="s">
        <v>19</v>
      </c>
      <c r="F959" t="s">
        <v>1540</v>
      </c>
      <c r="G959" t="s">
        <v>322</v>
      </c>
      <c r="N959" s="107"/>
    </row>
    <row r="960" spans="1:14" hidden="1" x14ac:dyDescent="0.35">
      <c r="A960" t="s">
        <v>179</v>
      </c>
      <c r="B960" t="s">
        <v>539</v>
      </c>
      <c r="C960" t="s">
        <v>1136</v>
      </c>
      <c r="D960">
        <f t="shared" si="14"/>
        <v>0</v>
      </c>
      <c r="E960" t="s">
        <v>19</v>
      </c>
      <c r="F960" t="s">
        <v>1728</v>
      </c>
      <c r="G960" t="s">
        <v>322</v>
      </c>
      <c r="N960" s="107"/>
    </row>
    <row r="961" spans="1:14" hidden="1" x14ac:dyDescent="0.35">
      <c r="A961" t="s">
        <v>179</v>
      </c>
      <c r="B961" t="s">
        <v>511</v>
      </c>
      <c r="C961" t="s">
        <v>1183</v>
      </c>
      <c r="D961">
        <f t="shared" ref="D961:D1024" si="15">SIGN(SUBTOTAL(3,E961))</f>
        <v>0</v>
      </c>
      <c r="E961" t="s">
        <v>19</v>
      </c>
      <c r="F961" t="s">
        <v>1183</v>
      </c>
      <c r="G961" t="s">
        <v>322</v>
      </c>
      <c r="N961" s="107"/>
    </row>
    <row r="962" spans="1:14" hidden="1" x14ac:dyDescent="0.35">
      <c r="A962" t="s">
        <v>179</v>
      </c>
      <c r="B962" t="s">
        <v>630</v>
      </c>
      <c r="C962" t="s">
        <v>1184</v>
      </c>
      <c r="D962">
        <f t="shared" si="15"/>
        <v>0</v>
      </c>
      <c r="E962" t="s">
        <v>19</v>
      </c>
      <c r="F962" t="s">
        <v>1832</v>
      </c>
      <c r="G962" t="s">
        <v>322</v>
      </c>
      <c r="N962" s="107"/>
    </row>
    <row r="963" spans="1:14" hidden="1" x14ac:dyDescent="0.35">
      <c r="A963" t="s">
        <v>179</v>
      </c>
      <c r="B963" t="s">
        <v>631</v>
      </c>
      <c r="C963" t="s">
        <v>1184</v>
      </c>
      <c r="D963">
        <f t="shared" si="15"/>
        <v>0</v>
      </c>
      <c r="E963" t="s">
        <v>19</v>
      </c>
      <c r="F963" t="s">
        <v>1833</v>
      </c>
      <c r="G963" t="s">
        <v>322</v>
      </c>
      <c r="N963" s="107"/>
    </row>
    <row r="964" spans="1:14" hidden="1" x14ac:dyDescent="0.35">
      <c r="A964" t="s">
        <v>179</v>
      </c>
      <c r="B964" t="s">
        <v>632</v>
      </c>
      <c r="C964" t="s">
        <v>1184</v>
      </c>
      <c r="D964">
        <f t="shared" si="15"/>
        <v>0</v>
      </c>
      <c r="E964" t="s">
        <v>19</v>
      </c>
      <c r="F964" t="s">
        <v>1834</v>
      </c>
      <c r="G964" t="s">
        <v>322</v>
      </c>
      <c r="N964" s="107"/>
    </row>
    <row r="965" spans="1:14" hidden="1" x14ac:dyDescent="0.35">
      <c r="A965" t="s">
        <v>179</v>
      </c>
      <c r="B965" t="s">
        <v>633</v>
      </c>
      <c r="C965" t="s">
        <v>1184</v>
      </c>
      <c r="D965">
        <f t="shared" si="15"/>
        <v>0</v>
      </c>
      <c r="E965" t="s">
        <v>19</v>
      </c>
      <c r="F965" t="s">
        <v>1835</v>
      </c>
      <c r="G965" t="s">
        <v>322</v>
      </c>
      <c r="N965" s="107"/>
    </row>
    <row r="966" spans="1:14" hidden="1" x14ac:dyDescent="0.35">
      <c r="A966" t="s">
        <v>179</v>
      </c>
      <c r="B966" t="s">
        <v>514</v>
      </c>
      <c r="C966" t="s">
        <v>1184</v>
      </c>
      <c r="D966">
        <f t="shared" si="15"/>
        <v>0</v>
      </c>
      <c r="E966" t="s">
        <v>19</v>
      </c>
      <c r="F966" t="s">
        <v>1836</v>
      </c>
      <c r="G966" t="s">
        <v>322</v>
      </c>
      <c r="N966" s="107"/>
    </row>
    <row r="967" spans="1:14" hidden="1" x14ac:dyDescent="0.35">
      <c r="A967" t="s">
        <v>179</v>
      </c>
      <c r="B967" t="s">
        <v>634</v>
      </c>
      <c r="C967" t="s">
        <v>1184</v>
      </c>
      <c r="D967">
        <f t="shared" si="15"/>
        <v>0</v>
      </c>
      <c r="E967" t="s">
        <v>19</v>
      </c>
      <c r="F967" t="s">
        <v>1837</v>
      </c>
      <c r="G967" t="s">
        <v>322</v>
      </c>
      <c r="N967" s="107"/>
    </row>
    <row r="968" spans="1:14" hidden="1" x14ac:dyDescent="0.35">
      <c r="A968" t="s">
        <v>179</v>
      </c>
      <c r="B968" t="s">
        <v>635</v>
      </c>
      <c r="C968" t="s">
        <v>1184</v>
      </c>
      <c r="D968">
        <f t="shared" si="15"/>
        <v>0</v>
      </c>
      <c r="E968" t="s">
        <v>19</v>
      </c>
      <c r="F968" t="s">
        <v>1838</v>
      </c>
      <c r="G968" t="s">
        <v>322</v>
      </c>
      <c r="N968" s="107"/>
    </row>
    <row r="969" spans="1:14" hidden="1" x14ac:dyDescent="0.35">
      <c r="A969" t="s">
        <v>179</v>
      </c>
      <c r="B969" t="s">
        <v>636</v>
      </c>
      <c r="C969" t="s">
        <v>1184</v>
      </c>
      <c r="D969">
        <f t="shared" si="15"/>
        <v>0</v>
      </c>
      <c r="E969" t="s">
        <v>19</v>
      </c>
      <c r="F969" t="s">
        <v>1839</v>
      </c>
      <c r="G969" t="s">
        <v>322</v>
      </c>
      <c r="N969" s="107"/>
    </row>
    <row r="970" spans="1:14" hidden="1" x14ac:dyDescent="0.35">
      <c r="A970" t="s">
        <v>179</v>
      </c>
      <c r="B970" t="s">
        <v>637</v>
      </c>
      <c r="C970" t="s">
        <v>1184</v>
      </c>
      <c r="D970">
        <f t="shared" si="15"/>
        <v>0</v>
      </c>
      <c r="E970" t="s">
        <v>19</v>
      </c>
      <c r="F970" t="s">
        <v>1840</v>
      </c>
      <c r="G970" t="s">
        <v>322</v>
      </c>
      <c r="N970" s="107"/>
    </row>
    <row r="971" spans="1:14" hidden="1" x14ac:dyDescent="0.35">
      <c r="A971" t="s">
        <v>179</v>
      </c>
      <c r="B971" t="s">
        <v>638</v>
      </c>
      <c r="C971" t="s">
        <v>1184</v>
      </c>
      <c r="D971">
        <f t="shared" si="15"/>
        <v>0</v>
      </c>
      <c r="E971" t="s">
        <v>19</v>
      </c>
      <c r="F971" t="s">
        <v>1841</v>
      </c>
      <c r="G971" t="s">
        <v>322</v>
      </c>
      <c r="N971" s="107"/>
    </row>
    <row r="972" spans="1:14" hidden="1" x14ac:dyDescent="0.35">
      <c r="A972" t="s">
        <v>179</v>
      </c>
      <c r="B972" t="s">
        <v>514</v>
      </c>
      <c r="C972" t="s">
        <v>1184</v>
      </c>
      <c r="D972">
        <f t="shared" si="15"/>
        <v>0</v>
      </c>
      <c r="E972" t="s">
        <v>19</v>
      </c>
      <c r="F972" t="s">
        <v>1842</v>
      </c>
      <c r="G972" t="s">
        <v>322</v>
      </c>
      <c r="N972" s="107"/>
    </row>
    <row r="973" spans="1:14" hidden="1" x14ac:dyDescent="0.35">
      <c r="A973" t="s">
        <v>179</v>
      </c>
      <c r="B973" t="s">
        <v>688</v>
      </c>
      <c r="C973" t="s">
        <v>1227</v>
      </c>
      <c r="D973">
        <f t="shared" si="15"/>
        <v>0</v>
      </c>
      <c r="E973" t="s">
        <v>19</v>
      </c>
      <c r="F973" t="s">
        <v>1911</v>
      </c>
      <c r="G973" t="s">
        <v>322</v>
      </c>
      <c r="N973" s="107"/>
    </row>
    <row r="974" spans="1:14" hidden="1" x14ac:dyDescent="0.35">
      <c r="A974" t="s">
        <v>179</v>
      </c>
      <c r="B974" t="s">
        <v>689</v>
      </c>
      <c r="C974" t="s">
        <v>1227</v>
      </c>
      <c r="D974">
        <f t="shared" si="15"/>
        <v>0</v>
      </c>
      <c r="E974" t="s">
        <v>19</v>
      </c>
      <c r="F974" t="s">
        <v>1912</v>
      </c>
      <c r="G974" t="s">
        <v>322</v>
      </c>
      <c r="N974" s="107"/>
    </row>
    <row r="975" spans="1:14" hidden="1" x14ac:dyDescent="0.35">
      <c r="A975" t="s">
        <v>179</v>
      </c>
      <c r="B975" t="s">
        <v>704</v>
      </c>
      <c r="C975" t="s">
        <v>1227</v>
      </c>
      <c r="D975">
        <f t="shared" si="15"/>
        <v>0</v>
      </c>
      <c r="E975" t="s">
        <v>19</v>
      </c>
      <c r="F975" t="s">
        <v>1936</v>
      </c>
      <c r="G975" t="s">
        <v>322</v>
      </c>
      <c r="N975" s="107"/>
    </row>
    <row r="976" spans="1:14" hidden="1" x14ac:dyDescent="0.35">
      <c r="A976" t="s">
        <v>179</v>
      </c>
      <c r="B976" t="s">
        <v>631</v>
      </c>
      <c r="C976" t="s">
        <v>1227</v>
      </c>
      <c r="D976">
        <f t="shared" si="15"/>
        <v>0</v>
      </c>
      <c r="E976" t="s">
        <v>19</v>
      </c>
      <c r="F976" t="s">
        <v>1939</v>
      </c>
      <c r="G976" t="s">
        <v>322</v>
      </c>
      <c r="N976" s="107"/>
    </row>
    <row r="977" spans="1:14" hidden="1" x14ac:dyDescent="0.35">
      <c r="A977" t="s">
        <v>179</v>
      </c>
      <c r="B977" t="s">
        <v>720</v>
      </c>
      <c r="C977" t="s">
        <v>1227</v>
      </c>
      <c r="D977">
        <f t="shared" si="15"/>
        <v>0</v>
      </c>
      <c r="E977" t="s">
        <v>19</v>
      </c>
      <c r="F977" t="s">
        <v>1980</v>
      </c>
      <c r="G977" t="s">
        <v>322</v>
      </c>
      <c r="N977" s="107"/>
    </row>
    <row r="978" spans="1:14" hidden="1" x14ac:dyDescent="0.35">
      <c r="A978" t="s">
        <v>179</v>
      </c>
      <c r="B978" t="s">
        <v>724</v>
      </c>
      <c r="C978" t="s">
        <v>1227</v>
      </c>
      <c r="D978">
        <f t="shared" si="15"/>
        <v>0</v>
      </c>
      <c r="E978" t="s">
        <v>19</v>
      </c>
      <c r="F978" t="s">
        <v>1988</v>
      </c>
      <c r="G978" t="s">
        <v>322</v>
      </c>
      <c r="N978" s="107"/>
    </row>
    <row r="979" spans="1:14" hidden="1" x14ac:dyDescent="0.35">
      <c r="A979" t="s">
        <v>179</v>
      </c>
      <c r="B979" t="s">
        <v>725</v>
      </c>
      <c r="C979" t="s">
        <v>1227</v>
      </c>
      <c r="D979">
        <f t="shared" si="15"/>
        <v>0</v>
      </c>
      <c r="E979" t="s">
        <v>19</v>
      </c>
      <c r="F979" t="s">
        <v>1989</v>
      </c>
      <c r="G979" t="s">
        <v>322</v>
      </c>
      <c r="N979" s="107"/>
    </row>
    <row r="980" spans="1:14" hidden="1" x14ac:dyDescent="0.35">
      <c r="A980" t="s">
        <v>179</v>
      </c>
      <c r="B980" t="s">
        <v>726</v>
      </c>
      <c r="C980" t="s">
        <v>1228</v>
      </c>
      <c r="D980">
        <f t="shared" si="15"/>
        <v>0</v>
      </c>
      <c r="E980" t="s">
        <v>19</v>
      </c>
      <c r="F980" t="s">
        <v>1228</v>
      </c>
      <c r="G980" t="s">
        <v>322</v>
      </c>
      <c r="N980" s="107"/>
    </row>
    <row r="981" spans="1:14" hidden="1" x14ac:dyDescent="0.35">
      <c r="A981" t="s">
        <v>179</v>
      </c>
      <c r="B981" t="s">
        <v>745</v>
      </c>
      <c r="C981" t="s">
        <v>1243</v>
      </c>
      <c r="D981">
        <f t="shared" si="15"/>
        <v>0</v>
      </c>
      <c r="E981" t="s">
        <v>19</v>
      </c>
      <c r="F981" t="s">
        <v>2023</v>
      </c>
      <c r="G981" t="s">
        <v>322</v>
      </c>
      <c r="N981" s="107"/>
    </row>
    <row r="982" spans="1:14" hidden="1" x14ac:dyDescent="0.35">
      <c r="A982" t="s">
        <v>179</v>
      </c>
      <c r="B982" t="s">
        <v>513</v>
      </c>
      <c r="C982" t="s">
        <v>1268</v>
      </c>
      <c r="D982">
        <f t="shared" si="15"/>
        <v>0</v>
      </c>
      <c r="E982" t="s">
        <v>19</v>
      </c>
      <c r="F982" t="s">
        <v>2081</v>
      </c>
      <c r="G982" t="s">
        <v>322</v>
      </c>
      <c r="N982" s="107"/>
    </row>
    <row r="983" spans="1:14" hidden="1" x14ac:dyDescent="0.35">
      <c r="A983" t="s">
        <v>179</v>
      </c>
      <c r="B983" t="s">
        <v>626</v>
      </c>
      <c r="C983" t="s">
        <v>1268</v>
      </c>
      <c r="D983">
        <f t="shared" si="15"/>
        <v>0</v>
      </c>
      <c r="E983" t="s">
        <v>19</v>
      </c>
      <c r="F983" t="s">
        <v>2082</v>
      </c>
      <c r="G983" t="s">
        <v>322</v>
      </c>
      <c r="N983" s="107"/>
    </row>
    <row r="984" spans="1:14" hidden="1" x14ac:dyDescent="0.35">
      <c r="A984" t="s">
        <v>179</v>
      </c>
      <c r="B984" t="s">
        <v>513</v>
      </c>
      <c r="C984" t="s">
        <v>1272</v>
      </c>
      <c r="D984">
        <f t="shared" si="15"/>
        <v>0</v>
      </c>
      <c r="E984" t="s">
        <v>19</v>
      </c>
      <c r="F984" t="s">
        <v>2084</v>
      </c>
      <c r="G984" t="s">
        <v>322</v>
      </c>
      <c r="N984" s="107"/>
    </row>
    <row r="985" spans="1:14" hidden="1" x14ac:dyDescent="0.35">
      <c r="A985" t="s">
        <v>179</v>
      </c>
      <c r="B985" t="s">
        <v>513</v>
      </c>
      <c r="C985" t="s">
        <v>1272</v>
      </c>
      <c r="D985">
        <f t="shared" si="15"/>
        <v>0</v>
      </c>
      <c r="E985" t="s">
        <v>19</v>
      </c>
      <c r="F985" t="s">
        <v>2085</v>
      </c>
      <c r="G985" t="s">
        <v>322</v>
      </c>
      <c r="N985" s="107"/>
    </row>
    <row r="986" spans="1:14" hidden="1" x14ac:dyDescent="0.35">
      <c r="A986" t="s">
        <v>179</v>
      </c>
      <c r="B986" t="s">
        <v>513</v>
      </c>
      <c r="C986" t="s">
        <v>1281</v>
      </c>
      <c r="D986">
        <f t="shared" si="15"/>
        <v>0</v>
      </c>
      <c r="E986" t="s">
        <v>19</v>
      </c>
      <c r="F986" t="s">
        <v>1281</v>
      </c>
      <c r="G986" t="s">
        <v>322</v>
      </c>
      <c r="N986" s="107"/>
    </row>
    <row r="987" spans="1:14" hidden="1" x14ac:dyDescent="0.35">
      <c r="A987" t="s">
        <v>179</v>
      </c>
      <c r="B987" t="s">
        <v>630</v>
      </c>
      <c r="C987" t="s">
        <v>1285</v>
      </c>
      <c r="D987">
        <f t="shared" si="15"/>
        <v>0</v>
      </c>
      <c r="E987" t="s">
        <v>19</v>
      </c>
      <c r="F987" t="s">
        <v>2099</v>
      </c>
      <c r="G987" t="s">
        <v>322</v>
      </c>
      <c r="N987" s="107"/>
    </row>
    <row r="988" spans="1:14" hidden="1" x14ac:dyDescent="0.35">
      <c r="A988" t="s">
        <v>179</v>
      </c>
      <c r="B988" t="s">
        <v>634</v>
      </c>
      <c r="C988" t="s">
        <v>1285</v>
      </c>
      <c r="D988">
        <f t="shared" si="15"/>
        <v>0</v>
      </c>
      <c r="E988" t="s">
        <v>19</v>
      </c>
      <c r="F988" t="s">
        <v>2100</v>
      </c>
      <c r="G988" t="s">
        <v>322</v>
      </c>
      <c r="N988" s="107"/>
    </row>
    <row r="989" spans="1:14" hidden="1" x14ac:dyDescent="0.35">
      <c r="A989" t="s">
        <v>179</v>
      </c>
      <c r="B989" t="s">
        <v>514</v>
      </c>
      <c r="C989" t="s">
        <v>1285</v>
      </c>
      <c r="D989">
        <f t="shared" si="15"/>
        <v>0</v>
      </c>
      <c r="E989" t="s">
        <v>19</v>
      </c>
      <c r="F989" t="s">
        <v>2101</v>
      </c>
      <c r="G989" t="s">
        <v>322</v>
      </c>
      <c r="N989" s="107"/>
    </row>
    <row r="990" spans="1:14" hidden="1" x14ac:dyDescent="0.35">
      <c r="A990" t="s">
        <v>179</v>
      </c>
      <c r="B990" t="s">
        <v>637</v>
      </c>
      <c r="C990" t="s">
        <v>1285</v>
      </c>
      <c r="D990">
        <f t="shared" si="15"/>
        <v>0</v>
      </c>
      <c r="E990" t="s">
        <v>19</v>
      </c>
      <c r="F990" t="s">
        <v>2106</v>
      </c>
      <c r="G990" t="s">
        <v>322</v>
      </c>
      <c r="N990" s="107"/>
    </row>
    <row r="991" spans="1:14" hidden="1" x14ac:dyDescent="0.35">
      <c r="A991" t="s">
        <v>179</v>
      </c>
      <c r="B991" t="s">
        <v>636</v>
      </c>
      <c r="C991" t="s">
        <v>1285</v>
      </c>
      <c r="D991">
        <f t="shared" si="15"/>
        <v>0</v>
      </c>
      <c r="E991" t="s">
        <v>19</v>
      </c>
      <c r="F991" t="s">
        <v>2109</v>
      </c>
      <c r="G991" t="s">
        <v>322</v>
      </c>
      <c r="N991" s="107"/>
    </row>
    <row r="992" spans="1:14" hidden="1" x14ac:dyDescent="0.35">
      <c r="A992" t="s">
        <v>179</v>
      </c>
      <c r="B992" t="s">
        <v>638</v>
      </c>
      <c r="C992" t="s">
        <v>1285</v>
      </c>
      <c r="D992">
        <f t="shared" si="15"/>
        <v>0</v>
      </c>
      <c r="E992" t="s">
        <v>19</v>
      </c>
      <c r="F992" t="s">
        <v>2112</v>
      </c>
      <c r="G992" t="s">
        <v>322</v>
      </c>
      <c r="N992" s="107"/>
    </row>
    <row r="993" spans="1:14" hidden="1" x14ac:dyDescent="0.35">
      <c r="A993" t="s">
        <v>179</v>
      </c>
      <c r="B993" t="s">
        <v>799</v>
      </c>
      <c r="C993" t="s">
        <v>1285</v>
      </c>
      <c r="D993">
        <f t="shared" si="15"/>
        <v>0</v>
      </c>
      <c r="E993" t="s">
        <v>19</v>
      </c>
      <c r="F993" t="s">
        <v>2113</v>
      </c>
      <c r="G993" t="s">
        <v>322</v>
      </c>
      <c r="N993" s="107"/>
    </row>
    <row r="994" spans="1:14" hidden="1" x14ac:dyDescent="0.35">
      <c r="A994" t="s">
        <v>179</v>
      </c>
      <c r="B994" t="s">
        <v>802</v>
      </c>
      <c r="C994" t="s">
        <v>1285</v>
      </c>
      <c r="D994">
        <f t="shared" si="15"/>
        <v>0</v>
      </c>
      <c r="E994" t="s">
        <v>19</v>
      </c>
      <c r="F994" t="s">
        <v>2118</v>
      </c>
      <c r="G994" t="s">
        <v>322</v>
      </c>
      <c r="N994" s="107"/>
    </row>
    <row r="995" spans="1:14" hidden="1" x14ac:dyDescent="0.35">
      <c r="A995" t="s">
        <v>179</v>
      </c>
      <c r="B995" t="s">
        <v>635</v>
      </c>
      <c r="C995" t="s">
        <v>1285</v>
      </c>
      <c r="D995">
        <f t="shared" si="15"/>
        <v>0</v>
      </c>
      <c r="E995" t="s">
        <v>19</v>
      </c>
      <c r="F995" t="s">
        <v>2124</v>
      </c>
      <c r="G995" t="s">
        <v>322</v>
      </c>
      <c r="N995" s="107"/>
    </row>
    <row r="996" spans="1:14" hidden="1" x14ac:dyDescent="0.35">
      <c r="A996" t="s">
        <v>179</v>
      </c>
      <c r="B996" t="s">
        <v>688</v>
      </c>
      <c r="C996" t="s">
        <v>1285</v>
      </c>
      <c r="D996">
        <f t="shared" si="15"/>
        <v>0</v>
      </c>
      <c r="E996" t="s">
        <v>19</v>
      </c>
      <c r="F996" t="s">
        <v>2126</v>
      </c>
      <c r="G996" t="s">
        <v>322</v>
      </c>
      <c r="N996" s="107"/>
    </row>
    <row r="997" spans="1:14" hidden="1" x14ac:dyDescent="0.35">
      <c r="A997" t="s">
        <v>179</v>
      </c>
      <c r="B997" t="s">
        <v>808</v>
      </c>
      <c r="C997" t="s">
        <v>1285</v>
      </c>
      <c r="D997">
        <f t="shared" si="15"/>
        <v>0</v>
      </c>
      <c r="E997" t="s">
        <v>19</v>
      </c>
      <c r="F997" t="s">
        <v>2129</v>
      </c>
      <c r="G997" t="s">
        <v>322</v>
      </c>
      <c r="N997" s="107"/>
    </row>
    <row r="998" spans="1:14" hidden="1" x14ac:dyDescent="0.35">
      <c r="A998" t="s">
        <v>179</v>
      </c>
      <c r="B998" t="s">
        <v>810</v>
      </c>
      <c r="C998" t="s">
        <v>1285</v>
      </c>
      <c r="D998">
        <f t="shared" si="15"/>
        <v>0</v>
      </c>
      <c r="E998" t="s">
        <v>19</v>
      </c>
      <c r="F998" t="s">
        <v>2132</v>
      </c>
      <c r="G998" t="s">
        <v>322</v>
      </c>
      <c r="N998" s="107"/>
    </row>
    <row r="999" spans="1:14" hidden="1" x14ac:dyDescent="0.35">
      <c r="A999" t="s">
        <v>179</v>
      </c>
      <c r="B999" t="s">
        <v>630</v>
      </c>
      <c r="C999" t="s">
        <v>1293</v>
      </c>
      <c r="D999">
        <f t="shared" si="15"/>
        <v>0</v>
      </c>
      <c r="E999" t="s">
        <v>19</v>
      </c>
      <c r="F999" t="s">
        <v>2148</v>
      </c>
      <c r="G999" t="s">
        <v>322</v>
      </c>
      <c r="N999" s="107"/>
    </row>
    <row r="1000" spans="1:14" hidden="1" x14ac:dyDescent="0.35">
      <c r="A1000" t="s">
        <v>179</v>
      </c>
      <c r="B1000" t="s">
        <v>816</v>
      </c>
      <c r="C1000" t="s">
        <v>1293</v>
      </c>
      <c r="D1000">
        <f t="shared" si="15"/>
        <v>0</v>
      </c>
      <c r="E1000" t="s">
        <v>19</v>
      </c>
      <c r="F1000" t="s">
        <v>2154</v>
      </c>
      <c r="G1000" t="s">
        <v>322</v>
      </c>
      <c r="N1000" s="107"/>
    </row>
    <row r="1001" spans="1:14" hidden="1" x14ac:dyDescent="0.35">
      <c r="A1001" t="s">
        <v>179</v>
      </c>
      <c r="B1001" t="s">
        <v>634</v>
      </c>
      <c r="C1001" t="s">
        <v>1293</v>
      </c>
      <c r="D1001">
        <f t="shared" si="15"/>
        <v>0</v>
      </c>
      <c r="E1001" t="s">
        <v>19</v>
      </c>
      <c r="F1001" t="s">
        <v>2155</v>
      </c>
      <c r="G1001" t="s">
        <v>322</v>
      </c>
      <c r="N1001" s="107"/>
    </row>
    <row r="1002" spans="1:14" hidden="1" x14ac:dyDescent="0.35">
      <c r="A1002" t="s">
        <v>179</v>
      </c>
      <c r="B1002" t="s">
        <v>725</v>
      </c>
      <c r="C1002" t="s">
        <v>1293</v>
      </c>
      <c r="D1002">
        <f t="shared" si="15"/>
        <v>0</v>
      </c>
      <c r="E1002" t="s">
        <v>19</v>
      </c>
      <c r="F1002" t="s">
        <v>2156</v>
      </c>
      <c r="G1002" t="s">
        <v>322</v>
      </c>
      <c r="N1002" s="107"/>
    </row>
    <row r="1003" spans="1:14" hidden="1" x14ac:dyDescent="0.35">
      <c r="A1003" t="s">
        <v>179</v>
      </c>
      <c r="B1003" t="s">
        <v>818</v>
      </c>
      <c r="C1003" t="s">
        <v>1293</v>
      </c>
      <c r="D1003">
        <f t="shared" si="15"/>
        <v>0</v>
      </c>
      <c r="E1003" t="s">
        <v>19</v>
      </c>
      <c r="F1003" t="s">
        <v>2158</v>
      </c>
      <c r="G1003" t="s">
        <v>322</v>
      </c>
      <c r="N1003" s="107"/>
    </row>
    <row r="1004" spans="1:14" hidden="1" x14ac:dyDescent="0.35">
      <c r="A1004" t="s">
        <v>179</v>
      </c>
      <c r="B1004" t="s">
        <v>836</v>
      </c>
      <c r="C1004" t="s">
        <v>1302</v>
      </c>
      <c r="D1004">
        <f t="shared" si="15"/>
        <v>0</v>
      </c>
      <c r="E1004" t="s">
        <v>19</v>
      </c>
      <c r="F1004" t="s">
        <v>2179</v>
      </c>
      <c r="G1004" t="s">
        <v>322</v>
      </c>
      <c r="N1004" s="107"/>
    </row>
    <row r="1005" spans="1:14" hidden="1" x14ac:dyDescent="0.35">
      <c r="A1005" t="s">
        <v>179</v>
      </c>
      <c r="B1005" t="s">
        <v>704</v>
      </c>
      <c r="C1005" t="s">
        <v>1302</v>
      </c>
      <c r="D1005">
        <f t="shared" si="15"/>
        <v>0</v>
      </c>
      <c r="E1005" t="s">
        <v>19</v>
      </c>
      <c r="F1005" t="s">
        <v>2180</v>
      </c>
      <c r="G1005" t="s">
        <v>322</v>
      </c>
      <c r="N1005" s="107"/>
    </row>
    <row r="1006" spans="1:14" hidden="1" x14ac:dyDescent="0.35">
      <c r="A1006" t="s">
        <v>179</v>
      </c>
      <c r="B1006" t="s">
        <v>724</v>
      </c>
      <c r="C1006" t="s">
        <v>1329</v>
      </c>
      <c r="D1006">
        <f t="shared" si="15"/>
        <v>0</v>
      </c>
      <c r="E1006" t="s">
        <v>19</v>
      </c>
      <c r="F1006" t="s">
        <v>2241</v>
      </c>
      <c r="G1006" t="s">
        <v>322</v>
      </c>
      <c r="N1006" s="107"/>
    </row>
    <row r="1007" spans="1:14" hidden="1" x14ac:dyDescent="0.35">
      <c r="A1007" t="s">
        <v>179</v>
      </c>
      <c r="B1007" t="s">
        <v>895</v>
      </c>
      <c r="C1007" t="s">
        <v>1332</v>
      </c>
      <c r="D1007">
        <f t="shared" si="15"/>
        <v>0</v>
      </c>
      <c r="E1007" t="s">
        <v>19</v>
      </c>
      <c r="F1007" t="s">
        <v>2253</v>
      </c>
      <c r="G1007" t="s">
        <v>322</v>
      </c>
      <c r="N1007" s="107"/>
    </row>
    <row r="1008" spans="1:14" hidden="1" x14ac:dyDescent="0.35">
      <c r="A1008" t="s">
        <v>179</v>
      </c>
      <c r="B1008" t="s">
        <v>513</v>
      </c>
      <c r="C1008" t="s">
        <v>1337</v>
      </c>
      <c r="D1008">
        <f t="shared" si="15"/>
        <v>0</v>
      </c>
      <c r="E1008" t="s">
        <v>19</v>
      </c>
      <c r="F1008" t="s">
        <v>1337</v>
      </c>
      <c r="G1008" t="s">
        <v>322</v>
      </c>
      <c r="N1008" s="107"/>
    </row>
    <row r="1009" spans="1:14" hidden="1" x14ac:dyDescent="0.35">
      <c r="A1009" t="s">
        <v>179</v>
      </c>
      <c r="B1009" t="s">
        <v>513</v>
      </c>
      <c r="C1009" t="s">
        <v>1382</v>
      </c>
      <c r="D1009">
        <f t="shared" si="15"/>
        <v>0</v>
      </c>
      <c r="E1009" t="s">
        <v>19</v>
      </c>
      <c r="F1009" t="s">
        <v>2334</v>
      </c>
      <c r="G1009" t="s">
        <v>322</v>
      </c>
      <c r="N1009" s="107"/>
    </row>
    <row r="1010" spans="1:14" hidden="1" x14ac:dyDescent="0.35">
      <c r="A1010" t="s">
        <v>179</v>
      </c>
      <c r="B1010" t="s">
        <v>981</v>
      </c>
      <c r="C1010" t="s">
        <v>1411</v>
      </c>
      <c r="D1010">
        <f t="shared" si="15"/>
        <v>0</v>
      </c>
      <c r="E1010" t="s">
        <v>19</v>
      </c>
      <c r="F1010" t="s">
        <v>2447</v>
      </c>
      <c r="G1010" t="s">
        <v>322</v>
      </c>
      <c r="N1010" s="107"/>
    </row>
    <row r="1011" spans="1:14" hidden="1" x14ac:dyDescent="0.35">
      <c r="A1011" t="s">
        <v>179</v>
      </c>
      <c r="B1011" t="s">
        <v>997</v>
      </c>
      <c r="C1011" t="s">
        <v>1411</v>
      </c>
      <c r="D1011">
        <f t="shared" si="15"/>
        <v>0</v>
      </c>
      <c r="E1011" t="s">
        <v>19</v>
      </c>
      <c r="F1011" t="s">
        <v>2454</v>
      </c>
      <c r="G1011" t="s">
        <v>322</v>
      </c>
      <c r="N1011" s="107"/>
    </row>
    <row r="1012" spans="1:14" hidden="1" x14ac:dyDescent="0.35">
      <c r="A1012" t="s">
        <v>179</v>
      </c>
      <c r="B1012" t="s">
        <v>1095</v>
      </c>
      <c r="C1012" t="s">
        <v>1492</v>
      </c>
      <c r="D1012">
        <f t="shared" si="15"/>
        <v>0</v>
      </c>
      <c r="E1012" t="s">
        <v>19</v>
      </c>
      <c r="F1012" t="s">
        <v>1492</v>
      </c>
      <c r="G1012" t="s">
        <v>322</v>
      </c>
      <c r="N1012" s="107"/>
    </row>
    <row r="1013" spans="1:14" hidden="1" x14ac:dyDescent="0.35">
      <c r="A1013" t="s">
        <v>179</v>
      </c>
      <c r="B1013" t="s">
        <v>636</v>
      </c>
      <c r="C1013" t="s">
        <v>1514</v>
      </c>
      <c r="D1013">
        <f t="shared" si="15"/>
        <v>0</v>
      </c>
      <c r="E1013" t="s">
        <v>19</v>
      </c>
      <c r="F1013" t="s">
        <v>1514</v>
      </c>
      <c r="G1013" t="s">
        <v>322</v>
      </c>
      <c r="N1013" s="107"/>
    </row>
    <row r="1014" spans="1:14" hidden="1" x14ac:dyDescent="0.35">
      <c r="A1014" t="s">
        <v>179</v>
      </c>
      <c r="B1014" t="s">
        <v>1121</v>
      </c>
      <c r="C1014" t="s">
        <v>1516</v>
      </c>
      <c r="D1014">
        <f t="shared" si="15"/>
        <v>0</v>
      </c>
      <c r="E1014" t="s">
        <v>19</v>
      </c>
      <c r="F1014" t="s">
        <v>2816</v>
      </c>
      <c r="G1014" t="s">
        <v>322</v>
      </c>
      <c r="N1014" s="107"/>
    </row>
    <row r="1015" spans="1:14" hidden="1" x14ac:dyDescent="0.35">
      <c r="A1015" t="s">
        <v>179</v>
      </c>
      <c r="B1015" t="s">
        <v>1127</v>
      </c>
      <c r="C1015" t="s">
        <v>1529</v>
      </c>
      <c r="D1015">
        <f t="shared" si="15"/>
        <v>0</v>
      </c>
      <c r="E1015" t="s">
        <v>19</v>
      </c>
      <c r="F1015" t="s">
        <v>1529</v>
      </c>
      <c r="G1015" t="s">
        <v>322</v>
      </c>
      <c r="N1015" s="107"/>
    </row>
    <row r="1016" spans="1:14" hidden="1" x14ac:dyDescent="0.35">
      <c r="A1016" t="s">
        <v>180</v>
      </c>
      <c r="B1016" t="s">
        <v>515</v>
      </c>
      <c r="C1016" t="s">
        <v>1217</v>
      </c>
      <c r="D1016">
        <f t="shared" si="15"/>
        <v>0</v>
      </c>
      <c r="E1016" t="s">
        <v>19</v>
      </c>
      <c r="F1016" t="s">
        <v>1217</v>
      </c>
      <c r="G1016" t="s">
        <v>322</v>
      </c>
      <c r="N1016" s="107"/>
    </row>
    <row r="1017" spans="1:14" hidden="1" x14ac:dyDescent="0.35">
      <c r="A1017" t="s">
        <v>180</v>
      </c>
      <c r="B1017" t="s">
        <v>870</v>
      </c>
      <c r="C1017" t="s">
        <v>1317</v>
      </c>
      <c r="D1017">
        <f t="shared" si="15"/>
        <v>0</v>
      </c>
      <c r="E1017" t="s">
        <v>19</v>
      </c>
      <c r="F1017" t="s">
        <v>2219</v>
      </c>
      <c r="G1017" t="s">
        <v>322</v>
      </c>
      <c r="N1017" s="107"/>
    </row>
    <row r="1018" spans="1:14" hidden="1" x14ac:dyDescent="0.35">
      <c r="A1018" t="s">
        <v>180</v>
      </c>
      <c r="B1018" t="s">
        <v>515</v>
      </c>
      <c r="C1018" t="s">
        <v>1342</v>
      </c>
      <c r="D1018">
        <f t="shared" si="15"/>
        <v>0</v>
      </c>
      <c r="E1018" t="s">
        <v>19</v>
      </c>
      <c r="F1018" t="s">
        <v>2274</v>
      </c>
      <c r="G1018" t="s">
        <v>322</v>
      </c>
      <c r="N1018" s="107"/>
    </row>
    <row r="1019" spans="1:14" hidden="1" x14ac:dyDescent="0.35">
      <c r="A1019" t="s">
        <v>180</v>
      </c>
      <c r="B1019" t="s">
        <v>870</v>
      </c>
      <c r="C1019" t="s">
        <v>1342</v>
      </c>
      <c r="D1019">
        <f t="shared" si="15"/>
        <v>0</v>
      </c>
      <c r="E1019" t="s">
        <v>19</v>
      </c>
      <c r="F1019" t="s">
        <v>2279</v>
      </c>
      <c r="G1019" t="s">
        <v>322</v>
      </c>
      <c r="N1019" s="107"/>
    </row>
    <row r="1020" spans="1:14" hidden="1" x14ac:dyDescent="0.35">
      <c r="A1020" t="s">
        <v>180</v>
      </c>
      <c r="B1020" t="s">
        <v>515</v>
      </c>
      <c r="C1020" t="s">
        <v>1352</v>
      </c>
      <c r="D1020">
        <f t="shared" si="15"/>
        <v>0</v>
      </c>
      <c r="E1020" t="s">
        <v>19</v>
      </c>
      <c r="F1020" t="s">
        <v>1352</v>
      </c>
      <c r="G1020" t="s">
        <v>322</v>
      </c>
      <c r="N1020" s="107"/>
    </row>
    <row r="1021" spans="1:14" hidden="1" x14ac:dyDescent="0.35">
      <c r="A1021" t="s">
        <v>180</v>
      </c>
      <c r="B1021" t="s">
        <v>515</v>
      </c>
      <c r="C1021" t="s">
        <v>1353</v>
      </c>
      <c r="D1021">
        <f t="shared" si="15"/>
        <v>0</v>
      </c>
      <c r="E1021" t="s">
        <v>19</v>
      </c>
      <c r="F1021" t="s">
        <v>1353</v>
      </c>
      <c r="G1021" t="s">
        <v>322</v>
      </c>
      <c r="N1021" s="107"/>
    </row>
    <row r="1022" spans="1:14" hidden="1" x14ac:dyDescent="0.35">
      <c r="A1022" t="s">
        <v>180</v>
      </c>
      <c r="B1022" t="s">
        <v>515</v>
      </c>
      <c r="C1022" t="s">
        <v>1479</v>
      </c>
      <c r="D1022">
        <f t="shared" si="15"/>
        <v>0</v>
      </c>
      <c r="E1022" t="s">
        <v>19</v>
      </c>
      <c r="F1022" t="s">
        <v>2703</v>
      </c>
      <c r="G1022" t="s">
        <v>322</v>
      </c>
      <c r="N1022" s="107"/>
    </row>
    <row r="1023" spans="1:14" hidden="1" x14ac:dyDescent="0.35">
      <c r="A1023" t="s">
        <v>180</v>
      </c>
      <c r="B1023" t="s">
        <v>1086</v>
      </c>
      <c r="C1023" t="s">
        <v>1481</v>
      </c>
      <c r="D1023">
        <f t="shared" si="15"/>
        <v>0</v>
      </c>
      <c r="E1023" t="s">
        <v>19</v>
      </c>
      <c r="F1023" t="s">
        <v>1481</v>
      </c>
      <c r="G1023" t="s">
        <v>322</v>
      </c>
      <c r="N1023" s="107"/>
    </row>
    <row r="1024" spans="1:14" hidden="1" x14ac:dyDescent="0.35">
      <c r="A1024" t="s">
        <v>181</v>
      </c>
      <c r="B1024" t="s">
        <v>517</v>
      </c>
      <c r="C1024" t="s">
        <v>1160</v>
      </c>
      <c r="D1024">
        <f t="shared" si="15"/>
        <v>0</v>
      </c>
      <c r="E1024" t="s">
        <v>19</v>
      </c>
      <c r="F1024" t="s">
        <v>1160</v>
      </c>
      <c r="G1024" t="s">
        <v>322</v>
      </c>
      <c r="N1024" s="107"/>
    </row>
    <row r="1025" spans="1:14" hidden="1" x14ac:dyDescent="0.35">
      <c r="A1025" t="s">
        <v>181</v>
      </c>
      <c r="B1025" t="s">
        <v>649</v>
      </c>
      <c r="C1025" t="s">
        <v>1202</v>
      </c>
      <c r="D1025">
        <f t="shared" ref="D1025:D1088" si="16">SIGN(SUBTOTAL(3,E1025))</f>
        <v>0</v>
      </c>
      <c r="E1025" t="s">
        <v>19</v>
      </c>
      <c r="F1025" t="s">
        <v>1202</v>
      </c>
      <c r="G1025" t="s">
        <v>322</v>
      </c>
      <c r="N1025" s="107"/>
    </row>
    <row r="1026" spans="1:14" hidden="1" x14ac:dyDescent="0.35">
      <c r="A1026" t="s">
        <v>181</v>
      </c>
      <c r="B1026" t="s">
        <v>661</v>
      </c>
      <c r="C1026" t="s">
        <v>1208</v>
      </c>
      <c r="D1026">
        <f t="shared" si="16"/>
        <v>0</v>
      </c>
      <c r="E1026" t="s">
        <v>19</v>
      </c>
      <c r="F1026" t="s">
        <v>1878</v>
      </c>
      <c r="G1026" t="s">
        <v>322</v>
      </c>
      <c r="N1026" s="107"/>
    </row>
    <row r="1027" spans="1:14" hidden="1" x14ac:dyDescent="0.35">
      <c r="A1027" t="s">
        <v>181</v>
      </c>
      <c r="B1027" t="s">
        <v>661</v>
      </c>
      <c r="C1027" t="s">
        <v>1208</v>
      </c>
      <c r="D1027">
        <f t="shared" si="16"/>
        <v>0</v>
      </c>
      <c r="E1027" t="s">
        <v>19</v>
      </c>
      <c r="F1027" t="s">
        <v>1879</v>
      </c>
      <c r="G1027" t="s">
        <v>322</v>
      </c>
      <c r="N1027" s="107"/>
    </row>
    <row r="1028" spans="1:14" hidden="1" x14ac:dyDescent="0.35">
      <c r="A1028" t="s">
        <v>181</v>
      </c>
      <c r="B1028" t="s">
        <v>662</v>
      </c>
      <c r="C1028" t="s">
        <v>1208</v>
      </c>
      <c r="D1028">
        <f t="shared" si="16"/>
        <v>0</v>
      </c>
      <c r="E1028" t="s">
        <v>19</v>
      </c>
      <c r="F1028" t="s">
        <v>1880</v>
      </c>
      <c r="G1028" t="s">
        <v>322</v>
      </c>
      <c r="N1028" s="107"/>
    </row>
    <row r="1029" spans="1:14" hidden="1" x14ac:dyDescent="0.35">
      <c r="A1029" t="s">
        <v>181</v>
      </c>
      <c r="B1029" t="s">
        <v>662</v>
      </c>
      <c r="C1029" t="s">
        <v>1208</v>
      </c>
      <c r="D1029">
        <f t="shared" si="16"/>
        <v>0</v>
      </c>
      <c r="E1029" t="s">
        <v>19</v>
      </c>
      <c r="F1029" t="s">
        <v>1881</v>
      </c>
      <c r="G1029" t="s">
        <v>322</v>
      </c>
      <c r="N1029" s="107"/>
    </row>
    <row r="1030" spans="1:14" hidden="1" x14ac:dyDescent="0.35">
      <c r="A1030" t="s">
        <v>181</v>
      </c>
      <c r="B1030" t="s">
        <v>661</v>
      </c>
      <c r="C1030" t="s">
        <v>1227</v>
      </c>
      <c r="D1030">
        <f t="shared" si="16"/>
        <v>0</v>
      </c>
      <c r="E1030" t="s">
        <v>19</v>
      </c>
      <c r="F1030" t="s">
        <v>1951</v>
      </c>
      <c r="G1030" t="s">
        <v>322</v>
      </c>
      <c r="N1030" s="107"/>
    </row>
    <row r="1031" spans="1:14" hidden="1" x14ac:dyDescent="0.35">
      <c r="A1031" t="s">
        <v>181</v>
      </c>
      <c r="B1031" t="s">
        <v>710</v>
      </c>
      <c r="C1031" t="s">
        <v>1227</v>
      </c>
      <c r="D1031">
        <f t="shared" si="16"/>
        <v>0</v>
      </c>
      <c r="E1031" t="s">
        <v>19</v>
      </c>
      <c r="F1031" t="s">
        <v>1952</v>
      </c>
      <c r="G1031" t="s">
        <v>322</v>
      </c>
      <c r="N1031" s="107"/>
    </row>
    <row r="1032" spans="1:14" hidden="1" x14ac:dyDescent="0.35">
      <c r="A1032" t="s">
        <v>181</v>
      </c>
      <c r="B1032" t="s">
        <v>662</v>
      </c>
      <c r="C1032" t="s">
        <v>1227</v>
      </c>
      <c r="D1032">
        <f t="shared" si="16"/>
        <v>0</v>
      </c>
      <c r="E1032" t="s">
        <v>19</v>
      </c>
      <c r="F1032" t="s">
        <v>1958</v>
      </c>
      <c r="G1032" t="s">
        <v>322</v>
      </c>
      <c r="N1032" s="107"/>
    </row>
    <row r="1033" spans="1:14" hidden="1" x14ac:dyDescent="0.35">
      <c r="A1033" t="s">
        <v>181</v>
      </c>
      <c r="B1033" t="s">
        <v>517</v>
      </c>
      <c r="C1033" t="s">
        <v>1227</v>
      </c>
      <c r="D1033">
        <f t="shared" si="16"/>
        <v>0</v>
      </c>
      <c r="E1033" t="s">
        <v>19</v>
      </c>
      <c r="F1033" t="s">
        <v>1968</v>
      </c>
      <c r="G1033" t="s">
        <v>322</v>
      </c>
      <c r="N1033" s="107"/>
    </row>
    <row r="1034" spans="1:14" hidden="1" x14ac:dyDescent="0.35">
      <c r="A1034" t="s">
        <v>181</v>
      </c>
      <c r="B1034" t="s">
        <v>746</v>
      </c>
      <c r="C1034" t="s">
        <v>1243</v>
      </c>
      <c r="D1034">
        <f t="shared" si="16"/>
        <v>0</v>
      </c>
      <c r="E1034" t="s">
        <v>19</v>
      </c>
      <c r="F1034" t="s">
        <v>2024</v>
      </c>
      <c r="G1034" t="s">
        <v>322</v>
      </c>
      <c r="N1034" s="107"/>
    </row>
    <row r="1035" spans="1:14" hidden="1" x14ac:dyDescent="0.35">
      <c r="A1035" t="s">
        <v>181</v>
      </c>
      <c r="B1035" t="s">
        <v>669</v>
      </c>
      <c r="C1035" t="s">
        <v>1301</v>
      </c>
      <c r="D1035">
        <f t="shared" si="16"/>
        <v>0</v>
      </c>
      <c r="E1035" t="s">
        <v>19</v>
      </c>
      <c r="F1035" t="s">
        <v>2170</v>
      </c>
      <c r="G1035" t="s">
        <v>322</v>
      </c>
      <c r="N1035" s="107"/>
    </row>
    <row r="1036" spans="1:14" hidden="1" x14ac:dyDescent="0.35">
      <c r="A1036" t="s">
        <v>181</v>
      </c>
      <c r="B1036" t="s">
        <v>833</v>
      </c>
      <c r="C1036" t="s">
        <v>1301</v>
      </c>
      <c r="D1036">
        <f t="shared" si="16"/>
        <v>0</v>
      </c>
      <c r="E1036" t="s">
        <v>19</v>
      </c>
      <c r="F1036" t="s">
        <v>2175</v>
      </c>
      <c r="G1036" t="s">
        <v>322</v>
      </c>
      <c r="N1036" s="107"/>
    </row>
    <row r="1037" spans="1:14" hidden="1" x14ac:dyDescent="0.35">
      <c r="A1037" t="s">
        <v>181</v>
      </c>
      <c r="B1037" t="s">
        <v>517</v>
      </c>
      <c r="C1037" t="s">
        <v>1393</v>
      </c>
      <c r="D1037">
        <f t="shared" si="16"/>
        <v>0</v>
      </c>
      <c r="E1037" t="s">
        <v>19</v>
      </c>
      <c r="F1037" t="s">
        <v>2363</v>
      </c>
      <c r="G1037" t="s">
        <v>322</v>
      </c>
      <c r="N1037" s="107"/>
    </row>
    <row r="1038" spans="1:14" hidden="1" x14ac:dyDescent="0.35">
      <c r="A1038" t="s">
        <v>181</v>
      </c>
      <c r="B1038" t="s">
        <v>662</v>
      </c>
      <c r="C1038" t="s">
        <v>1392</v>
      </c>
      <c r="D1038">
        <f t="shared" si="16"/>
        <v>0</v>
      </c>
      <c r="E1038" t="s">
        <v>19</v>
      </c>
      <c r="F1038" t="s">
        <v>2374</v>
      </c>
      <c r="G1038" t="s">
        <v>322</v>
      </c>
      <c r="N1038" s="107"/>
    </row>
    <row r="1039" spans="1:14" hidden="1" x14ac:dyDescent="0.35">
      <c r="A1039" t="s">
        <v>181</v>
      </c>
      <c r="B1039" t="s">
        <v>662</v>
      </c>
      <c r="C1039" t="s">
        <v>1392</v>
      </c>
      <c r="D1039">
        <f t="shared" si="16"/>
        <v>0</v>
      </c>
      <c r="E1039" t="s">
        <v>19</v>
      </c>
      <c r="F1039" t="s">
        <v>2375</v>
      </c>
      <c r="G1039" t="s">
        <v>322</v>
      </c>
      <c r="N1039" s="107"/>
    </row>
    <row r="1040" spans="1:14" hidden="1" x14ac:dyDescent="0.35">
      <c r="A1040" t="s">
        <v>181</v>
      </c>
      <c r="B1040" t="s">
        <v>661</v>
      </c>
      <c r="C1040" t="s">
        <v>1391</v>
      </c>
      <c r="D1040">
        <f t="shared" si="16"/>
        <v>0</v>
      </c>
      <c r="E1040" t="s">
        <v>19</v>
      </c>
      <c r="F1040" t="s">
        <v>2376</v>
      </c>
      <c r="G1040" t="s">
        <v>322</v>
      </c>
      <c r="N1040" s="107"/>
    </row>
    <row r="1041" spans="1:14" hidden="1" x14ac:dyDescent="0.35">
      <c r="A1041" t="s">
        <v>181</v>
      </c>
      <c r="B1041" t="s">
        <v>954</v>
      </c>
      <c r="C1041" t="s">
        <v>1385</v>
      </c>
      <c r="D1041">
        <f t="shared" si="16"/>
        <v>0</v>
      </c>
      <c r="E1041" t="s">
        <v>19</v>
      </c>
      <c r="F1041" t="s">
        <v>2382</v>
      </c>
      <c r="G1041" t="s">
        <v>322</v>
      </c>
      <c r="N1041" s="107"/>
    </row>
    <row r="1042" spans="1:14" hidden="1" x14ac:dyDescent="0.35">
      <c r="A1042" t="s">
        <v>181</v>
      </c>
      <c r="B1042" t="s">
        <v>710</v>
      </c>
      <c r="C1042" t="s">
        <v>1414</v>
      </c>
      <c r="D1042">
        <f t="shared" si="16"/>
        <v>0</v>
      </c>
      <c r="E1042" t="s">
        <v>19</v>
      </c>
      <c r="F1042" t="s">
        <v>2494</v>
      </c>
      <c r="G1042" t="s">
        <v>322</v>
      </c>
      <c r="N1042" s="107"/>
    </row>
    <row r="1043" spans="1:14" hidden="1" x14ac:dyDescent="0.35">
      <c r="A1043" t="s">
        <v>181</v>
      </c>
      <c r="B1043" t="s">
        <v>661</v>
      </c>
      <c r="C1043" t="s">
        <v>1462</v>
      </c>
      <c r="D1043">
        <f t="shared" si="16"/>
        <v>0</v>
      </c>
      <c r="E1043" t="s">
        <v>19</v>
      </c>
      <c r="F1043" t="s">
        <v>2656</v>
      </c>
      <c r="G1043" t="s">
        <v>322</v>
      </c>
      <c r="N1043" s="107"/>
    </row>
    <row r="1044" spans="1:14" hidden="1" x14ac:dyDescent="0.35">
      <c r="A1044" t="s">
        <v>181</v>
      </c>
      <c r="B1044" t="s">
        <v>661</v>
      </c>
      <c r="C1044" t="s">
        <v>1483</v>
      </c>
      <c r="D1044">
        <f t="shared" si="16"/>
        <v>0</v>
      </c>
      <c r="E1044" t="s">
        <v>19</v>
      </c>
      <c r="F1044" t="s">
        <v>2721</v>
      </c>
      <c r="G1044" t="s">
        <v>322</v>
      </c>
      <c r="N1044" s="107"/>
    </row>
    <row r="1045" spans="1:14" hidden="1" x14ac:dyDescent="0.35">
      <c r="A1045" t="s">
        <v>181</v>
      </c>
      <c r="B1045" t="s">
        <v>1101</v>
      </c>
      <c r="C1045" t="s">
        <v>1501</v>
      </c>
      <c r="D1045">
        <f t="shared" si="16"/>
        <v>0</v>
      </c>
      <c r="E1045" t="s">
        <v>19</v>
      </c>
      <c r="F1045" t="s">
        <v>2745</v>
      </c>
      <c r="G1045" t="s">
        <v>322</v>
      </c>
      <c r="N1045" s="107"/>
    </row>
    <row r="1046" spans="1:14" hidden="1" x14ac:dyDescent="0.35">
      <c r="A1046" t="s">
        <v>181</v>
      </c>
      <c r="B1046" t="s">
        <v>661</v>
      </c>
      <c r="C1046" t="s">
        <v>1509</v>
      </c>
      <c r="D1046">
        <f t="shared" si="16"/>
        <v>0</v>
      </c>
      <c r="E1046" t="s">
        <v>19</v>
      </c>
      <c r="F1046" t="s">
        <v>2779</v>
      </c>
      <c r="G1046" t="s">
        <v>322</v>
      </c>
      <c r="N1046" s="107"/>
    </row>
    <row r="1047" spans="1:14" hidden="1" x14ac:dyDescent="0.35">
      <c r="A1047" t="s">
        <v>182</v>
      </c>
      <c r="B1047" t="s">
        <v>933</v>
      </c>
      <c r="C1047" t="s">
        <v>1371</v>
      </c>
      <c r="D1047">
        <f t="shared" si="16"/>
        <v>0</v>
      </c>
      <c r="E1047" t="s">
        <v>19</v>
      </c>
      <c r="F1047" t="s">
        <v>2313</v>
      </c>
      <c r="G1047" t="s">
        <v>322</v>
      </c>
      <c r="N1047" s="107"/>
    </row>
    <row r="1048" spans="1:14" hidden="1" x14ac:dyDescent="0.35">
      <c r="A1048" t="s">
        <v>182</v>
      </c>
      <c r="B1048" t="s">
        <v>965</v>
      </c>
      <c r="C1048" t="s">
        <v>1404</v>
      </c>
      <c r="D1048">
        <f t="shared" si="16"/>
        <v>0</v>
      </c>
      <c r="E1048" t="s">
        <v>19</v>
      </c>
      <c r="F1048" t="s">
        <v>2404</v>
      </c>
      <c r="G1048" t="s">
        <v>322</v>
      </c>
      <c r="N1048" s="107"/>
    </row>
    <row r="1049" spans="1:14" hidden="1" x14ac:dyDescent="0.35">
      <c r="A1049" t="s">
        <v>182</v>
      </c>
      <c r="B1049" t="s">
        <v>968</v>
      </c>
      <c r="C1049" t="s">
        <v>1404</v>
      </c>
      <c r="D1049">
        <f t="shared" si="16"/>
        <v>0</v>
      </c>
      <c r="E1049" t="s">
        <v>19</v>
      </c>
      <c r="F1049" t="s">
        <v>2407</v>
      </c>
      <c r="G1049" t="s">
        <v>322</v>
      </c>
      <c r="N1049" s="107"/>
    </row>
    <row r="1050" spans="1:14" hidden="1" x14ac:dyDescent="0.35">
      <c r="A1050" t="s">
        <v>182</v>
      </c>
      <c r="B1050" t="s">
        <v>988</v>
      </c>
      <c r="C1050" t="s">
        <v>1404</v>
      </c>
      <c r="D1050">
        <f t="shared" si="16"/>
        <v>0</v>
      </c>
      <c r="E1050" t="s">
        <v>19</v>
      </c>
      <c r="F1050" t="s">
        <v>2436</v>
      </c>
      <c r="G1050" t="s">
        <v>322</v>
      </c>
      <c r="N1050" s="107"/>
    </row>
    <row r="1051" spans="1:14" hidden="1" x14ac:dyDescent="0.35">
      <c r="A1051" t="s">
        <v>182</v>
      </c>
      <c r="B1051" t="s">
        <v>1043</v>
      </c>
      <c r="C1051" t="s">
        <v>1443</v>
      </c>
      <c r="D1051">
        <f t="shared" si="16"/>
        <v>0</v>
      </c>
      <c r="E1051" t="s">
        <v>19</v>
      </c>
      <c r="F1051" t="s">
        <v>2586</v>
      </c>
      <c r="G1051" t="s">
        <v>322</v>
      </c>
      <c r="N1051" s="107"/>
    </row>
    <row r="1052" spans="1:14" hidden="1" x14ac:dyDescent="0.35">
      <c r="A1052" t="s">
        <v>182</v>
      </c>
      <c r="B1052" t="s">
        <v>1044</v>
      </c>
      <c r="C1052" t="s">
        <v>1443</v>
      </c>
      <c r="D1052">
        <f t="shared" si="16"/>
        <v>0</v>
      </c>
      <c r="E1052" t="s">
        <v>19</v>
      </c>
      <c r="F1052" t="s">
        <v>2588</v>
      </c>
      <c r="G1052" t="s">
        <v>322</v>
      </c>
      <c r="N1052" s="107"/>
    </row>
    <row r="1053" spans="1:14" hidden="1" x14ac:dyDescent="0.35">
      <c r="A1053" t="s">
        <v>182</v>
      </c>
      <c r="B1053" t="s">
        <v>859</v>
      </c>
      <c r="C1053" t="s">
        <v>1443</v>
      </c>
      <c r="D1053">
        <f t="shared" si="16"/>
        <v>0</v>
      </c>
      <c r="E1053" t="s">
        <v>19</v>
      </c>
      <c r="F1053" t="s">
        <v>2589</v>
      </c>
      <c r="G1053" t="s">
        <v>322</v>
      </c>
      <c r="N1053" s="107"/>
    </row>
    <row r="1054" spans="1:14" hidden="1" x14ac:dyDescent="0.35">
      <c r="A1054" t="s">
        <v>182</v>
      </c>
      <c r="B1054" t="s">
        <v>965</v>
      </c>
      <c r="C1054" t="s">
        <v>1443</v>
      </c>
      <c r="D1054">
        <f t="shared" si="16"/>
        <v>0</v>
      </c>
      <c r="E1054" t="s">
        <v>19</v>
      </c>
      <c r="F1054" t="s">
        <v>2591</v>
      </c>
      <c r="G1054" t="s">
        <v>322</v>
      </c>
      <c r="N1054" s="107"/>
    </row>
    <row r="1055" spans="1:14" hidden="1" x14ac:dyDescent="0.35">
      <c r="A1055" t="s">
        <v>182</v>
      </c>
      <c r="B1055" t="s">
        <v>1053</v>
      </c>
      <c r="C1055" t="s">
        <v>1443</v>
      </c>
      <c r="D1055">
        <f t="shared" si="16"/>
        <v>0</v>
      </c>
      <c r="E1055" t="s">
        <v>19</v>
      </c>
      <c r="F1055" t="s">
        <v>2613</v>
      </c>
      <c r="G1055" t="s">
        <v>322</v>
      </c>
      <c r="N1055" s="107"/>
    </row>
    <row r="1056" spans="1:14" hidden="1" x14ac:dyDescent="0.35">
      <c r="A1056" t="s">
        <v>183</v>
      </c>
      <c r="B1056" t="s">
        <v>521</v>
      </c>
      <c r="C1056" t="s">
        <v>1164</v>
      </c>
      <c r="D1056">
        <f t="shared" si="16"/>
        <v>0</v>
      </c>
      <c r="E1056" t="s">
        <v>19</v>
      </c>
      <c r="F1056" t="s">
        <v>1741</v>
      </c>
      <c r="G1056" t="s">
        <v>322</v>
      </c>
      <c r="N1056" s="107"/>
    </row>
    <row r="1057" spans="1:14" hidden="1" x14ac:dyDescent="0.35">
      <c r="A1057" t="s">
        <v>183</v>
      </c>
      <c r="B1057" t="s">
        <v>521</v>
      </c>
      <c r="C1057" t="s">
        <v>1171</v>
      </c>
      <c r="D1057">
        <f t="shared" si="16"/>
        <v>0</v>
      </c>
      <c r="E1057" t="s">
        <v>19</v>
      </c>
      <c r="F1057" t="s">
        <v>1753</v>
      </c>
      <c r="G1057" t="s">
        <v>322</v>
      </c>
      <c r="N1057" s="107"/>
    </row>
    <row r="1058" spans="1:14" hidden="1" x14ac:dyDescent="0.35">
      <c r="A1058" t="s">
        <v>183</v>
      </c>
      <c r="B1058" t="s">
        <v>520</v>
      </c>
      <c r="C1058" t="s">
        <v>1171</v>
      </c>
      <c r="D1058">
        <f t="shared" si="16"/>
        <v>0</v>
      </c>
      <c r="E1058" t="s">
        <v>19</v>
      </c>
      <c r="F1058" t="s">
        <v>1754</v>
      </c>
      <c r="G1058" t="s">
        <v>322</v>
      </c>
      <c r="N1058" s="107"/>
    </row>
    <row r="1059" spans="1:14" hidden="1" x14ac:dyDescent="0.35">
      <c r="A1059" t="s">
        <v>183</v>
      </c>
      <c r="B1059" t="s">
        <v>583</v>
      </c>
      <c r="C1059" t="s">
        <v>1172</v>
      </c>
      <c r="D1059">
        <f t="shared" si="16"/>
        <v>0</v>
      </c>
      <c r="E1059" t="s">
        <v>19</v>
      </c>
      <c r="F1059" t="s">
        <v>1769</v>
      </c>
      <c r="G1059" t="s">
        <v>322</v>
      </c>
      <c r="N1059" s="107"/>
    </row>
    <row r="1060" spans="1:14" hidden="1" x14ac:dyDescent="0.35">
      <c r="A1060" t="s">
        <v>183</v>
      </c>
      <c r="B1060" t="s">
        <v>521</v>
      </c>
      <c r="C1060" t="s">
        <v>1175</v>
      </c>
      <c r="D1060">
        <f t="shared" si="16"/>
        <v>0</v>
      </c>
      <c r="E1060" t="s">
        <v>19</v>
      </c>
      <c r="F1060" t="s">
        <v>1784</v>
      </c>
      <c r="G1060" t="s">
        <v>322</v>
      </c>
      <c r="N1060" s="107"/>
    </row>
    <row r="1061" spans="1:14" hidden="1" x14ac:dyDescent="0.35">
      <c r="A1061" t="s">
        <v>183</v>
      </c>
      <c r="B1061" t="s">
        <v>723</v>
      </c>
      <c r="C1061" t="s">
        <v>1227</v>
      </c>
      <c r="D1061">
        <f t="shared" si="16"/>
        <v>0</v>
      </c>
      <c r="E1061" t="s">
        <v>19</v>
      </c>
      <c r="F1061" t="s">
        <v>1987</v>
      </c>
      <c r="G1061" t="s">
        <v>322</v>
      </c>
      <c r="N1061" s="107"/>
    </row>
    <row r="1062" spans="1:14" hidden="1" x14ac:dyDescent="0.35">
      <c r="A1062" t="s">
        <v>183</v>
      </c>
      <c r="B1062" t="s">
        <v>520</v>
      </c>
      <c r="C1062" t="s">
        <v>1233</v>
      </c>
      <c r="D1062">
        <f t="shared" si="16"/>
        <v>0</v>
      </c>
      <c r="E1062" t="s">
        <v>19</v>
      </c>
      <c r="F1062" t="s">
        <v>1993</v>
      </c>
      <c r="G1062" t="s">
        <v>322</v>
      </c>
      <c r="N1062" s="107"/>
    </row>
    <row r="1063" spans="1:14" hidden="1" x14ac:dyDescent="0.35">
      <c r="A1063" t="s">
        <v>183</v>
      </c>
      <c r="B1063" t="s">
        <v>520</v>
      </c>
      <c r="C1063" t="s">
        <v>1233</v>
      </c>
      <c r="D1063">
        <f t="shared" si="16"/>
        <v>0</v>
      </c>
      <c r="E1063" t="s">
        <v>19</v>
      </c>
      <c r="F1063" t="s">
        <v>1994</v>
      </c>
      <c r="G1063" t="s">
        <v>322</v>
      </c>
      <c r="N1063" s="107"/>
    </row>
    <row r="1064" spans="1:14" hidden="1" x14ac:dyDescent="0.35">
      <c r="A1064" t="s">
        <v>183</v>
      </c>
      <c r="B1064" t="s">
        <v>522</v>
      </c>
      <c r="C1064" t="s">
        <v>1233</v>
      </c>
      <c r="D1064">
        <f t="shared" si="16"/>
        <v>0</v>
      </c>
      <c r="E1064" t="s">
        <v>19</v>
      </c>
      <c r="F1064" t="s">
        <v>1995</v>
      </c>
      <c r="G1064" t="s">
        <v>322</v>
      </c>
      <c r="N1064" s="107"/>
    </row>
    <row r="1065" spans="1:14" hidden="1" x14ac:dyDescent="0.35">
      <c r="A1065" t="s">
        <v>183</v>
      </c>
      <c r="B1065" t="s">
        <v>522</v>
      </c>
      <c r="C1065" t="s">
        <v>1234</v>
      </c>
      <c r="D1065">
        <f t="shared" si="16"/>
        <v>0</v>
      </c>
      <c r="E1065" t="s">
        <v>19</v>
      </c>
      <c r="F1065" t="s">
        <v>1234</v>
      </c>
      <c r="G1065" t="s">
        <v>322</v>
      </c>
      <c r="N1065" s="107"/>
    </row>
    <row r="1066" spans="1:14" hidden="1" x14ac:dyDescent="0.35">
      <c r="A1066" t="s">
        <v>183</v>
      </c>
      <c r="B1066" t="s">
        <v>729</v>
      </c>
      <c r="C1066" t="s">
        <v>1233</v>
      </c>
      <c r="D1066">
        <f t="shared" si="16"/>
        <v>0</v>
      </c>
      <c r="E1066" t="s">
        <v>19</v>
      </c>
      <c r="F1066" t="s">
        <v>1996</v>
      </c>
      <c r="G1066" t="s">
        <v>322</v>
      </c>
      <c r="N1066" s="107"/>
    </row>
    <row r="1067" spans="1:14" hidden="1" x14ac:dyDescent="0.35">
      <c r="A1067" t="s">
        <v>183</v>
      </c>
      <c r="B1067" t="s">
        <v>729</v>
      </c>
      <c r="C1067" t="s">
        <v>1233</v>
      </c>
      <c r="D1067">
        <f t="shared" si="16"/>
        <v>0</v>
      </c>
      <c r="E1067" t="s">
        <v>19</v>
      </c>
      <c r="F1067" t="s">
        <v>1997</v>
      </c>
      <c r="G1067" t="s">
        <v>322</v>
      </c>
      <c r="N1067" s="107"/>
    </row>
    <row r="1068" spans="1:14" hidden="1" x14ac:dyDescent="0.35">
      <c r="A1068" t="s">
        <v>183</v>
      </c>
      <c r="B1068" t="s">
        <v>729</v>
      </c>
      <c r="C1068" t="s">
        <v>1246</v>
      </c>
      <c r="D1068">
        <f t="shared" si="16"/>
        <v>0</v>
      </c>
      <c r="E1068" t="s">
        <v>19</v>
      </c>
      <c r="F1068" t="s">
        <v>1246</v>
      </c>
      <c r="G1068" t="s">
        <v>322</v>
      </c>
      <c r="N1068" s="107"/>
    </row>
    <row r="1069" spans="1:14" hidden="1" x14ac:dyDescent="0.35">
      <c r="A1069" t="s">
        <v>183</v>
      </c>
      <c r="B1069" t="s">
        <v>520</v>
      </c>
      <c r="C1069" t="s">
        <v>1262</v>
      </c>
      <c r="D1069">
        <f t="shared" si="16"/>
        <v>0</v>
      </c>
      <c r="E1069" t="s">
        <v>19</v>
      </c>
      <c r="F1069" t="s">
        <v>1262</v>
      </c>
      <c r="G1069" t="s">
        <v>322</v>
      </c>
      <c r="N1069" s="107"/>
    </row>
    <row r="1070" spans="1:14" hidden="1" x14ac:dyDescent="0.35">
      <c r="A1070" t="s">
        <v>183</v>
      </c>
      <c r="B1070" t="s">
        <v>520</v>
      </c>
      <c r="C1070" t="s">
        <v>1264</v>
      </c>
      <c r="D1070">
        <f t="shared" si="16"/>
        <v>0</v>
      </c>
      <c r="E1070" t="s">
        <v>19</v>
      </c>
      <c r="F1070" t="s">
        <v>2075</v>
      </c>
      <c r="G1070" t="s">
        <v>322</v>
      </c>
      <c r="N1070" s="107"/>
    </row>
    <row r="1071" spans="1:14" hidden="1" x14ac:dyDescent="0.35">
      <c r="A1071" t="s">
        <v>183</v>
      </c>
      <c r="B1071" t="s">
        <v>521</v>
      </c>
      <c r="C1071" t="s">
        <v>1264</v>
      </c>
      <c r="D1071">
        <f t="shared" si="16"/>
        <v>0</v>
      </c>
      <c r="E1071" t="s">
        <v>19</v>
      </c>
      <c r="F1071" t="s">
        <v>2076</v>
      </c>
      <c r="G1071" t="s">
        <v>322</v>
      </c>
      <c r="N1071" s="107"/>
    </row>
    <row r="1072" spans="1:14" hidden="1" x14ac:dyDescent="0.35">
      <c r="A1072" t="s">
        <v>183</v>
      </c>
      <c r="B1072" t="s">
        <v>522</v>
      </c>
      <c r="C1072" t="s">
        <v>1272</v>
      </c>
      <c r="D1072">
        <f t="shared" si="16"/>
        <v>0</v>
      </c>
      <c r="E1072" t="s">
        <v>19</v>
      </c>
      <c r="F1072" t="s">
        <v>2087</v>
      </c>
      <c r="G1072" t="s">
        <v>322</v>
      </c>
      <c r="N1072" s="107"/>
    </row>
    <row r="1073" spans="1:14" hidden="1" x14ac:dyDescent="0.35">
      <c r="A1073" t="s">
        <v>183</v>
      </c>
      <c r="B1073" t="s">
        <v>522</v>
      </c>
      <c r="C1073" t="s">
        <v>1272</v>
      </c>
      <c r="D1073">
        <f t="shared" si="16"/>
        <v>0</v>
      </c>
      <c r="E1073" t="s">
        <v>19</v>
      </c>
      <c r="F1073" t="s">
        <v>2088</v>
      </c>
      <c r="G1073" t="s">
        <v>322</v>
      </c>
      <c r="N1073" s="107"/>
    </row>
    <row r="1074" spans="1:14" hidden="1" x14ac:dyDescent="0.35">
      <c r="A1074" t="s">
        <v>183</v>
      </c>
      <c r="B1074" t="s">
        <v>520</v>
      </c>
      <c r="C1074" t="s">
        <v>1314</v>
      </c>
      <c r="D1074">
        <f t="shared" si="16"/>
        <v>0</v>
      </c>
      <c r="E1074" t="s">
        <v>19</v>
      </c>
      <c r="F1074" t="s">
        <v>2214</v>
      </c>
      <c r="G1074" t="s">
        <v>322</v>
      </c>
      <c r="N1074" s="107"/>
    </row>
    <row r="1075" spans="1:14" hidden="1" x14ac:dyDescent="0.35">
      <c r="A1075" t="s">
        <v>183</v>
      </c>
      <c r="B1075" t="s">
        <v>521</v>
      </c>
      <c r="C1075" t="s">
        <v>1317</v>
      </c>
      <c r="D1075">
        <f t="shared" si="16"/>
        <v>0</v>
      </c>
      <c r="E1075" t="s">
        <v>19</v>
      </c>
      <c r="F1075" t="s">
        <v>2223</v>
      </c>
      <c r="G1075" t="s">
        <v>322</v>
      </c>
      <c r="N1075" s="107"/>
    </row>
    <row r="1076" spans="1:14" hidden="1" x14ac:dyDescent="0.35">
      <c r="A1076" t="s">
        <v>183</v>
      </c>
      <c r="B1076" t="s">
        <v>729</v>
      </c>
      <c r="C1076" t="s">
        <v>1392</v>
      </c>
      <c r="D1076">
        <f t="shared" si="16"/>
        <v>0</v>
      </c>
      <c r="E1076" t="s">
        <v>19</v>
      </c>
      <c r="F1076" t="s">
        <v>2364</v>
      </c>
      <c r="G1076" t="s">
        <v>322</v>
      </c>
      <c r="N1076" s="107"/>
    </row>
    <row r="1077" spans="1:14" hidden="1" x14ac:dyDescent="0.35">
      <c r="A1077" t="s">
        <v>183</v>
      </c>
      <c r="B1077" t="s">
        <v>522</v>
      </c>
      <c r="C1077" t="s">
        <v>1392</v>
      </c>
      <c r="D1077">
        <f t="shared" si="16"/>
        <v>0</v>
      </c>
      <c r="E1077" t="s">
        <v>19</v>
      </c>
      <c r="F1077" t="s">
        <v>2377</v>
      </c>
      <c r="G1077" t="s">
        <v>322</v>
      </c>
      <c r="N1077" s="107"/>
    </row>
    <row r="1078" spans="1:14" hidden="1" x14ac:dyDescent="0.35">
      <c r="A1078" t="s">
        <v>183</v>
      </c>
      <c r="B1078" t="s">
        <v>992</v>
      </c>
      <c r="C1078" t="s">
        <v>1411</v>
      </c>
      <c r="D1078">
        <f t="shared" si="16"/>
        <v>0</v>
      </c>
      <c r="E1078" t="s">
        <v>19</v>
      </c>
      <c r="F1078" t="s">
        <v>2444</v>
      </c>
      <c r="G1078" t="s">
        <v>322</v>
      </c>
      <c r="N1078" s="107"/>
    </row>
    <row r="1079" spans="1:14" hidden="1" x14ac:dyDescent="0.35">
      <c r="A1079" t="s">
        <v>183</v>
      </c>
      <c r="B1079" t="s">
        <v>522</v>
      </c>
      <c r="C1079" t="s">
        <v>1411</v>
      </c>
      <c r="D1079">
        <f t="shared" si="16"/>
        <v>0</v>
      </c>
      <c r="E1079" t="s">
        <v>19</v>
      </c>
      <c r="F1079" t="s">
        <v>2457</v>
      </c>
      <c r="G1079" t="s">
        <v>322</v>
      </c>
      <c r="N1079" s="107"/>
    </row>
    <row r="1080" spans="1:14" hidden="1" x14ac:dyDescent="0.35">
      <c r="A1080" t="s">
        <v>183</v>
      </c>
      <c r="B1080" t="s">
        <v>520</v>
      </c>
      <c r="C1080" t="s">
        <v>1411</v>
      </c>
      <c r="D1080">
        <f t="shared" si="16"/>
        <v>0</v>
      </c>
      <c r="E1080" t="s">
        <v>19</v>
      </c>
      <c r="F1080" t="s">
        <v>2460</v>
      </c>
      <c r="G1080" t="s">
        <v>322</v>
      </c>
      <c r="N1080" s="107"/>
    </row>
    <row r="1081" spans="1:14" hidden="1" x14ac:dyDescent="0.35">
      <c r="A1081" t="s">
        <v>183</v>
      </c>
      <c r="B1081" t="s">
        <v>522</v>
      </c>
      <c r="C1081" t="s">
        <v>1414</v>
      </c>
      <c r="D1081">
        <f t="shared" si="16"/>
        <v>0</v>
      </c>
      <c r="E1081" t="s">
        <v>19</v>
      </c>
      <c r="F1081" t="s">
        <v>2493</v>
      </c>
      <c r="G1081" t="s">
        <v>322</v>
      </c>
      <c r="N1081" s="107"/>
    </row>
    <row r="1082" spans="1:14" hidden="1" x14ac:dyDescent="0.35">
      <c r="A1082" t="s">
        <v>183</v>
      </c>
      <c r="B1082" t="s">
        <v>520</v>
      </c>
      <c r="C1082" t="s">
        <v>1414</v>
      </c>
      <c r="D1082">
        <f t="shared" si="16"/>
        <v>0</v>
      </c>
      <c r="E1082" t="s">
        <v>19</v>
      </c>
      <c r="F1082" t="s">
        <v>2506</v>
      </c>
      <c r="G1082" t="s">
        <v>322</v>
      </c>
      <c r="N1082" s="107"/>
    </row>
    <row r="1083" spans="1:14" hidden="1" x14ac:dyDescent="0.35">
      <c r="A1083" t="s">
        <v>183</v>
      </c>
      <c r="B1083" t="s">
        <v>520</v>
      </c>
      <c r="C1083" t="s">
        <v>1414</v>
      </c>
      <c r="D1083">
        <f t="shared" si="16"/>
        <v>0</v>
      </c>
      <c r="E1083" t="s">
        <v>19</v>
      </c>
      <c r="F1083" t="s">
        <v>2512</v>
      </c>
      <c r="G1083" t="s">
        <v>322</v>
      </c>
      <c r="N1083" s="107"/>
    </row>
    <row r="1084" spans="1:14" hidden="1" x14ac:dyDescent="0.35">
      <c r="A1084" t="s">
        <v>183</v>
      </c>
      <c r="B1084" t="s">
        <v>729</v>
      </c>
      <c r="C1084" t="s">
        <v>1421</v>
      </c>
      <c r="D1084">
        <f t="shared" si="16"/>
        <v>0</v>
      </c>
      <c r="E1084" t="s">
        <v>19</v>
      </c>
      <c r="F1084" t="s">
        <v>1421</v>
      </c>
      <c r="G1084" t="s">
        <v>322</v>
      </c>
      <c r="N1084" s="107"/>
    </row>
    <row r="1085" spans="1:14" hidden="1" x14ac:dyDescent="0.35">
      <c r="A1085" t="s">
        <v>183</v>
      </c>
      <c r="B1085" t="s">
        <v>522</v>
      </c>
      <c r="C1085" t="s">
        <v>1462</v>
      </c>
      <c r="D1085">
        <f t="shared" si="16"/>
        <v>0</v>
      </c>
      <c r="E1085" t="s">
        <v>19</v>
      </c>
      <c r="F1085" t="s">
        <v>2668</v>
      </c>
      <c r="G1085" t="s">
        <v>322</v>
      </c>
      <c r="N1085" s="107"/>
    </row>
    <row r="1086" spans="1:14" hidden="1" x14ac:dyDescent="0.35">
      <c r="A1086" t="s">
        <v>183</v>
      </c>
      <c r="B1086" t="s">
        <v>729</v>
      </c>
      <c r="C1086" t="s">
        <v>1462</v>
      </c>
      <c r="D1086">
        <f t="shared" si="16"/>
        <v>0</v>
      </c>
      <c r="E1086" t="s">
        <v>19</v>
      </c>
      <c r="F1086" t="s">
        <v>2673</v>
      </c>
      <c r="G1086" t="s">
        <v>322</v>
      </c>
      <c r="N1086" s="107"/>
    </row>
    <row r="1087" spans="1:14" hidden="1" x14ac:dyDescent="0.35">
      <c r="A1087" t="s">
        <v>183</v>
      </c>
      <c r="B1087" t="s">
        <v>520</v>
      </c>
      <c r="C1087" t="s">
        <v>1462</v>
      </c>
      <c r="D1087">
        <f t="shared" si="16"/>
        <v>0</v>
      </c>
      <c r="E1087" t="s">
        <v>19</v>
      </c>
      <c r="F1087" t="s">
        <v>2674</v>
      </c>
      <c r="G1087" t="s">
        <v>322</v>
      </c>
      <c r="N1087" s="107"/>
    </row>
    <row r="1088" spans="1:14" hidden="1" x14ac:dyDescent="0.35">
      <c r="A1088" t="s">
        <v>183</v>
      </c>
      <c r="B1088" t="s">
        <v>522</v>
      </c>
      <c r="C1088" t="s">
        <v>1479</v>
      </c>
      <c r="D1088">
        <f t="shared" si="16"/>
        <v>0</v>
      </c>
      <c r="E1088" t="s">
        <v>19</v>
      </c>
      <c r="F1088" t="s">
        <v>2699</v>
      </c>
      <c r="G1088" t="s">
        <v>322</v>
      </c>
      <c r="N1088" s="107"/>
    </row>
    <row r="1089" spans="1:14" hidden="1" x14ac:dyDescent="0.35">
      <c r="A1089" t="s">
        <v>183</v>
      </c>
      <c r="B1089" t="s">
        <v>520</v>
      </c>
      <c r="C1089" t="s">
        <v>1479</v>
      </c>
      <c r="D1089">
        <f t="shared" ref="D1089:D1152" si="17">SIGN(SUBTOTAL(3,E1089))</f>
        <v>0</v>
      </c>
      <c r="E1089" t="s">
        <v>19</v>
      </c>
      <c r="F1089" t="s">
        <v>2701</v>
      </c>
      <c r="G1089" t="s">
        <v>322</v>
      </c>
      <c r="N1089" s="107"/>
    </row>
    <row r="1090" spans="1:14" hidden="1" x14ac:dyDescent="0.35">
      <c r="A1090" t="s">
        <v>183</v>
      </c>
      <c r="B1090" t="s">
        <v>521</v>
      </c>
      <c r="C1090" t="s">
        <v>1513</v>
      </c>
      <c r="D1090">
        <f t="shared" si="17"/>
        <v>0</v>
      </c>
      <c r="E1090" t="s">
        <v>19</v>
      </c>
      <c r="F1090" t="s">
        <v>2811</v>
      </c>
      <c r="G1090" t="s">
        <v>322</v>
      </c>
      <c r="N1090" s="107"/>
    </row>
    <row r="1091" spans="1:14" hidden="1" x14ac:dyDescent="0.35">
      <c r="A1091" t="s">
        <v>184</v>
      </c>
      <c r="B1091" t="s">
        <v>542</v>
      </c>
      <c r="C1091" t="s">
        <v>1138</v>
      </c>
      <c r="D1091">
        <f t="shared" si="17"/>
        <v>0</v>
      </c>
      <c r="E1091" t="s">
        <v>19</v>
      </c>
      <c r="F1091" t="s">
        <v>1138</v>
      </c>
      <c r="G1091" t="s">
        <v>322</v>
      </c>
      <c r="N1091" s="107"/>
    </row>
    <row r="1092" spans="1:14" hidden="1" x14ac:dyDescent="0.35">
      <c r="A1092" t="s">
        <v>184</v>
      </c>
      <c r="B1092" t="s">
        <v>543</v>
      </c>
      <c r="C1092" t="s">
        <v>1139</v>
      </c>
      <c r="D1092">
        <f t="shared" si="17"/>
        <v>0</v>
      </c>
      <c r="E1092" t="s">
        <v>19</v>
      </c>
      <c r="F1092" t="s">
        <v>1139</v>
      </c>
      <c r="G1092" t="s">
        <v>322</v>
      </c>
      <c r="N1092" s="107"/>
    </row>
    <row r="1093" spans="1:14" hidden="1" x14ac:dyDescent="0.35">
      <c r="A1093" t="s">
        <v>184</v>
      </c>
      <c r="B1093" t="s">
        <v>572</v>
      </c>
      <c r="C1093" t="s">
        <v>1171</v>
      </c>
      <c r="D1093">
        <f t="shared" si="17"/>
        <v>0</v>
      </c>
      <c r="E1093" t="s">
        <v>19</v>
      </c>
      <c r="F1093" t="s">
        <v>1757</v>
      </c>
      <c r="G1093" t="s">
        <v>322</v>
      </c>
      <c r="N1093" s="107"/>
    </row>
    <row r="1094" spans="1:14" hidden="1" x14ac:dyDescent="0.35">
      <c r="A1094" t="s">
        <v>184</v>
      </c>
      <c r="B1094" t="s">
        <v>573</v>
      </c>
      <c r="C1094" t="s">
        <v>1171</v>
      </c>
      <c r="D1094">
        <f t="shared" si="17"/>
        <v>0</v>
      </c>
      <c r="E1094" t="s">
        <v>19</v>
      </c>
      <c r="F1094" t="s">
        <v>1758</v>
      </c>
      <c r="G1094" t="s">
        <v>322</v>
      </c>
      <c r="N1094" s="107"/>
    </row>
    <row r="1095" spans="1:14" hidden="1" x14ac:dyDescent="0.35">
      <c r="A1095" t="s">
        <v>184</v>
      </c>
      <c r="B1095" t="s">
        <v>524</v>
      </c>
      <c r="C1095" t="s">
        <v>1172</v>
      </c>
      <c r="D1095">
        <f t="shared" si="17"/>
        <v>0</v>
      </c>
      <c r="E1095" t="s">
        <v>19</v>
      </c>
      <c r="F1095" t="s">
        <v>1760</v>
      </c>
      <c r="G1095" t="s">
        <v>322</v>
      </c>
      <c r="N1095" s="107"/>
    </row>
    <row r="1096" spans="1:14" hidden="1" x14ac:dyDescent="0.35">
      <c r="A1096" t="s">
        <v>184</v>
      </c>
      <c r="B1096" t="s">
        <v>578</v>
      </c>
      <c r="C1096" t="s">
        <v>1172</v>
      </c>
      <c r="D1096">
        <f t="shared" si="17"/>
        <v>0</v>
      </c>
      <c r="E1096" t="s">
        <v>19</v>
      </c>
      <c r="F1096" t="s">
        <v>1763</v>
      </c>
      <c r="G1096" t="s">
        <v>322</v>
      </c>
      <c r="N1096" s="107"/>
    </row>
    <row r="1097" spans="1:14" hidden="1" x14ac:dyDescent="0.35">
      <c r="A1097" t="s">
        <v>184</v>
      </c>
      <c r="B1097" t="s">
        <v>585</v>
      </c>
      <c r="C1097" t="s">
        <v>1172</v>
      </c>
      <c r="D1097">
        <f t="shared" si="17"/>
        <v>0</v>
      </c>
      <c r="E1097" t="s">
        <v>19</v>
      </c>
      <c r="F1097" t="s">
        <v>1771</v>
      </c>
      <c r="G1097" t="s">
        <v>322</v>
      </c>
      <c r="N1097" s="107"/>
    </row>
    <row r="1098" spans="1:14" hidden="1" x14ac:dyDescent="0.35">
      <c r="A1098" t="s">
        <v>184</v>
      </c>
      <c r="B1098" t="s">
        <v>587</v>
      </c>
      <c r="C1098" t="s">
        <v>1171</v>
      </c>
      <c r="D1098">
        <f t="shared" si="17"/>
        <v>0</v>
      </c>
      <c r="E1098" t="s">
        <v>19</v>
      </c>
      <c r="F1098" t="s">
        <v>1774</v>
      </c>
      <c r="G1098" t="s">
        <v>322</v>
      </c>
      <c r="N1098" s="107"/>
    </row>
    <row r="1099" spans="1:14" hidden="1" x14ac:dyDescent="0.35">
      <c r="A1099" t="s">
        <v>184</v>
      </c>
      <c r="B1099" t="s">
        <v>588</v>
      </c>
      <c r="C1099" t="s">
        <v>1171</v>
      </c>
      <c r="D1099">
        <f t="shared" si="17"/>
        <v>0</v>
      </c>
      <c r="E1099" t="s">
        <v>19</v>
      </c>
      <c r="F1099" t="s">
        <v>1775</v>
      </c>
      <c r="G1099" t="s">
        <v>322</v>
      </c>
      <c r="N1099" s="107"/>
    </row>
    <row r="1100" spans="1:14" hidden="1" x14ac:dyDescent="0.35">
      <c r="A1100" t="s">
        <v>184</v>
      </c>
      <c r="B1100" t="s">
        <v>604</v>
      </c>
      <c r="C1100" t="s">
        <v>1178</v>
      </c>
      <c r="D1100">
        <f t="shared" si="17"/>
        <v>0</v>
      </c>
      <c r="E1100" t="s">
        <v>19</v>
      </c>
      <c r="F1100" t="s">
        <v>1800</v>
      </c>
      <c r="G1100" t="s">
        <v>322</v>
      </c>
      <c r="N1100" s="107"/>
    </row>
    <row r="1101" spans="1:14" hidden="1" x14ac:dyDescent="0.35">
      <c r="A1101" t="s">
        <v>184</v>
      </c>
      <c r="B1101" t="s">
        <v>524</v>
      </c>
      <c r="C1101" t="s">
        <v>1178</v>
      </c>
      <c r="D1101">
        <f t="shared" si="17"/>
        <v>0</v>
      </c>
      <c r="E1101" t="s">
        <v>19</v>
      </c>
      <c r="F1101" t="s">
        <v>1801</v>
      </c>
      <c r="G1101" t="s">
        <v>322</v>
      </c>
      <c r="N1101" s="107"/>
    </row>
    <row r="1102" spans="1:14" hidden="1" x14ac:dyDescent="0.35">
      <c r="A1102" t="s">
        <v>184</v>
      </c>
      <c r="B1102" t="s">
        <v>605</v>
      </c>
      <c r="C1102" t="s">
        <v>1178</v>
      </c>
      <c r="D1102">
        <f t="shared" si="17"/>
        <v>0</v>
      </c>
      <c r="E1102" t="s">
        <v>19</v>
      </c>
      <c r="F1102" t="s">
        <v>1802</v>
      </c>
      <c r="G1102" t="s">
        <v>322</v>
      </c>
      <c r="N1102" s="107"/>
    </row>
    <row r="1103" spans="1:14" hidden="1" x14ac:dyDescent="0.35">
      <c r="A1103" t="s">
        <v>184</v>
      </c>
      <c r="B1103" t="s">
        <v>606</v>
      </c>
      <c r="C1103" t="s">
        <v>1178</v>
      </c>
      <c r="D1103">
        <f t="shared" si="17"/>
        <v>0</v>
      </c>
      <c r="E1103" t="s">
        <v>19</v>
      </c>
      <c r="F1103" t="s">
        <v>1803</v>
      </c>
      <c r="G1103" t="s">
        <v>322</v>
      </c>
      <c r="N1103" s="107"/>
    </row>
    <row r="1104" spans="1:14" hidden="1" x14ac:dyDescent="0.35">
      <c r="A1104" t="s">
        <v>184</v>
      </c>
      <c r="B1104" t="s">
        <v>529</v>
      </c>
      <c r="C1104" t="s">
        <v>1178</v>
      </c>
      <c r="D1104">
        <f t="shared" si="17"/>
        <v>0</v>
      </c>
      <c r="E1104" t="s">
        <v>19</v>
      </c>
      <c r="F1104" t="s">
        <v>1804</v>
      </c>
      <c r="G1104" t="s">
        <v>322</v>
      </c>
      <c r="N1104" s="107"/>
    </row>
    <row r="1105" spans="1:14" hidden="1" x14ac:dyDescent="0.35">
      <c r="A1105" t="s">
        <v>184</v>
      </c>
      <c r="B1105" t="s">
        <v>616</v>
      </c>
      <c r="C1105" t="s">
        <v>1178</v>
      </c>
      <c r="D1105">
        <f t="shared" si="17"/>
        <v>0</v>
      </c>
      <c r="E1105" t="s">
        <v>19</v>
      </c>
      <c r="F1105" t="s">
        <v>1815</v>
      </c>
      <c r="G1105" t="s">
        <v>322</v>
      </c>
      <c r="N1105" s="107"/>
    </row>
    <row r="1106" spans="1:14" hidden="1" x14ac:dyDescent="0.35">
      <c r="A1106" t="s">
        <v>184</v>
      </c>
      <c r="B1106" t="s">
        <v>529</v>
      </c>
      <c r="C1106" t="s">
        <v>1178</v>
      </c>
      <c r="D1106">
        <f t="shared" si="17"/>
        <v>0</v>
      </c>
      <c r="E1106" t="s">
        <v>19</v>
      </c>
      <c r="F1106" t="s">
        <v>1816</v>
      </c>
      <c r="G1106" t="s">
        <v>322</v>
      </c>
      <c r="N1106" s="107"/>
    </row>
    <row r="1107" spans="1:14" hidden="1" x14ac:dyDescent="0.35">
      <c r="A1107" t="s">
        <v>184</v>
      </c>
      <c r="B1107" t="s">
        <v>618</v>
      </c>
      <c r="C1107" t="s">
        <v>1178</v>
      </c>
      <c r="D1107">
        <f t="shared" si="17"/>
        <v>0</v>
      </c>
      <c r="E1107" t="s">
        <v>19</v>
      </c>
      <c r="F1107" t="s">
        <v>1818</v>
      </c>
      <c r="G1107" t="s">
        <v>322</v>
      </c>
      <c r="N1107" s="107"/>
    </row>
    <row r="1108" spans="1:14" hidden="1" x14ac:dyDescent="0.35">
      <c r="A1108" t="s">
        <v>184</v>
      </c>
      <c r="B1108" t="s">
        <v>619</v>
      </c>
      <c r="C1108" t="s">
        <v>1178</v>
      </c>
      <c r="D1108">
        <f t="shared" si="17"/>
        <v>0</v>
      </c>
      <c r="E1108" t="s">
        <v>19</v>
      </c>
      <c r="F1108" t="s">
        <v>1819</v>
      </c>
      <c r="G1108" t="s">
        <v>322</v>
      </c>
      <c r="N1108" s="107"/>
    </row>
    <row r="1109" spans="1:14" hidden="1" x14ac:dyDescent="0.35">
      <c r="A1109" t="s">
        <v>184</v>
      </c>
      <c r="B1109" t="s">
        <v>588</v>
      </c>
      <c r="C1109" t="s">
        <v>1189</v>
      </c>
      <c r="D1109">
        <f t="shared" si="17"/>
        <v>0</v>
      </c>
      <c r="E1109" t="s">
        <v>19</v>
      </c>
      <c r="F1109" t="s">
        <v>1848</v>
      </c>
      <c r="G1109" t="s">
        <v>322</v>
      </c>
      <c r="N1109" s="107"/>
    </row>
    <row r="1110" spans="1:14" hidden="1" x14ac:dyDescent="0.35">
      <c r="A1110" t="s">
        <v>184</v>
      </c>
      <c r="B1110" t="s">
        <v>658</v>
      </c>
      <c r="C1110" t="s">
        <v>1208</v>
      </c>
      <c r="D1110">
        <f t="shared" si="17"/>
        <v>0</v>
      </c>
      <c r="E1110" t="s">
        <v>19</v>
      </c>
      <c r="F1110" t="s">
        <v>1867</v>
      </c>
      <c r="G1110" t="s">
        <v>322</v>
      </c>
      <c r="N1110" s="107"/>
    </row>
    <row r="1111" spans="1:14" hidden="1" x14ac:dyDescent="0.35">
      <c r="A1111" t="s">
        <v>184</v>
      </c>
      <c r="B1111" t="s">
        <v>523</v>
      </c>
      <c r="C1111" t="s">
        <v>1208</v>
      </c>
      <c r="D1111">
        <f t="shared" si="17"/>
        <v>0</v>
      </c>
      <c r="E1111" t="s">
        <v>19</v>
      </c>
      <c r="F1111" t="s">
        <v>1868</v>
      </c>
      <c r="G1111" t="s">
        <v>322</v>
      </c>
      <c r="N1111" s="107"/>
    </row>
    <row r="1112" spans="1:14" hidden="1" x14ac:dyDescent="0.35">
      <c r="A1112" t="s">
        <v>184</v>
      </c>
      <c r="B1112" t="s">
        <v>528</v>
      </c>
      <c r="C1112" t="s">
        <v>1208</v>
      </c>
      <c r="D1112">
        <f t="shared" si="17"/>
        <v>0</v>
      </c>
      <c r="E1112" t="s">
        <v>19</v>
      </c>
      <c r="F1112" t="s">
        <v>1870</v>
      </c>
      <c r="G1112" t="s">
        <v>322</v>
      </c>
      <c r="N1112" s="107"/>
    </row>
    <row r="1113" spans="1:14" hidden="1" x14ac:dyDescent="0.35">
      <c r="A1113" t="s">
        <v>184</v>
      </c>
      <c r="B1113" t="s">
        <v>523</v>
      </c>
      <c r="C1113" t="s">
        <v>1208</v>
      </c>
      <c r="D1113">
        <f t="shared" si="17"/>
        <v>0</v>
      </c>
      <c r="E1113" t="s">
        <v>19</v>
      </c>
      <c r="F1113" t="s">
        <v>1876</v>
      </c>
      <c r="G1113" t="s">
        <v>322</v>
      </c>
      <c r="N1113" s="107"/>
    </row>
    <row r="1114" spans="1:14" hidden="1" x14ac:dyDescent="0.35">
      <c r="A1114" t="s">
        <v>184</v>
      </c>
      <c r="B1114" t="s">
        <v>660</v>
      </c>
      <c r="C1114" t="s">
        <v>1208</v>
      </c>
      <c r="D1114">
        <f t="shared" si="17"/>
        <v>0</v>
      </c>
      <c r="E1114" t="s">
        <v>19</v>
      </c>
      <c r="F1114" t="s">
        <v>1877</v>
      </c>
      <c r="G1114" t="s">
        <v>322</v>
      </c>
      <c r="N1114" s="107"/>
    </row>
    <row r="1115" spans="1:14" hidden="1" x14ac:dyDescent="0.35">
      <c r="A1115" t="s">
        <v>184</v>
      </c>
      <c r="B1115" t="s">
        <v>666</v>
      </c>
      <c r="C1115" t="s">
        <v>1210</v>
      </c>
      <c r="D1115">
        <f t="shared" si="17"/>
        <v>0</v>
      </c>
      <c r="E1115" t="s">
        <v>19</v>
      </c>
      <c r="F1115" t="s">
        <v>1885</v>
      </c>
      <c r="G1115" t="s">
        <v>322</v>
      </c>
      <c r="N1115" s="107"/>
    </row>
    <row r="1116" spans="1:14" hidden="1" x14ac:dyDescent="0.35">
      <c r="A1116" t="s">
        <v>184</v>
      </c>
      <c r="B1116" t="s">
        <v>618</v>
      </c>
      <c r="C1116" t="s">
        <v>1213</v>
      </c>
      <c r="D1116">
        <f t="shared" si="17"/>
        <v>0</v>
      </c>
      <c r="E1116" t="s">
        <v>19</v>
      </c>
      <c r="F1116" t="s">
        <v>1890</v>
      </c>
      <c r="G1116" t="s">
        <v>322</v>
      </c>
      <c r="N1116" s="107"/>
    </row>
    <row r="1117" spans="1:14" hidden="1" x14ac:dyDescent="0.35">
      <c r="A1117" t="s">
        <v>184</v>
      </c>
      <c r="B1117" t="s">
        <v>670</v>
      </c>
      <c r="C1117" t="s">
        <v>1213</v>
      </c>
      <c r="D1117">
        <f t="shared" si="17"/>
        <v>0</v>
      </c>
      <c r="E1117" t="s">
        <v>19</v>
      </c>
      <c r="F1117" t="s">
        <v>1891</v>
      </c>
      <c r="G1117" t="s">
        <v>322</v>
      </c>
      <c r="N1117" s="107"/>
    </row>
    <row r="1118" spans="1:14" hidden="1" x14ac:dyDescent="0.35">
      <c r="A1118" t="s">
        <v>184</v>
      </c>
      <c r="B1118" t="s">
        <v>542</v>
      </c>
      <c r="C1118" t="s">
        <v>1218</v>
      </c>
      <c r="D1118">
        <f t="shared" si="17"/>
        <v>0</v>
      </c>
      <c r="E1118" t="s">
        <v>19</v>
      </c>
      <c r="F1118" t="s">
        <v>1218</v>
      </c>
      <c r="G1118" t="s">
        <v>322</v>
      </c>
      <c r="N1118" s="107"/>
    </row>
    <row r="1119" spans="1:14" hidden="1" x14ac:dyDescent="0.35">
      <c r="A1119" t="s">
        <v>184</v>
      </c>
      <c r="B1119" t="s">
        <v>542</v>
      </c>
      <c r="C1119" t="s">
        <v>1219</v>
      </c>
      <c r="D1119">
        <f t="shared" si="17"/>
        <v>0</v>
      </c>
      <c r="E1119" t="s">
        <v>19</v>
      </c>
      <c r="F1119" t="s">
        <v>1219</v>
      </c>
      <c r="G1119" t="s">
        <v>322</v>
      </c>
      <c r="N1119" s="107"/>
    </row>
    <row r="1120" spans="1:14" hidden="1" x14ac:dyDescent="0.35">
      <c r="A1120" t="s">
        <v>184</v>
      </c>
      <c r="B1120" t="s">
        <v>677</v>
      </c>
      <c r="C1120" t="s">
        <v>1224</v>
      </c>
      <c r="D1120">
        <f t="shared" si="17"/>
        <v>0</v>
      </c>
      <c r="E1120" t="s">
        <v>19</v>
      </c>
      <c r="F1120" t="s">
        <v>1224</v>
      </c>
      <c r="G1120" t="s">
        <v>322</v>
      </c>
      <c r="N1120" s="107"/>
    </row>
    <row r="1121" spans="1:14" hidden="1" x14ac:dyDescent="0.35">
      <c r="A1121" t="s">
        <v>184</v>
      </c>
      <c r="B1121" t="s">
        <v>585</v>
      </c>
      <c r="C1121" t="s">
        <v>1232</v>
      </c>
      <c r="D1121">
        <f t="shared" si="17"/>
        <v>0</v>
      </c>
      <c r="E1121" t="s">
        <v>19</v>
      </c>
      <c r="F1121" t="s">
        <v>1232</v>
      </c>
      <c r="G1121" t="s">
        <v>322</v>
      </c>
      <c r="N1121" s="107"/>
    </row>
    <row r="1122" spans="1:14" hidden="1" x14ac:dyDescent="0.35">
      <c r="A1122" t="s">
        <v>184</v>
      </c>
      <c r="B1122" t="s">
        <v>743</v>
      </c>
      <c r="C1122" t="s">
        <v>1241</v>
      </c>
      <c r="D1122">
        <f t="shared" si="17"/>
        <v>0</v>
      </c>
      <c r="E1122" t="s">
        <v>19</v>
      </c>
      <c r="F1122" t="s">
        <v>1241</v>
      </c>
      <c r="G1122" t="s">
        <v>322</v>
      </c>
      <c r="N1122" s="107"/>
    </row>
    <row r="1123" spans="1:14" hidden="1" x14ac:dyDescent="0.35">
      <c r="A1123" t="s">
        <v>184</v>
      </c>
      <c r="B1123" t="s">
        <v>621</v>
      </c>
      <c r="C1123" t="s">
        <v>1252</v>
      </c>
      <c r="D1123">
        <f t="shared" si="17"/>
        <v>0</v>
      </c>
      <c r="E1123" t="s">
        <v>19</v>
      </c>
      <c r="F1123" t="s">
        <v>2051</v>
      </c>
      <c r="G1123" t="s">
        <v>322</v>
      </c>
      <c r="N1123" s="107"/>
    </row>
    <row r="1124" spans="1:14" hidden="1" x14ac:dyDescent="0.35">
      <c r="A1124" t="s">
        <v>184</v>
      </c>
      <c r="B1124" t="s">
        <v>588</v>
      </c>
      <c r="C1124" t="s">
        <v>1251</v>
      </c>
      <c r="D1124">
        <f t="shared" si="17"/>
        <v>0</v>
      </c>
      <c r="E1124" t="s">
        <v>19</v>
      </c>
      <c r="F1124" t="s">
        <v>2057</v>
      </c>
      <c r="G1124" t="s">
        <v>322</v>
      </c>
      <c r="N1124" s="107"/>
    </row>
    <row r="1125" spans="1:14" hidden="1" x14ac:dyDescent="0.35">
      <c r="A1125" t="s">
        <v>184</v>
      </c>
      <c r="B1125" t="s">
        <v>766</v>
      </c>
      <c r="C1125" t="s">
        <v>1254</v>
      </c>
      <c r="D1125">
        <f t="shared" si="17"/>
        <v>0</v>
      </c>
      <c r="E1125" t="s">
        <v>19</v>
      </c>
      <c r="F1125" t="s">
        <v>2061</v>
      </c>
      <c r="G1125" t="s">
        <v>322</v>
      </c>
      <c r="N1125" s="107"/>
    </row>
    <row r="1126" spans="1:14" hidden="1" x14ac:dyDescent="0.35">
      <c r="A1126" t="s">
        <v>184</v>
      </c>
      <c r="B1126" t="s">
        <v>743</v>
      </c>
      <c r="C1126" t="s">
        <v>1254</v>
      </c>
      <c r="D1126">
        <f t="shared" si="17"/>
        <v>0</v>
      </c>
      <c r="E1126" t="s">
        <v>19</v>
      </c>
      <c r="F1126" t="s">
        <v>2064</v>
      </c>
      <c r="G1126" t="s">
        <v>322</v>
      </c>
      <c r="N1126" s="107"/>
    </row>
    <row r="1127" spans="1:14" hidden="1" x14ac:dyDescent="0.35">
      <c r="A1127" t="s">
        <v>184</v>
      </c>
      <c r="B1127" t="s">
        <v>528</v>
      </c>
      <c r="C1127" t="s">
        <v>1257</v>
      </c>
      <c r="D1127">
        <f t="shared" si="17"/>
        <v>0</v>
      </c>
      <c r="E1127" t="s">
        <v>19</v>
      </c>
      <c r="F1127" t="s">
        <v>2067</v>
      </c>
      <c r="G1127" t="s">
        <v>322</v>
      </c>
      <c r="N1127" s="107"/>
    </row>
    <row r="1128" spans="1:14" hidden="1" x14ac:dyDescent="0.35">
      <c r="A1128" t="s">
        <v>184</v>
      </c>
      <c r="B1128" t="s">
        <v>773</v>
      </c>
      <c r="C1128" t="s">
        <v>1258</v>
      </c>
      <c r="D1128">
        <f t="shared" si="17"/>
        <v>0</v>
      </c>
      <c r="E1128" t="s">
        <v>19</v>
      </c>
      <c r="F1128" t="s">
        <v>1258</v>
      </c>
      <c r="G1128" t="s">
        <v>322</v>
      </c>
      <c r="N1128" s="107"/>
    </row>
    <row r="1129" spans="1:14" hidden="1" x14ac:dyDescent="0.35">
      <c r="A1129" t="s">
        <v>184</v>
      </c>
      <c r="B1129" t="s">
        <v>780</v>
      </c>
      <c r="C1129" t="s">
        <v>1265</v>
      </c>
      <c r="D1129">
        <f t="shared" si="17"/>
        <v>0</v>
      </c>
      <c r="E1129" t="s">
        <v>19</v>
      </c>
      <c r="F1129" t="s">
        <v>1265</v>
      </c>
      <c r="G1129" t="s">
        <v>322</v>
      </c>
      <c r="N1129" s="107"/>
    </row>
    <row r="1130" spans="1:14" hidden="1" x14ac:dyDescent="0.35">
      <c r="A1130" t="s">
        <v>184</v>
      </c>
      <c r="B1130" t="s">
        <v>781</v>
      </c>
      <c r="C1130" t="s">
        <v>1266</v>
      </c>
      <c r="D1130">
        <f t="shared" si="17"/>
        <v>0</v>
      </c>
      <c r="E1130" t="s">
        <v>19</v>
      </c>
      <c r="F1130" t="s">
        <v>2077</v>
      </c>
      <c r="G1130" t="s">
        <v>322</v>
      </c>
      <c r="N1130" s="107"/>
    </row>
    <row r="1131" spans="1:14" hidden="1" x14ac:dyDescent="0.35">
      <c r="A1131" t="s">
        <v>184</v>
      </c>
      <c r="B1131" t="s">
        <v>782</v>
      </c>
      <c r="C1131" t="s">
        <v>1266</v>
      </c>
      <c r="D1131">
        <f t="shared" si="17"/>
        <v>0</v>
      </c>
      <c r="E1131" t="s">
        <v>19</v>
      </c>
      <c r="F1131" t="s">
        <v>2078</v>
      </c>
      <c r="G1131" t="s">
        <v>322</v>
      </c>
      <c r="N1131" s="107"/>
    </row>
    <row r="1132" spans="1:14" hidden="1" x14ac:dyDescent="0.35">
      <c r="A1132" t="s">
        <v>184</v>
      </c>
      <c r="B1132" t="s">
        <v>572</v>
      </c>
      <c r="C1132" t="s">
        <v>1266</v>
      </c>
      <c r="D1132">
        <f t="shared" si="17"/>
        <v>0</v>
      </c>
      <c r="E1132" t="s">
        <v>19</v>
      </c>
      <c r="F1132" t="s">
        <v>2080</v>
      </c>
      <c r="G1132" t="s">
        <v>322</v>
      </c>
      <c r="N1132" s="107"/>
    </row>
    <row r="1133" spans="1:14" hidden="1" x14ac:dyDescent="0.35">
      <c r="A1133" t="s">
        <v>184</v>
      </c>
      <c r="B1133" t="s">
        <v>788</v>
      </c>
      <c r="C1133" t="s">
        <v>1277</v>
      </c>
      <c r="D1133">
        <f t="shared" si="17"/>
        <v>0</v>
      </c>
      <c r="E1133" t="s">
        <v>19</v>
      </c>
      <c r="F1133" t="s">
        <v>2090</v>
      </c>
      <c r="G1133" t="s">
        <v>322</v>
      </c>
      <c r="N1133" s="107"/>
    </row>
    <row r="1134" spans="1:14" hidden="1" x14ac:dyDescent="0.35">
      <c r="A1134" t="s">
        <v>184</v>
      </c>
      <c r="B1134" t="s">
        <v>621</v>
      </c>
      <c r="C1134" t="s">
        <v>1277</v>
      </c>
      <c r="D1134">
        <f t="shared" si="17"/>
        <v>0</v>
      </c>
      <c r="E1134" t="s">
        <v>19</v>
      </c>
      <c r="F1134" t="s">
        <v>2091</v>
      </c>
      <c r="G1134" t="s">
        <v>322</v>
      </c>
      <c r="N1134" s="107"/>
    </row>
    <row r="1135" spans="1:14" hidden="1" x14ac:dyDescent="0.35">
      <c r="A1135" t="s">
        <v>184</v>
      </c>
      <c r="B1135" t="s">
        <v>790</v>
      </c>
      <c r="C1135" t="s">
        <v>1279</v>
      </c>
      <c r="D1135">
        <f t="shared" si="17"/>
        <v>0</v>
      </c>
      <c r="E1135" t="s">
        <v>19</v>
      </c>
      <c r="F1135" t="s">
        <v>1279</v>
      </c>
      <c r="G1135" t="s">
        <v>322</v>
      </c>
      <c r="N1135" s="107"/>
    </row>
    <row r="1136" spans="1:14" hidden="1" x14ac:dyDescent="0.35">
      <c r="A1136" t="s">
        <v>184</v>
      </c>
      <c r="B1136" t="s">
        <v>794</v>
      </c>
      <c r="C1136" t="s">
        <v>1283</v>
      </c>
      <c r="D1136">
        <f t="shared" si="17"/>
        <v>0</v>
      </c>
      <c r="E1136" t="s">
        <v>19</v>
      </c>
      <c r="F1136" t="s">
        <v>1283</v>
      </c>
      <c r="G1136" t="s">
        <v>322</v>
      </c>
      <c r="N1136" s="107"/>
    </row>
    <row r="1137" spans="1:14" hidden="1" x14ac:dyDescent="0.35">
      <c r="A1137" t="s">
        <v>184</v>
      </c>
      <c r="B1137" t="s">
        <v>773</v>
      </c>
      <c r="C1137" t="s">
        <v>1285</v>
      </c>
      <c r="D1137">
        <f t="shared" si="17"/>
        <v>0</v>
      </c>
      <c r="E1137" t="s">
        <v>19</v>
      </c>
      <c r="F1137" t="s">
        <v>2095</v>
      </c>
      <c r="G1137" t="s">
        <v>322</v>
      </c>
      <c r="N1137" s="107"/>
    </row>
    <row r="1138" spans="1:14" hidden="1" x14ac:dyDescent="0.35">
      <c r="A1138" t="s">
        <v>184</v>
      </c>
      <c r="B1138" t="s">
        <v>800</v>
      </c>
      <c r="C1138" t="s">
        <v>1285</v>
      </c>
      <c r="D1138">
        <f t="shared" si="17"/>
        <v>0</v>
      </c>
      <c r="E1138" t="s">
        <v>19</v>
      </c>
      <c r="F1138" t="s">
        <v>2115</v>
      </c>
      <c r="G1138" t="s">
        <v>322</v>
      </c>
      <c r="N1138" s="107"/>
    </row>
    <row r="1139" spans="1:14" hidden="1" x14ac:dyDescent="0.35">
      <c r="A1139" t="s">
        <v>184</v>
      </c>
      <c r="B1139" t="s">
        <v>670</v>
      </c>
      <c r="C1139" t="s">
        <v>1285</v>
      </c>
      <c r="D1139">
        <f t="shared" si="17"/>
        <v>0</v>
      </c>
      <c r="E1139" t="s">
        <v>19</v>
      </c>
      <c r="F1139" t="s">
        <v>2116</v>
      </c>
      <c r="G1139" t="s">
        <v>322</v>
      </c>
      <c r="N1139" s="107"/>
    </row>
    <row r="1140" spans="1:14" hidden="1" x14ac:dyDescent="0.35">
      <c r="A1140" t="s">
        <v>184</v>
      </c>
      <c r="B1140" t="s">
        <v>801</v>
      </c>
      <c r="C1140" t="s">
        <v>1285</v>
      </c>
      <c r="D1140">
        <f t="shared" si="17"/>
        <v>0</v>
      </c>
      <c r="E1140" t="s">
        <v>19</v>
      </c>
      <c r="F1140" t="s">
        <v>2117</v>
      </c>
      <c r="G1140" t="s">
        <v>322</v>
      </c>
      <c r="N1140" s="107"/>
    </row>
    <row r="1141" spans="1:14" hidden="1" x14ac:dyDescent="0.35">
      <c r="A1141" t="s">
        <v>184</v>
      </c>
      <c r="B1141" t="s">
        <v>666</v>
      </c>
      <c r="C1141" t="s">
        <v>1285</v>
      </c>
      <c r="D1141">
        <f t="shared" si="17"/>
        <v>0</v>
      </c>
      <c r="E1141" t="s">
        <v>19</v>
      </c>
      <c r="F1141" t="s">
        <v>2120</v>
      </c>
      <c r="G1141" t="s">
        <v>322</v>
      </c>
      <c r="N1141" s="107"/>
    </row>
    <row r="1142" spans="1:14" hidden="1" x14ac:dyDescent="0.35">
      <c r="A1142" t="s">
        <v>184</v>
      </c>
      <c r="B1142" t="s">
        <v>773</v>
      </c>
      <c r="C1142" t="s">
        <v>1286</v>
      </c>
      <c r="D1142">
        <f t="shared" si="17"/>
        <v>0</v>
      </c>
      <c r="E1142" t="s">
        <v>19</v>
      </c>
      <c r="F1142" t="s">
        <v>1286</v>
      </c>
      <c r="G1142" t="s">
        <v>322</v>
      </c>
      <c r="N1142" s="107"/>
    </row>
    <row r="1143" spans="1:14" hidden="1" x14ac:dyDescent="0.35">
      <c r="A1143" t="s">
        <v>184</v>
      </c>
      <c r="B1143" t="s">
        <v>812</v>
      </c>
      <c r="C1143" t="s">
        <v>1287</v>
      </c>
      <c r="D1143">
        <f t="shared" si="17"/>
        <v>0</v>
      </c>
      <c r="E1143" t="s">
        <v>19</v>
      </c>
      <c r="F1143" t="s">
        <v>2137</v>
      </c>
      <c r="G1143" t="s">
        <v>322</v>
      </c>
      <c r="N1143" s="107"/>
    </row>
    <row r="1144" spans="1:14" hidden="1" x14ac:dyDescent="0.35">
      <c r="A1144" t="s">
        <v>184</v>
      </c>
      <c r="B1144" t="s">
        <v>604</v>
      </c>
      <c r="C1144" t="s">
        <v>1287</v>
      </c>
      <c r="D1144">
        <f t="shared" si="17"/>
        <v>0</v>
      </c>
      <c r="E1144" t="s">
        <v>19</v>
      </c>
      <c r="F1144" t="s">
        <v>2139</v>
      </c>
      <c r="G1144" t="s">
        <v>322</v>
      </c>
      <c r="N1144" s="107"/>
    </row>
    <row r="1145" spans="1:14" hidden="1" x14ac:dyDescent="0.35">
      <c r="A1145" t="s">
        <v>184</v>
      </c>
      <c r="B1145" t="s">
        <v>542</v>
      </c>
      <c r="C1145" t="s">
        <v>1287</v>
      </c>
      <c r="D1145">
        <f t="shared" si="17"/>
        <v>0</v>
      </c>
      <c r="E1145" t="s">
        <v>19</v>
      </c>
      <c r="F1145" t="s">
        <v>2147</v>
      </c>
      <c r="G1145" t="s">
        <v>322</v>
      </c>
      <c r="N1145" s="107"/>
    </row>
    <row r="1146" spans="1:14" hidden="1" x14ac:dyDescent="0.35">
      <c r="A1146" t="s">
        <v>184</v>
      </c>
      <c r="B1146" t="s">
        <v>528</v>
      </c>
      <c r="C1146" t="s">
        <v>1289</v>
      </c>
      <c r="D1146">
        <f t="shared" si="17"/>
        <v>0</v>
      </c>
      <c r="E1146" t="s">
        <v>19</v>
      </c>
      <c r="F1146" t="s">
        <v>1289</v>
      </c>
      <c r="G1146" t="s">
        <v>322</v>
      </c>
      <c r="N1146" s="107"/>
    </row>
    <row r="1147" spans="1:14" hidden="1" x14ac:dyDescent="0.35">
      <c r="A1147" t="s">
        <v>184</v>
      </c>
      <c r="B1147" t="s">
        <v>773</v>
      </c>
      <c r="C1147" t="s">
        <v>1290</v>
      </c>
      <c r="D1147">
        <f t="shared" si="17"/>
        <v>0</v>
      </c>
      <c r="E1147" t="s">
        <v>19</v>
      </c>
      <c r="F1147" t="s">
        <v>1290</v>
      </c>
      <c r="G1147" t="s">
        <v>322</v>
      </c>
      <c r="N1147" s="107"/>
    </row>
    <row r="1148" spans="1:14" hidden="1" x14ac:dyDescent="0.35">
      <c r="A1148" t="s">
        <v>184</v>
      </c>
      <c r="B1148" t="s">
        <v>814</v>
      </c>
      <c r="C1148" t="s">
        <v>1291</v>
      </c>
      <c r="D1148">
        <f t="shared" si="17"/>
        <v>0</v>
      </c>
      <c r="E1148" t="s">
        <v>19</v>
      </c>
      <c r="F1148" t="s">
        <v>1291</v>
      </c>
      <c r="G1148" t="s">
        <v>322</v>
      </c>
      <c r="N1148" s="107"/>
    </row>
    <row r="1149" spans="1:14" hidden="1" x14ac:dyDescent="0.35">
      <c r="A1149" t="s">
        <v>184</v>
      </c>
      <c r="B1149" t="s">
        <v>820</v>
      </c>
      <c r="C1149" t="s">
        <v>1295</v>
      </c>
      <c r="D1149">
        <f t="shared" si="17"/>
        <v>0</v>
      </c>
      <c r="E1149" t="s">
        <v>19</v>
      </c>
      <c r="F1149" t="s">
        <v>1295</v>
      </c>
      <c r="G1149" t="s">
        <v>322</v>
      </c>
      <c r="N1149" s="107"/>
    </row>
    <row r="1150" spans="1:14" hidden="1" x14ac:dyDescent="0.35">
      <c r="A1150" t="s">
        <v>184</v>
      </c>
      <c r="B1150" t="s">
        <v>528</v>
      </c>
      <c r="C1150" t="s">
        <v>1297</v>
      </c>
      <c r="D1150">
        <f t="shared" si="17"/>
        <v>0</v>
      </c>
      <c r="E1150" t="s">
        <v>19</v>
      </c>
      <c r="F1150" t="s">
        <v>1297</v>
      </c>
      <c r="G1150" t="s">
        <v>322</v>
      </c>
      <c r="N1150" s="107"/>
    </row>
    <row r="1151" spans="1:14" hidden="1" x14ac:dyDescent="0.35">
      <c r="A1151" t="s">
        <v>184</v>
      </c>
      <c r="B1151" t="s">
        <v>828</v>
      </c>
      <c r="C1151" t="s">
        <v>1298</v>
      </c>
      <c r="D1151">
        <f t="shared" si="17"/>
        <v>0</v>
      </c>
      <c r="E1151" t="s">
        <v>19</v>
      </c>
      <c r="F1151" t="s">
        <v>2167</v>
      </c>
      <c r="G1151" t="s">
        <v>322</v>
      </c>
      <c r="N1151" s="107"/>
    </row>
    <row r="1152" spans="1:14" hidden="1" x14ac:dyDescent="0.35">
      <c r="A1152" t="s">
        <v>184</v>
      </c>
      <c r="B1152" t="s">
        <v>814</v>
      </c>
      <c r="C1152" t="s">
        <v>1300</v>
      </c>
      <c r="D1152">
        <f t="shared" si="17"/>
        <v>0</v>
      </c>
      <c r="E1152" t="s">
        <v>19</v>
      </c>
      <c r="F1152" t="s">
        <v>1300</v>
      </c>
      <c r="G1152" t="s">
        <v>322</v>
      </c>
      <c r="N1152" s="107"/>
    </row>
    <row r="1153" spans="1:14" hidden="1" x14ac:dyDescent="0.35">
      <c r="A1153" t="s">
        <v>184</v>
      </c>
      <c r="B1153" t="s">
        <v>842</v>
      </c>
      <c r="C1153" t="s">
        <v>1302</v>
      </c>
      <c r="D1153">
        <f t="shared" ref="D1153:D1216" si="18">SIGN(SUBTOTAL(3,E1153))</f>
        <v>0</v>
      </c>
      <c r="E1153" t="s">
        <v>19</v>
      </c>
      <c r="F1153" t="s">
        <v>2186</v>
      </c>
      <c r="G1153" t="s">
        <v>322</v>
      </c>
      <c r="N1153" s="107"/>
    </row>
    <row r="1154" spans="1:14" hidden="1" x14ac:dyDescent="0.35">
      <c r="A1154" t="s">
        <v>184</v>
      </c>
      <c r="B1154" t="s">
        <v>855</v>
      </c>
      <c r="C1154" t="s">
        <v>1305</v>
      </c>
      <c r="D1154">
        <f t="shared" si="18"/>
        <v>0</v>
      </c>
      <c r="E1154" t="s">
        <v>19</v>
      </c>
      <c r="F1154" t="s">
        <v>1305</v>
      </c>
      <c r="G1154" t="s">
        <v>322</v>
      </c>
      <c r="N1154" s="107"/>
    </row>
    <row r="1155" spans="1:14" hidden="1" x14ac:dyDescent="0.35">
      <c r="A1155" t="s">
        <v>184</v>
      </c>
      <c r="B1155" t="s">
        <v>528</v>
      </c>
      <c r="C1155" t="s">
        <v>1306</v>
      </c>
      <c r="D1155">
        <f t="shared" si="18"/>
        <v>0</v>
      </c>
      <c r="E1155" t="s">
        <v>19</v>
      </c>
      <c r="F1155" t="s">
        <v>2198</v>
      </c>
      <c r="G1155" t="s">
        <v>322</v>
      </c>
      <c r="N1155" s="107"/>
    </row>
    <row r="1156" spans="1:14" hidden="1" x14ac:dyDescent="0.35">
      <c r="A1156" t="s">
        <v>184</v>
      </c>
      <c r="B1156" t="s">
        <v>856</v>
      </c>
      <c r="C1156" t="s">
        <v>1306</v>
      </c>
      <c r="D1156">
        <f t="shared" si="18"/>
        <v>0</v>
      </c>
      <c r="E1156" t="s">
        <v>19</v>
      </c>
      <c r="F1156" t="s">
        <v>2199</v>
      </c>
      <c r="G1156" t="s">
        <v>322</v>
      </c>
      <c r="N1156" s="107"/>
    </row>
    <row r="1157" spans="1:14" hidden="1" x14ac:dyDescent="0.35">
      <c r="A1157" t="s">
        <v>184</v>
      </c>
      <c r="B1157" t="s">
        <v>585</v>
      </c>
      <c r="C1157" t="s">
        <v>1306</v>
      </c>
      <c r="D1157">
        <f t="shared" si="18"/>
        <v>0</v>
      </c>
      <c r="E1157" t="s">
        <v>19</v>
      </c>
      <c r="F1157" t="s">
        <v>2200</v>
      </c>
      <c r="G1157" t="s">
        <v>322</v>
      </c>
      <c r="N1157" s="107"/>
    </row>
    <row r="1158" spans="1:14" hidden="1" x14ac:dyDescent="0.35">
      <c r="A1158" t="s">
        <v>184</v>
      </c>
      <c r="B1158" t="s">
        <v>788</v>
      </c>
      <c r="C1158" t="s">
        <v>1306</v>
      </c>
      <c r="D1158">
        <f t="shared" si="18"/>
        <v>0</v>
      </c>
      <c r="E1158" t="s">
        <v>19</v>
      </c>
      <c r="F1158" t="s">
        <v>2201</v>
      </c>
      <c r="G1158" t="s">
        <v>322</v>
      </c>
      <c r="N1158" s="107"/>
    </row>
    <row r="1159" spans="1:14" hidden="1" x14ac:dyDescent="0.35">
      <c r="A1159" t="s">
        <v>184</v>
      </c>
      <c r="B1159" t="s">
        <v>858</v>
      </c>
      <c r="C1159" t="s">
        <v>1307</v>
      </c>
      <c r="D1159">
        <f t="shared" si="18"/>
        <v>0</v>
      </c>
      <c r="E1159" t="s">
        <v>19</v>
      </c>
      <c r="F1159" t="s">
        <v>2203</v>
      </c>
      <c r="G1159" t="s">
        <v>322</v>
      </c>
      <c r="N1159" s="107"/>
    </row>
    <row r="1160" spans="1:14" hidden="1" x14ac:dyDescent="0.35">
      <c r="A1160" t="s">
        <v>184</v>
      </c>
      <c r="B1160" t="s">
        <v>528</v>
      </c>
      <c r="C1160" t="s">
        <v>1307</v>
      </c>
      <c r="D1160">
        <f t="shared" si="18"/>
        <v>0</v>
      </c>
      <c r="E1160" t="s">
        <v>19</v>
      </c>
      <c r="F1160" t="s">
        <v>2208</v>
      </c>
      <c r="G1160" t="s">
        <v>322</v>
      </c>
      <c r="N1160" s="107"/>
    </row>
    <row r="1161" spans="1:14" hidden="1" x14ac:dyDescent="0.35">
      <c r="A1161" t="s">
        <v>184</v>
      </c>
      <c r="B1161" t="s">
        <v>864</v>
      </c>
      <c r="C1161" t="s">
        <v>1307</v>
      </c>
      <c r="D1161">
        <f t="shared" si="18"/>
        <v>0</v>
      </c>
      <c r="E1161" t="s">
        <v>19</v>
      </c>
      <c r="F1161" t="s">
        <v>2210</v>
      </c>
      <c r="G1161" t="s">
        <v>322</v>
      </c>
      <c r="N1161" s="107"/>
    </row>
    <row r="1162" spans="1:14" hidden="1" x14ac:dyDescent="0.35">
      <c r="A1162" t="s">
        <v>184</v>
      </c>
      <c r="B1162" t="s">
        <v>666</v>
      </c>
      <c r="C1162" t="s">
        <v>1308</v>
      </c>
      <c r="D1162">
        <f t="shared" si="18"/>
        <v>0</v>
      </c>
      <c r="E1162" t="s">
        <v>19</v>
      </c>
      <c r="F1162" t="s">
        <v>1308</v>
      </c>
      <c r="G1162" t="s">
        <v>322</v>
      </c>
      <c r="N1162" s="107"/>
    </row>
    <row r="1163" spans="1:14" hidden="1" x14ac:dyDescent="0.35">
      <c r="A1163" t="s">
        <v>184</v>
      </c>
      <c r="B1163" t="s">
        <v>529</v>
      </c>
      <c r="C1163" t="s">
        <v>1314</v>
      </c>
      <c r="D1163">
        <f t="shared" si="18"/>
        <v>0</v>
      </c>
      <c r="E1163" t="s">
        <v>19</v>
      </c>
      <c r="F1163" t="s">
        <v>2216</v>
      </c>
      <c r="G1163" t="s">
        <v>322</v>
      </c>
      <c r="N1163" s="107"/>
    </row>
    <row r="1164" spans="1:14" hidden="1" x14ac:dyDescent="0.35">
      <c r="A1164" t="s">
        <v>184</v>
      </c>
      <c r="B1164" t="s">
        <v>666</v>
      </c>
      <c r="C1164" t="s">
        <v>1314</v>
      </c>
      <c r="D1164">
        <f t="shared" si="18"/>
        <v>0</v>
      </c>
      <c r="E1164" t="s">
        <v>19</v>
      </c>
      <c r="F1164" t="s">
        <v>2217</v>
      </c>
      <c r="G1164" t="s">
        <v>322</v>
      </c>
      <c r="N1164" s="107"/>
    </row>
    <row r="1165" spans="1:14" hidden="1" x14ac:dyDescent="0.35">
      <c r="A1165" t="s">
        <v>184</v>
      </c>
      <c r="B1165" t="s">
        <v>528</v>
      </c>
      <c r="C1165" t="s">
        <v>1318</v>
      </c>
      <c r="D1165">
        <f t="shared" si="18"/>
        <v>0</v>
      </c>
      <c r="E1165" t="s">
        <v>19</v>
      </c>
      <c r="F1165" t="s">
        <v>1318</v>
      </c>
      <c r="G1165" t="s">
        <v>322</v>
      </c>
      <c r="N1165" s="107"/>
    </row>
    <row r="1166" spans="1:14" hidden="1" x14ac:dyDescent="0.35">
      <c r="A1166" t="s">
        <v>184</v>
      </c>
      <c r="B1166" t="s">
        <v>528</v>
      </c>
      <c r="C1166" t="s">
        <v>1317</v>
      </c>
      <c r="D1166">
        <f t="shared" si="18"/>
        <v>0</v>
      </c>
      <c r="E1166" t="s">
        <v>19</v>
      </c>
      <c r="F1166" t="s">
        <v>2220</v>
      </c>
      <c r="G1166" t="s">
        <v>322</v>
      </c>
      <c r="N1166" s="107"/>
    </row>
    <row r="1167" spans="1:14" hidden="1" x14ac:dyDescent="0.35">
      <c r="A1167" t="s">
        <v>184</v>
      </c>
      <c r="B1167" t="s">
        <v>871</v>
      </c>
      <c r="C1167" t="s">
        <v>1317</v>
      </c>
      <c r="D1167">
        <f t="shared" si="18"/>
        <v>0</v>
      </c>
      <c r="E1167" t="s">
        <v>19</v>
      </c>
      <c r="F1167" t="s">
        <v>2221</v>
      </c>
      <c r="G1167" t="s">
        <v>322</v>
      </c>
      <c r="N1167" s="107"/>
    </row>
    <row r="1168" spans="1:14" hidden="1" x14ac:dyDescent="0.35">
      <c r="A1168" t="s">
        <v>184</v>
      </c>
      <c r="B1168" t="s">
        <v>872</v>
      </c>
      <c r="C1168" t="s">
        <v>1319</v>
      </c>
      <c r="D1168">
        <f t="shared" si="18"/>
        <v>0</v>
      </c>
      <c r="E1168" t="s">
        <v>19</v>
      </c>
      <c r="F1168" t="s">
        <v>2224</v>
      </c>
      <c r="G1168" t="s">
        <v>322</v>
      </c>
      <c r="N1168" s="107"/>
    </row>
    <row r="1169" spans="1:14" hidden="1" x14ac:dyDescent="0.35">
      <c r="A1169" t="s">
        <v>184</v>
      </c>
      <c r="B1169" t="s">
        <v>864</v>
      </c>
      <c r="C1169" t="s">
        <v>1320</v>
      </c>
      <c r="D1169">
        <f t="shared" si="18"/>
        <v>0</v>
      </c>
      <c r="E1169" t="s">
        <v>19</v>
      </c>
      <c r="F1169" t="s">
        <v>1320</v>
      </c>
      <c r="G1169" t="s">
        <v>322</v>
      </c>
      <c r="N1169" s="107"/>
    </row>
    <row r="1170" spans="1:14" hidden="1" x14ac:dyDescent="0.35">
      <c r="A1170" t="s">
        <v>184</v>
      </c>
      <c r="B1170" t="s">
        <v>606</v>
      </c>
      <c r="C1170" t="s">
        <v>1323</v>
      </c>
      <c r="D1170">
        <f t="shared" si="18"/>
        <v>0</v>
      </c>
      <c r="E1170" t="s">
        <v>19</v>
      </c>
      <c r="F1170" t="s">
        <v>1323</v>
      </c>
      <c r="G1170" t="s">
        <v>322</v>
      </c>
      <c r="N1170" s="107"/>
    </row>
    <row r="1171" spans="1:14" hidden="1" x14ac:dyDescent="0.35">
      <c r="A1171" t="s">
        <v>184</v>
      </c>
      <c r="B1171" t="s">
        <v>528</v>
      </c>
      <c r="C1171" t="s">
        <v>1326</v>
      </c>
      <c r="D1171">
        <f t="shared" si="18"/>
        <v>0</v>
      </c>
      <c r="E1171" t="s">
        <v>19</v>
      </c>
      <c r="F1171" t="s">
        <v>1326</v>
      </c>
      <c r="G1171" t="s">
        <v>322</v>
      </c>
      <c r="N1171" s="107"/>
    </row>
    <row r="1172" spans="1:14" hidden="1" x14ac:dyDescent="0.35">
      <c r="A1172" t="s">
        <v>184</v>
      </c>
      <c r="B1172" t="s">
        <v>858</v>
      </c>
      <c r="C1172" t="s">
        <v>1344</v>
      </c>
      <c r="D1172">
        <f t="shared" si="18"/>
        <v>0</v>
      </c>
      <c r="E1172" t="s">
        <v>19</v>
      </c>
      <c r="F1172" t="s">
        <v>1344</v>
      </c>
      <c r="G1172" t="s">
        <v>322</v>
      </c>
      <c r="N1172" s="107"/>
    </row>
    <row r="1173" spans="1:14" hidden="1" x14ac:dyDescent="0.35">
      <c r="A1173" t="s">
        <v>184</v>
      </c>
      <c r="B1173" t="s">
        <v>585</v>
      </c>
      <c r="C1173" t="s">
        <v>1345</v>
      </c>
      <c r="D1173">
        <f t="shared" si="18"/>
        <v>0</v>
      </c>
      <c r="E1173" t="s">
        <v>19</v>
      </c>
      <c r="F1173" t="s">
        <v>1345</v>
      </c>
      <c r="G1173" t="s">
        <v>322</v>
      </c>
      <c r="N1173" s="107"/>
    </row>
    <row r="1174" spans="1:14" hidden="1" x14ac:dyDescent="0.35">
      <c r="A1174" t="s">
        <v>184</v>
      </c>
      <c r="B1174" t="s">
        <v>858</v>
      </c>
      <c r="C1174" t="s">
        <v>1346</v>
      </c>
      <c r="D1174">
        <f t="shared" si="18"/>
        <v>0</v>
      </c>
      <c r="E1174" t="s">
        <v>19</v>
      </c>
      <c r="F1174" t="s">
        <v>1346</v>
      </c>
      <c r="G1174" t="s">
        <v>322</v>
      </c>
      <c r="N1174" s="107"/>
    </row>
    <row r="1175" spans="1:14" hidden="1" x14ac:dyDescent="0.35">
      <c r="A1175" t="s">
        <v>184</v>
      </c>
      <c r="B1175" t="s">
        <v>527</v>
      </c>
      <c r="C1175" t="s">
        <v>1349</v>
      </c>
      <c r="D1175">
        <f t="shared" si="18"/>
        <v>0</v>
      </c>
      <c r="E1175" t="s">
        <v>19</v>
      </c>
      <c r="F1175" t="s">
        <v>2288</v>
      </c>
      <c r="G1175" t="s">
        <v>322</v>
      </c>
      <c r="N1175" s="107"/>
    </row>
    <row r="1176" spans="1:14" hidden="1" x14ac:dyDescent="0.35">
      <c r="A1176" t="s">
        <v>184</v>
      </c>
      <c r="B1176" t="s">
        <v>912</v>
      </c>
      <c r="C1176" t="s">
        <v>1349</v>
      </c>
      <c r="D1176">
        <f t="shared" si="18"/>
        <v>0</v>
      </c>
      <c r="E1176" t="s">
        <v>19</v>
      </c>
      <c r="F1176" t="s">
        <v>2290</v>
      </c>
      <c r="G1176" t="s">
        <v>322</v>
      </c>
      <c r="N1176" s="107"/>
    </row>
    <row r="1177" spans="1:14" hidden="1" x14ac:dyDescent="0.35">
      <c r="A1177" t="s">
        <v>184</v>
      </c>
      <c r="B1177" t="s">
        <v>781</v>
      </c>
      <c r="C1177" t="s">
        <v>1349</v>
      </c>
      <c r="D1177">
        <f t="shared" si="18"/>
        <v>0</v>
      </c>
      <c r="E1177" t="s">
        <v>19</v>
      </c>
      <c r="F1177" t="s">
        <v>2291</v>
      </c>
      <c r="G1177" t="s">
        <v>322</v>
      </c>
      <c r="N1177" s="107"/>
    </row>
    <row r="1178" spans="1:14" hidden="1" x14ac:dyDescent="0.35">
      <c r="A1178" t="s">
        <v>184</v>
      </c>
      <c r="B1178" t="s">
        <v>916</v>
      </c>
      <c r="C1178" t="s">
        <v>1349</v>
      </c>
      <c r="D1178">
        <f t="shared" si="18"/>
        <v>0</v>
      </c>
      <c r="E1178" t="s">
        <v>19</v>
      </c>
      <c r="F1178" t="s">
        <v>2296</v>
      </c>
      <c r="G1178" t="s">
        <v>322</v>
      </c>
      <c r="N1178" s="107"/>
    </row>
    <row r="1179" spans="1:14" hidden="1" x14ac:dyDescent="0.35">
      <c r="A1179" t="s">
        <v>184</v>
      </c>
      <c r="B1179" t="s">
        <v>923</v>
      </c>
      <c r="C1179" t="s">
        <v>1361</v>
      </c>
      <c r="D1179">
        <f t="shared" si="18"/>
        <v>0</v>
      </c>
      <c r="E1179" t="s">
        <v>19</v>
      </c>
      <c r="F1179" t="s">
        <v>1361</v>
      </c>
      <c r="G1179" t="s">
        <v>322</v>
      </c>
      <c r="N1179" s="107"/>
    </row>
    <row r="1180" spans="1:14" hidden="1" x14ac:dyDescent="0.35">
      <c r="A1180" t="s">
        <v>184</v>
      </c>
      <c r="B1180" t="s">
        <v>924</v>
      </c>
      <c r="C1180" t="s">
        <v>1362</v>
      </c>
      <c r="D1180">
        <f t="shared" si="18"/>
        <v>0</v>
      </c>
      <c r="E1180" t="s">
        <v>19</v>
      </c>
      <c r="F1180" t="s">
        <v>1362</v>
      </c>
      <c r="G1180" t="s">
        <v>322</v>
      </c>
      <c r="N1180" s="107"/>
    </row>
    <row r="1181" spans="1:14" hidden="1" x14ac:dyDescent="0.35">
      <c r="A1181" t="s">
        <v>184</v>
      </c>
      <c r="B1181" t="s">
        <v>925</v>
      </c>
      <c r="C1181" t="s">
        <v>1363</v>
      </c>
      <c r="D1181">
        <f t="shared" si="18"/>
        <v>0</v>
      </c>
      <c r="E1181" t="s">
        <v>19</v>
      </c>
      <c r="F1181" t="s">
        <v>1363</v>
      </c>
      <c r="G1181" t="s">
        <v>322</v>
      </c>
      <c r="N1181" s="107"/>
    </row>
    <row r="1182" spans="1:14" hidden="1" x14ac:dyDescent="0.35">
      <c r="A1182" t="s">
        <v>184</v>
      </c>
      <c r="B1182" t="s">
        <v>606</v>
      </c>
      <c r="C1182" t="s">
        <v>1371</v>
      </c>
      <c r="D1182">
        <f t="shared" si="18"/>
        <v>0</v>
      </c>
      <c r="E1182" t="s">
        <v>19</v>
      </c>
      <c r="F1182" t="s">
        <v>2314</v>
      </c>
      <c r="G1182" t="s">
        <v>322</v>
      </c>
      <c r="N1182" s="107"/>
    </row>
    <row r="1183" spans="1:14" hidden="1" x14ac:dyDescent="0.35">
      <c r="A1183" t="s">
        <v>184</v>
      </c>
      <c r="B1183" t="s">
        <v>936</v>
      </c>
      <c r="C1183" t="s">
        <v>1376</v>
      </c>
      <c r="D1183">
        <f t="shared" si="18"/>
        <v>0</v>
      </c>
      <c r="E1183" t="s">
        <v>19</v>
      </c>
      <c r="F1183" t="s">
        <v>1376</v>
      </c>
      <c r="G1183" t="s">
        <v>322</v>
      </c>
      <c r="N1183" s="107"/>
    </row>
    <row r="1184" spans="1:14" hidden="1" x14ac:dyDescent="0.35">
      <c r="A1184" t="s">
        <v>184</v>
      </c>
      <c r="B1184" t="s">
        <v>924</v>
      </c>
      <c r="C1184" t="s">
        <v>1381</v>
      </c>
      <c r="D1184">
        <f t="shared" si="18"/>
        <v>0</v>
      </c>
      <c r="E1184" t="s">
        <v>19</v>
      </c>
      <c r="F1184" t="s">
        <v>1381</v>
      </c>
      <c r="G1184" t="s">
        <v>322</v>
      </c>
      <c r="N1184" s="107"/>
    </row>
    <row r="1185" spans="1:14" hidden="1" x14ac:dyDescent="0.35">
      <c r="A1185" t="s">
        <v>184</v>
      </c>
      <c r="B1185" t="s">
        <v>543</v>
      </c>
      <c r="C1185" t="s">
        <v>1387</v>
      </c>
      <c r="D1185">
        <f t="shared" si="18"/>
        <v>0</v>
      </c>
      <c r="E1185" t="s">
        <v>19</v>
      </c>
      <c r="F1185" t="s">
        <v>2336</v>
      </c>
      <c r="G1185" t="s">
        <v>322</v>
      </c>
      <c r="N1185" s="107"/>
    </row>
    <row r="1186" spans="1:14" hidden="1" x14ac:dyDescent="0.35">
      <c r="A1186" t="s">
        <v>184</v>
      </c>
      <c r="B1186" t="s">
        <v>924</v>
      </c>
      <c r="C1186" t="s">
        <v>1387</v>
      </c>
      <c r="D1186">
        <f t="shared" si="18"/>
        <v>0</v>
      </c>
      <c r="E1186" t="s">
        <v>19</v>
      </c>
      <c r="F1186" t="s">
        <v>2337</v>
      </c>
      <c r="G1186" t="s">
        <v>322</v>
      </c>
      <c r="N1186" s="107"/>
    </row>
    <row r="1187" spans="1:14" hidden="1" x14ac:dyDescent="0.35">
      <c r="A1187" t="s">
        <v>184</v>
      </c>
      <c r="B1187" t="s">
        <v>604</v>
      </c>
      <c r="C1187" t="s">
        <v>1385</v>
      </c>
      <c r="D1187">
        <f t="shared" si="18"/>
        <v>0</v>
      </c>
      <c r="E1187" t="s">
        <v>19</v>
      </c>
      <c r="F1187" t="s">
        <v>2383</v>
      </c>
      <c r="G1187" t="s">
        <v>322</v>
      </c>
      <c r="N1187" s="107"/>
    </row>
    <row r="1188" spans="1:14" hidden="1" x14ac:dyDescent="0.35">
      <c r="A1188" t="s">
        <v>184</v>
      </c>
      <c r="B1188" t="s">
        <v>925</v>
      </c>
      <c r="C1188" t="s">
        <v>1394</v>
      </c>
      <c r="D1188">
        <f t="shared" si="18"/>
        <v>0</v>
      </c>
      <c r="E1188" t="s">
        <v>19</v>
      </c>
      <c r="F1188" t="s">
        <v>1394</v>
      </c>
      <c r="G1188" t="s">
        <v>322</v>
      </c>
      <c r="N1188" s="107"/>
    </row>
    <row r="1189" spans="1:14" hidden="1" x14ac:dyDescent="0.35">
      <c r="A1189" t="s">
        <v>184</v>
      </c>
      <c r="B1189" t="s">
        <v>543</v>
      </c>
      <c r="C1189" t="s">
        <v>1397</v>
      </c>
      <c r="D1189">
        <f t="shared" si="18"/>
        <v>0</v>
      </c>
      <c r="E1189" t="s">
        <v>19</v>
      </c>
      <c r="F1189" t="s">
        <v>1397</v>
      </c>
      <c r="G1189" t="s">
        <v>322</v>
      </c>
      <c r="N1189" s="107"/>
    </row>
    <row r="1190" spans="1:14" hidden="1" x14ac:dyDescent="0.35">
      <c r="A1190" t="s">
        <v>184</v>
      </c>
      <c r="B1190" t="s">
        <v>528</v>
      </c>
      <c r="C1190" t="s">
        <v>1399</v>
      </c>
      <c r="D1190">
        <f t="shared" si="18"/>
        <v>0</v>
      </c>
      <c r="E1190" t="s">
        <v>19</v>
      </c>
      <c r="F1190" t="s">
        <v>1399</v>
      </c>
      <c r="G1190" t="s">
        <v>322</v>
      </c>
      <c r="N1190" s="107"/>
    </row>
    <row r="1191" spans="1:14" hidden="1" x14ac:dyDescent="0.35">
      <c r="A1191" t="s">
        <v>184</v>
      </c>
      <c r="B1191" t="s">
        <v>924</v>
      </c>
      <c r="C1191" t="s">
        <v>1402</v>
      </c>
      <c r="D1191">
        <f t="shared" si="18"/>
        <v>0</v>
      </c>
      <c r="E1191" t="s">
        <v>19</v>
      </c>
      <c r="F1191" t="s">
        <v>1402</v>
      </c>
      <c r="G1191" t="s">
        <v>322</v>
      </c>
      <c r="N1191" s="107"/>
    </row>
    <row r="1192" spans="1:14" hidden="1" x14ac:dyDescent="0.35">
      <c r="A1192" t="s">
        <v>184</v>
      </c>
      <c r="B1192" t="s">
        <v>971</v>
      </c>
      <c r="C1192" t="s">
        <v>1404</v>
      </c>
      <c r="D1192">
        <f t="shared" si="18"/>
        <v>0</v>
      </c>
      <c r="E1192" t="s">
        <v>19</v>
      </c>
      <c r="F1192" t="s">
        <v>2412</v>
      </c>
      <c r="G1192" t="s">
        <v>322</v>
      </c>
      <c r="N1192" s="107"/>
    </row>
    <row r="1193" spans="1:14" hidden="1" x14ac:dyDescent="0.35">
      <c r="A1193" t="s">
        <v>184</v>
      </c>
      <c r="B1193" t="s">
        <v>528</v>
      </c>
      <c r="C1193" t="s">
        <v>1405</v>
      </c>
      <c r="D1193">
        <f t="shared" si="18"/>
        <v>0</v>
      </c>
      <c r="E1193" t="s">
        <v>19</v>
      </c>
      <c r="F1193" t="s">
        <v>2425</v>
      </c>
      <c r="G1193" t="s">
        <v>322</v>
      </c>
      <c r="N1193" s="107"/>
    </row>
    <row r="1194" spans="1:14" hidden="1" x14ac:dyDescent="0.35">
      <c r="A1194" t="s">
        <v>184</v>
      </c>
      <c r="B1194" t="s">
        <v>980</v>
      </c>
      <c r="C1194" t="s">
        <v>1405</v>
      </c>
      <c r="D1194">
        <f t="shared" si="18"/>
        <v>0</v>
      </c>
      <c r="E1194" t="s">
        <v>19</v>
      </c>
      <c r="F1194" t="s">
        <v>2426</v>
      </c>
      <c r="G1194" t="s">
        <v>322</v>
      </c>
      <c r="N1194" s="107"/>
    </row>
    <row r="1195" spans="1:14" hidden="1" x14ac:dyDescent="0.35">
      <c r="A1195" t="s">
        <v>184</v>
      </c>
      <c r="B1195" t="s">
        <v>981</v>
      </c>
      <c r="C1195" t="s">
        <v>1406</v>
      </c>
      <c r="D1195">
        <f t="shared" si="18"/>
        <v>0</v>
      </c>
      <c r="E1195" t="s">
        <v>19</v>
      </c>
      <c r="F1195" t="s">
        <v>1406</v>
      </c>
      <c r="G1195" t="s">
        <v>322</v>
      </c>
      <c r="N1195" s="107"/>
    </row>
    <row r="1196" spans="1:14" hidden="1" x14ac:dyDescent="0.35">
      <c r="A1196" t="s">
        <v>184</v>
      </c>
      <c r="B1196" t="s">
        <v>525</v>
      </c>
      <c r="C1196" t="s">
        <v>1404</v>
      </c>
      <c r="D1196">
        <f t="shared" si="18"/>
        <v>0</v>
      </c>
      <c r="E1196" t="s">
        <v>19</v>
      </c>
      <c r="F1196" t="s">
        <v>2428</v>
      </c>
      <c r="G1196" t="s">
        <v>322</v>
      </c>
      <c r="N1196" s="107"/>
    </row>
    <row r="1197" spans="1:14" hidden="1" x14ac:dyDescent="0.35">
      <c r="A1197" t="s">
        <v>184</v>
      </c>
      <c r="B1197" t="s">
        <v>984</v>
      </c>
      <c r="C1197" t="s">
        <v>1404</v>
      </c>
      <c r="D1197">
        <f t="shared" si="18"/>
        <v>0</v>
      </c>
      <c r="E1197" t="s">
        <v>19</v>
      </c>
      <c r="F1197" t="s">
        <v>2430</v>
      </c>
      <c r="G1197" t="s">
        <v>322</v>
      </c>
      <c r="N1197" s="107"/>
    </row>
    <row r="1198" spans="1:14" hidden="1" x14ac:dyDescent="0.35">
      <c r="A1198" t="s">
        <v>184</v>
      </c>
      <c r="B1198" t="s">
        <v>527</v>
      </c>
      <c r="C1198" t="s">
        <v>1404</v>
      </c>
      <c r="D1198">
        <f t="shared" si="18"/>
        <v>0</v>
      </c>
      <c r="E1198" t="s">
        <v>19</v>
      </c>
      <c r="F1198" t="s">
        <v>2432</v>
      </c>
      <c r="G1198" t="s">
        <v>322</v>
      </c>
      <c r="N1198" s="107"/>
    </row>
    <row r="1199" spans="1:14" hidden="1" x14ac:dyDescent="0.35">
      <c r="A1199" t="s">
        <v>184</v>
      </c>
      <c r="B1199" t="s">
        <v>986</v>
      </c>
      <c r="C1199" t="s">
        <v>1404</v>
      </c>
      <c r="D1199">
        <f t="shared" si="18"/>
        <v>0</v>
      </c>
      <c r="E1199" t="s">
        <v>19</v>
      </c>
      <c r="F1199" t="s">
        <v>2433</v>
      </c>
      <c r="G1199" t="s">
        <v>322</v>
      </c>
      <c r="N1199" s="107"/>
    </row>
    <row r="1200" spans="1:14" hidden="1" x14ac:dyDescent="0.35">
      <c r="A1200" t="s">
        <v>184</v>
      </c>
      <c r="B1200" t="s">
        <v>543</v>
      </c>
      <c r="C1200" t="s">
        <v>1408</v>
      </c>
      <c r="D1200">
        <f t="shared" si="18"/>
        <v>0</v>
      </c>
      <c r="E1200" t="s">
        <v>19</v>
      </c>
      <c r="F1200" t="s">
        <v>1408</v>
      </c>
      <c r="G1200" t="s">
        <v>322</v>
      </c>
      <c r="N1200" s="107"/>
    </row>
    <row r="1201" spans="1:14" hidden="1" x14ac:dyDescent="0.35">
      <c r="A1201" t="s">
        <v>184</v>
      </c>
      <c r="B1201" t="s">
        <v>585</v>
      </c>
      <c r="C1201" t="s">
        <v>1409</v>
      </c>
      <c r="D1201">
        <f t="shared" si="18"/>
        <v>0</v>
      </c>
      <c r="E1201" t="s">
        <v>19</v>
      </c>
      <c r="F1201" t="s">
        <v>1409</v>
      </c>
      <c r="G1201" t="s">
        <v>322</v>
      </c>
      <c r="N1201" s="107"/>
    </row>
    <row r="1202" spans="1:14" hidden="1" x14ac:dyDescent="0.35">
      <c r="A1202" t="s">
        <v>184</v>
      </c>
      <c r="B1202" t="s">
        <v>527</v>
      </c>
      <c r="C1202" t="s">
        <v>1416</v>
      </c>
      <c r="D1202">
        <f t="shared" si="18"/>
        <v>0</v>
      </c>
      <c r="E1202" t="s">
        <v>19</v>
      </c>
      <c r="F1202" t="s">
        <v>2531</v>
      </c>
      <c r="G1202" t="s">
        <v>322</v>
      </c>
      <c r="N1202" s="107"/>
    </row>
    <row r="1203" spans="1:14" hidden="1" x14ac:dyDescent="0.35">
      <c r="A1203" t="s">
        <v>184</v>
      </c>
      <c r="B1203" t="s">
        <v>856</v>
      </c>
      <c r="C1203" t="s">
        <v>1417</v>
      </c>
      <c r="D1203">
        <f t="shared" si="18"/>
        <v>0</v>
      </c>
      <c r="E1203" t="s">
        <v>19</v>
      </c>
      <c r="F1203" t="s">
        <v>1417</v>
      </c>
      <c r="G1203" t="s">
        <v>322</v>
      </c>
      <c r="N1203" s="107"/>
    </row>
    <row r="1204" spans="1:14" hidden="1" x14ac:dyDescent="0.35">
      <c r="A1204" t="s">
        <v>184</v>
      </c>
      <c r="B1204" t="s">
        <v>666</v>
      </c>
      <c r="C1204" t="s">
        <v>1418</v>
      </c>
      <c r="D1204">
        <f t="shared" si="18"/>
        <v>0</v>
      </c>
      <c r="E1204" t="s">
        <v>19</v>
      </c>
      <c r="F1204" t="s">
        <v>2538</v>
      </c>
      <c r="G1204" t="s">
        <v>322</v>
      </c>
      <c r="N1204" s="107"/>
    </row>
    <row r="1205" spans="1:14" hidden="1" x14ac:dyDescent="0.35">
      <c r="A1205" t="s">
        <v>184</v>
      </c>
      <c r="B1205" t="s">
        <v>666</v>
      </c>
      <c r="C1205" t="s">
        <v>1418</v>
      </c>
      <c r="D1205">
        <f t="shared" si="18"/>
        <v>0</v>
      </c>
      <c r="E1205" t="s">
        <v>19</v>
      </c>
      <c r="F1205" t="s">
        <v>2539</v>
      </c>
      <c r="G1205" t="s">
        <v>322</v>
      </c>
      <c r="N1205" s="107"/>
    </row>
    <row r="1206" spans="1:14" hidden="1" x14ac:dyDescent="0.35">
      <c r="A1206" t="s">
        <v>184</v>
      </c>
      <c r="B1206" t="s">
        <v>820</v>
      </c>
      <c r="C1206" t="s">
        <v>1419</v>
      </c>
      <c r="D1206">
        <f t="shared" si="18"/>
        <v>0</v>
      </c>
      <c r="E1206" t="s">
        <v>19</v>
      </c>
      <c r="F1206" t="s">
        <v>2544</v>
      </c>
      <c r="G1206" t="s">
        <v>322</v>
      </c>
      <c r="N1206" s="107"/>
    </row>
    <row r="1207" spans="1:14" hidden="1" x14ac:dyDescent="0.35">
      <c r="A1207" t="s">
        <v>184</v>
      </c>
      <c r="B1207" t="s">
        <v>1019</v>
      </c>
      <c r="C1207" t="s">
        <v>1419</v>
      </c>
      <c r="D1207">
        <f t="shared" si="18"/>
        <v>0</v>
      </c>
      <c r="E1207" t="s">
        <v>19</v>
      </c>
      <c r="F1207" t="s">
        <v>2545</v>
      </c>
      <c r="G1207" t="s">
        <v>322</v>
      </c>
      <c r="N1207" s="107"/>
    </row>
    <row r="1208" spans="1:14" hidden="1" x14ac:dyDescent="0.35">
      <c r="A1208" t="s">
        <v>184</v>
      </c>
      <c r="B1208" t="s">
        <v>858</v>
      </c>
      <c r="C1208" t="s">
        <v>1419</v>
      </c>
      <c r="D1208">
        <f t="shared" si="18"/>
        <v>0</v>
      </c>
      <c r="E1208" t="s">
        <v>19</v>
      </c>
      <c r="F1208" t="s">
        <v>2549</v>
      </c>
      <c r="G1208" t="s">
        <v>322</v>
      </c>
      <c r="N1208" s="107"/>
    </row>
    <row r="1209" spans="1:14" hidden="1" x14ac:dyDescent="0.35">
      <c r="A1209" t="s">
        <v>184</v>
      </c>
      <c r="B1209" t="s">
        <v>794</v>
      </c>
      <c r="C1209" t="s">
        <v>1428</v>
      </c>
      <c r="D1209">
        <f t="shared" si="18"/>
        <v>0</v>
      </c>
      <c r="E1209" t="s">
        <v>19</v>
      </c>
      <c r="F1209" t="s">
        <v>1428</v>
      </c>
      <c r="G1209" t="s">
        <v>322</v>
      </c>
      <c r="N1209" s="107"/>
    </row>
    <row r="1210" spans="1:14" hidden="1" x14ac:dyDescent="0.35">
      <c r="A1210" t="s">
        <v>184</v>
      </c>
      <c r="B1210" t="s">
        <v>542</v>
      </c>
      <c r="C1210" t="s">
        <v>1430</v>
      </c>
      <c r="D1210">
        <f t="shared" si="18"/>
        <v>0</v>
      </c>
      <c r="E1210" t="s">
        <v>19</v>
      </c>
      <c r="F1210" t="s">
        <v>1430</v>
      </c>
      <c r="G1210" t="s">
        <v>322</v>
      </c>
      <c r="N1210" s="107"/>
    </row>
    <row r="1211" spans="1:14" hidden="1" x14ac:dyDescent="0.35">
      <c r="A1211" t="s">
        <v>184</v>
      </c>
      <c r="B1211" t="s">
        <v>542</v>
      </c>
      <c r="C1211" t="s">
        <v>1431</v>
      </c>
      <c r="D1211">
        <f t="shared" si="18"/>
        <v>0</v>
      </c>
      <c r="E1211" t="s">
        <v>19</v>
      </c>
      <c r="F1211" t="s">
        <v>1431</v>
      </c>
      <c r="G1211" t="s">
        <v>322</v>
      </c>
      <c r="N1211" s="107"/>
    </row>
    <row r="1212" spans="1:14" hidden="1" x14ac:dyDescent="0.35">
      <c r="A1212" t="s">
        <v>184</v>
      </c>
      <c r="B1212" t="s">
        <v>523</v>
      </c>
      <c r="C1212" t="s">
        <v>1434</v>
      </c>
      <c r="D1212">
        <f t="shared" si="18"/>
        <v>0</v>
      </c>
      <c r="E1212" t="s">
        <v>19</v>
      </c>
      <c r="F1212" t="s">
        <v>2558</v>
      </c>
      <c r="G1212" t="s">
        <v>322</v>
      </c>
      <c r="N1212" s="107"/>
    </row>
    <row r="1213" spans="1:14" hidden="1" x14ac:dyDescent="0.35">
      <c r="A1213" t="s">
        <v>184</v>
      </c>
      <c r="B1213" t="s">
        <v>523</v>
      </c>
      <c r="C1213" t="s">
        <v>1434</v>
      </c>
      <c r="D1213">
        <f t="shared" si="18"/>
        <v>0</v>
      </c>
      <c r="E1213" t="s">
        <v>19</v>
      </c>
      <c r="F1213" t="s">
        <v>2559</v>
      </c>
      <c r="G1213" t="s">
        <v>322</v>
      </c>
      <c r="N1213" s="107"/>
    </row>
    <row r="1214" spans="1:14" hidden="1" x14ac:dyDescent="0.35">
      <c r="A1214" t="s">
        <v>184</v>
      </c>
      <c r="B1214" t="s">
        <v>1028</v>
      </c>
      <c r="C1214" t="s">
        <v>1435</v>
      </c>
      <c r="D1214">
        <f t="shared" si="18"/>
        <v>0</v>
      </c>
      <c r="E1214" t="s">
        <v>19</v>
      </c>
      <c r="F1214" t="s">
        <v>1435</v>
      </c>
      <c r="G1214" t="s">
        <v>322</v>
      </c>
      <c r="N1214" s="107"/>
    </row>
    <row r="1215" spans="1:14" hidden="1" x14ac:dyDescent="0.35">
      <c r="A1215" t="s">
        <v>184</v>
      </c>
      <c r="B1215" t="s">
        <v>1034</v>
      </c>
      <c r="C1215" t="s">
        <v>1443</v>
      </c>
      <c r="D1215">
        <f t="shared" si="18"/>
        <v>0</v>
      </c>
      <c r="E1215" t="s">
        <v>19</v>
      </c>
      <c r="F1215" t="s">
        <v>2569</v>
      </c>
      <c r="G1215" t="s">
        <v>322</v>
      </c>
      <c r="N1215" s="107"/>
    </row>
    <row r="1216" spans="1:14" hidden="1" x14ac:dyDescent="0.35">
      <c r="A1216" t="s">
        <v>184</v>
      </c>
      <c r="B1216" t="s">
        <v>527</v>
      </c>
      <c r="C1216" t="s">
        <v>1443</v>
      </c>
      <c r="D1216">
        <f t="shared" si="18"/>
        <v>0</v>
      </c>
      <c r="E1216" t="s">
        <v>19</v>
      </c>
      <c r="F1216" t="s">
        <v>2572</v>
      </c>
      <c r="G1216" t="s">
        <v>322</v>
      </c>
      <c r="N1216" s="107"/>
    </row>
    <row r="1217" spans="1:14" hidden="1" x14ac:dyDescent="0.35">
      <c r="A1217" t="s">
        <v>184</v>
      </c>
      <c r="B1217" t="s">
        <v>1046</v>
      </c>
      <c r="C1217" t="s">
        <v>1443</v>
      </c>
      <c r="D1217">
        <f t="shared" ref="D1217:D1280" si="19">SIGN(SUBTOTAL(3,E1217))</f>
        <v>0</v>
      </c>
      <c r="E1217" t="s">
        <v>19</v>
      </c>
      <c r="F1217" t="s">
        <v>2594</v>
      </c>
      <c r="G1217" t="s">
        <v>322</v>
      </c>
      <c r="N1217" s="107"/>
    </row>
    <row r="1218" spans="1:14" hidden="1" x14ac:dyDescent="0.35">
      <c r="A1218" t="s">
        <v>184</v>
      </c>
      <c r="B1218" t="s">
        <v>766</v>
      </c>
      <c r="C1218" t="s">
        <v>1443</v>
      </c>
      <c r="D1218">
        <f t="shared" si="19"/>
        <v>0</v>
      </c>
      <c r="E1218" t="s">
        <v>19</v>
      </c>
      <c r="F1218" t="s">
        <v>2595</v>
      </c>
      <c r="G1218" t="s">
        <v>322</v>
      </c>
      <c r="N1218" s="107"/>
    </row>
    <row r="1219" spans="1:14" hidden="1" x14ac:dyDescent="0.35">
      <c r="A1219" t="s">
        <v>184</v>
      </c>
      <c r="B1219" t="s">
        <v>585</v>
      </c>
      <c r="C1219" t="s">
        <v>1443</v>
      </c>
      <c r="D1219">
        <f t="shared" si="19"/>
        <v>0</v>
      </c>
      <c r="E1219" t="s">
        <v>19</v>
      </c>
      <c r="F1219" t="s">
        <v>2597</v>
      </c>
      <c r="G1219" t="s">
        <v>322</v>
      </c>
      <c r="N1219" s="107"/>
    </row>
    <row r="1220" spans="1:14" hidden="1" x14ac:dyDescent="0.35">
      <c r="A1220" t="s">
        <v>184</v>
      </c>
      <c r="B1220" t="s">
        <v>1047</v>
      </c>
      <c r="C1220" t="s">
        <v>1443</v>
      </c>
      <c r="D1220">
        <f t="shared" si="19"/>
        <v>0</v>
      </c>
      <c r="E1220" t="s">
        <v>19</v>
      </c>
      <c r="F1220" t="s">
        <v>2598</v>
      </c>
      <c r="G1220" t="s">
        <v>322</v>
      </c>
      <c r="N1220" s="107"/>
    </row>
    <row r="1221" spans="1:14" hidden="1" x14ac:dyDescent="0.35">
      <c r="A1221" t="s">
        <v>184</v>
      </c>
      <c r="B1221" t="s">
        <v>936</v>
      </c>
      <c r="C1221" t="s">
        <v>1443</v>
      </c>
      <c r="D1221">
        <f t="shared" si="19"/>
        <v>0</v>
      </c>
      <c r="E1221" t="s">
        <v>19</v>
      </c>
      <c r="F1221" t="s">
        <v>2600</v>
      </c>
      <c r="G1221" t="s">
        <v>322</v>
      </c>
      <c r="N1221" s="107"/>
    </row>
    <row r="1222" spans="1:14" hidden="1" x14ac:dyDescent="0.35">
      <c r="A1222" t="s">
        <v>184</v>
      </c>
      <c r="B1222" t="s">
        <v>528</v>
      </c>
      <c r="C1222" t="s">
        <v>1443</v>
      </c>
      <c r="D1222">
        <f t="shared" si="19"/>
        <v>0</v>
      </c>
      <c r="E1222" t="s">
        <v>19</v>
      </c>
      <c r="F1222" t="s">
        <v>2601</v>
      </c>
      <c r="G1222" t="s">
        <v>322</v>
      </c>
      <c r="N1222" s="107"/>
    </row>
    <row r="1223" spans="1:14" hidden="1" x14ac:dyDescent="0.35">
      <c r="A1223" t="s">
        <v>184</v>
      </c>
      <c r="B1223" t="s">
        <v>1048</v>
      </c>
      <c r="C1223" t="s">
        <v>1443</v>
      </c>
      <c r="D1223">
        <f t="shared" si="19"/>
        <v>0</v>
      </c>
      <c r="E1223" t="s">
        <v>19</v>
      </c>
      <c r="F1223" t="s">
        <v>2602</v>
      </c>
      <c r="G1223" t="s">
        <v>322</v>
      </c>
      <c r="N1223" s="107"/>
    </row>
    <row r="1224" spans="1:14" hidden="1" x14ac:dyDescent="0.35">
      <c r="A1224" t="s">
        <v>184</v>
      </c>
      <c r="B1224" t="s">
        <v>529</v>
      </c>
      <c r="C1224" t="s">
        <v>1443</v>
      </c>
      <c r="D1224">
        <f t="shared" si="19"/>
        <v>0</v>
      </c>
      <c r="E1224" t="s">
        <v>19</v>
      </c>
      <c r="F1224" t="s">
        <v>2607</v>
      </c>
      <c r="G1224" t="s">
        <v>322</v>
      </c>
      <c r="N1224" s="107"/>
    </row>
    <row r="1225" spans="1:14" hidden="1" x14ac:dyDescent="0.35">
      <c r="A1225" t="s">
        <v>184</v>
      </c>
      <c r="B1225" t="s">
        <v>529</v>
      </c>
      <c r="C1225" t="s">
        <v>1443</v>
      </c>
      <c r="D1225">
        <f t="shared" si="19"/>
        <v>0</v>
      </c>
      <c r="E1225" t="s">
        <v>19</v>
      </c>
      <c r="F1225" t="s">
        <v>2608</v>
      </c>
      <c r="G1225" t="s">
        <v>322</v>
      </c>
      <c r="N1225" s="107"/>
    </row>
    <row r="1226" spans="1:14" hidden="1" x14ac:dyDescent="0.35">
      <c r="A1226" t="s">
        <v>184</v>
      </c>
      <c r="B1226" t="s">
        <v>585</v>
      </c>
      <c r="C1226" t="s">
        <v>1443</v>
      </c>
      <c r="D1226">
        <f t="shared" si="19"/>
        <v>0</v>
      </c>
      <c r="E1226" t="s">
        <v>19</v>
      </c>
      <c r="F1226" t="s">
        <v>2614</v>
      </c>
      <c r="G1226" t="s">
        <v>322</v>
      </c>
      <c r="N1226" s="107"/>
    </row>
    <row r="1227" spans="1:14" hidden="1" x14ac:dyDescent="0.35">
      <c r="A1227" t="s">
        <v>184</v>
      </c>
      <c r="B1227" t="s">
        <v>814</v>
      </c>
      <c r="C1227" t="s">
        <v>1447</v>
      </c>
      <c r="D1227">
        <f t="shared" si="19"/>
        <v>0</v>
      </c>
      <c r="E1227" t="s">
        <v>19</v>
      </c>
      <c r="F1227" t="s">
        <v>2619</v>
      </c>
      <c r="G1227" t="s">
        <v>322</v>
      </c>
      <c r="N1227" s="107"/>
    </row>
    <row r="1228" spans="1:14" hidden="1" x14ac:dyDescent="0.35">
      <c r="A1228" t="s">
        <v>184</v>
      </c>
      <c r="B1228" t="s">
        <v>542</v>
      </c>
      <c r="C1228" t="s">
        <v>1462</v>
      </c>
      <c r="D1228">
        <f t="shared" si="19"/>
        <v>0</v>
      </c>
      <c r="E1228" t="s">
        <v>19</v>
      </c>
      <c r="F1228" t="s">
        <v>2660</v>
      </c>
      <c r="G1228" t="s">
        <v>322</v>
      </c>
      <c r="N1228" s="107"/>
    </row>
    <row r="1229" spans="1:14" hidden="1" x14ac:dyDescent="0.35">
      <c r="A1229" t="s">
        <v>184</v>
      </c>
      <c r="B1229" t="s">
        <v>1072</v>
      </c>
      <c r="C1229" t="s">
        <v>1462</v>
      </c>
      <c r="D1229">
        <f t="shared" si="19"/>
        <v>0</v>
      </c>
      <c r="E1229" t="s">
        <v>19</v>
      </c>
      <c r="F1229" t="s">
        <v>2662</v>
      </c>
      <c r="G1229" t="s">
        <v>322</v>
      </c>
      <c r="N1229" s="107"/>
    </row>
    <row r="1230" spans="1:14" hidden="1" x14ac:dyDescent="0.35">
      <c r="A1230" t="s">
        <v>184</v>
      </c>
      <c r="B1230" t="s">
        <v>529</v>
      </c>
      <c r="C1230" t="s">
        <v>1462</v>
      </c>
      <c r="D1230">
        <f t="shared" si="19"/>
        <v>0</v>
      </c>
      <c r="E1230" t="s">
        <v>19</v>
      </c>
      <c r="F1230" t="s">
        <v>2667</v>
      </c>
      <c r="G1230" t="s">
        <v>322</v>
      </c>
      <c r="N1230" s="107"/>
    </row>
    <row r="1231" spans="1:14" hidden="1" x14ac:dyDescent="0.35">
      <c r="A1231" t="s">
        <v>184</v>
      </c>
      <c r="B1231" t="s">
        <v>585</v>
      </c>
      <c r="C1231" t="s">
        <v>1461</v>
      </c>
      <c r="D1231">
        <f t="shared" si="19"/>
        <v>0</v>
      </c>
      <c r="E1231" t="s">
        <v>19</v>
      </c>
      <c r="F1231" t="s">
        <v>2672</v>
      </c>
      <c r="G1231" t="s">
        <v>322</v>
      </c>
      <c r="N1231" s="107"/>
    </row>
    <row r="1232" spans="1:14" hidden="1" x14ac:dyDescent="0.35">
      <c r="A1232" t="s">
        <v>184</v>
      </c>
      <c r="B1232" t="s">
        <v>528</v>
      </c>
      <c r="C1232" t="s">
        <v>1464</v>
      </c>
      <c r="D1232">
        <f t="shared" si="19"/>
        <v>0</v>
      </c>
      <c r="E1232" t="s">
        <v>19</v>
      </c>
      <c r="F1232" t="s">
        <v>1464</v>
      </c>
      <c r="G1232" t="s">
        <v>322</v>
      </c>
      <c r="N1232" s="107"/>
    </row>
    <row r="1233" spans="1:14" hidden="1" x14ac:dyDescent="0.35">
      <c r="A1233" t="s">
        <v>184</v>
      </c>
      <c r="B1233" t="s">
        <v>1075</v>
      </c>
      <c r="C1233" t="s">
        <v>1466</v>
      </c>
      <c r="D1233">
        <f t="shared" si="19"/>
        <v>0</v>
      </c>
      <c r="E1233" t="s">
        <v>19</v>
      </c>
      <c r="F1233" t="s">
        <v>1466</v>
      </c>
      <c r="G1233" t="s">
        <v>322</v>
      </c>
      <c r="N1233" s="107"/>
    </row>
    <row r="1234" spans="1:14" hidden="1" x14ac:dyDescent="0.35">
      <c r="A1234" t="s">
        <v>184</v>
      </c>
      <c r="B1234" t="s">
        <v>872</v>
      </c>
      <c r="C1234" t="s">
        <v>1467</v>
      </c>
      <c r="D1234">
        <f t="shared" si="19"/>
        <v>0</v>
      </c>
      <c r="E1234" t="s">
        <v>19</v>
      </c>
      <c r="F1234" t="s">
        <v>1467</v>
      </c>
      <c r="G1234" t="s">
        <v>322</v>
      </c>
      <c r="N1234" s="107"/>
    </row>
    <row r="1235" spans="1:14" hidden="1" x14ac:dyDescent="0.35">
      <c r="A1235" t="s">
        <v>184</v>
      </c>
      <c r="B1235" t="s">
        <v>585</v>
      </c>
      <c r="C1235" t="s">
        <v>1468</v>
      </c>
      <c r="D1235">
        <f t="shared" si="19"/>
        <v>0</v>
      </c>
      <c r="E1235" t="s">
        <v>19</v>
      </c>
      <c r="F1235" t="s">
        <v>1468</v>
      </c>
      <c r="G1235" t="s">
        <v>322</v>
      </c>
      <c r="N1235" s="107"/>
    </row>
    <row r="1236" spans="1:14" hidden="1" x14ac:dyDescent="0.35">
      <c r="A1236" t="s">
        <v>184</v>
      </c>
      <c r="B1236" t="s">
        <v>1081</v>
      </c>
      <c r="C1236" t="s">
        <v>1473</v>
      </c>
      <c r="D1236">
        <f t="shared" si="19"/>
        <v>0</v>
      </c>
      <c r="E1236" t="s">
        <v>19</v>
      </c>
      <c r="F1236" t="s">
        <v>1473</v>
      </c>
      <c r="G1236" t="s">
        <v>322</v>
      </c>
      <c r="N1236" s="107"/>
    </row>
    <row r="1237" spans="1:14" hidden="1" x14ac:dyDescent="0.35">
      <c r="A1237" t="s">
        <v>184</v>
      </c>
      <c r="B1237" t="s">
        <v>543</v>
      </c>
      <c r="C1237" t="s">
        <v>1479</v>
      </c>
      <c r="D1237">
        <f t="shared" si="19"/>
        <v>0</v>
      </c>
      <c r="E1237" t="s">
        <v>19</v>
      </c>
      <c r="F1237" t="s">
        <v>2693</v>
      </c>
      <c r="G1237" t="s">
        <v>322</v>
      </c>
      <c r="N1237" s="107"/>
    </row>
    <row r="1238" spans="1:14" hidden="1" x14ac:dyDescent="0.35">
      <c r="A1238" t="s">
        <v>184</v>
      </c>
      <c r="B1238" t="s">
        <v>525</v>
      </c>
      <c r="C1238" t="s">
        <v>1483</v>
      </c>
      <c r="D1238">
        <f t="shared" si="19"/>
        <v>0</v>
      </c>
      <c r="E1238" t="s">
        <v>19</v>
      </c>
      <c r="F1238" t="s">
        <v>2709</v>
      </c>
      <c r="G1238" t="s">
        <v>322</v>
      </c>
      <c r="N1238" s="107"/>
    </row>
    <row r="1239" spans="1:14" hidden="1" x14ac:dyDescent="0.35">
      <c r="A1239" t="s">
        <v>184</v>
      </c>
      <c r="B1239" t="s">
        <v>523</v>
      </c>
      <c r="C1239" t="s">
        <v>1483</v>
      </c>
      <c r="D1239">
        <f t="shared" si="19"/>
        <v>0</v>
      </c>
      <c r="E1239" t="s">
        <v>19</v>
      </c>
      <c r="F1239" t="s">
        <v>2710</v>
      </c>
      <c r="G1239" t="s">
        <v>322</v>
      </c>
      <c r="N1239" s="107"/>
    </row>
    <row r="1240" spans="1:14" hidden="1" x14ac:dyDescent="0.35">
      <c r="A1240" t="s">
        <v>184</v>
      </c>
      <c r="B1240" t="s">
        <v>924</v>
      </c>
      <c r="C1240" t="s">
        <v>1483</v>
      </c>
      <c r="D1240">
        <f t="shared" si="19"/>
        <v>0</v>
      </c>
      <c r="E1240" t="s">
        <v>19</v>
      </c>
      <c r="F1240" t="s">
        <v>2711</v>
      </c>
      <c r="G1240" t="s">
        <v>322</v>
      </c>
      <c r="N1240" s="107"/>
    </row>
    <row r="1241" spans="1:14" hidden="1" x14ac:dyDescent="0.35">
      <c r="A1241" t="s">
        <v>184</v>
      </c>
      <c r="B1241" t="s">
        <v>670</v>
      </c>
      <c r="C1241" t="s">
        <v>1483</v>
      </c>
      <c r="D1241">
        <f t="shared" si="19"/>
        <v>0</v>
      </c>
      <c r="E1241" t="s">
        <v>19</v>
      </c>
      <c r="F1241" t="s">
        <v>2723</v>
      </c>
      <c r="G1241" t="s">
        <v>322</v>
      </c>
      <c r="N1241" s="107"/>
    </row>
    <row r="1242" spans="1:14" hidden="1" x14ac:dyDescent="0.35">
      <c r="A1242" t="s">
        <v>184</v>
      </c>
      <c r="B1242" t="s">
        <v>529</v>
      </c>
      <c r="C1242" t="s">
        <v>1483</v>
      </c>
      <c r="D1242">
        <f t="shared" si="19"/>
        <v>0</v>
      </c>
      <c r="E1242" t="s">
        <v>19</v>
      </c>
      <c r="F1242" t="s">
        <v>2724</v>
      </c>
      <c r="G1242" t="s">
        <v>322</v>
      </c>
      <c r="N1242" s="107"/>
    </row>
    <row r="1243" spans="1:14" hidden="1" x14ac:dyDescent="0.35">
      <c r="A1243" t="s">
        <v>184</v>
      </c>
      <c r="B1243" t="s">
        <v>606</v>
      </c>
      <c r="C1243" t="s">
        <v>1483</v>
      </c>
      <c r="D1243">
        <f t="shared" si="19"/>
        <v>0</v>
      </c>
      <c r="E1243" t="s">
        <v>19</v>
      </c>
      <c r="F1243" t="s">
        <v>2725</v>
      </c>
      <c r="G1243" t="s">
        <v>322</v>
      </c>
      <c r="N1243" s="107"/>
    </row>
    <row r="1244" spans="1:14" hidden="1" x14ac:dyDescent="0.35">
      <c r="A1244" t="s">
        <v>184</v>
      </c>
      <c r="B1244" t="s">
        <v>666</v>
      </c>
      <c r="C1244" t="s">
        <v>1483</v>
      </c>
      <c r="D1244">
        <f t="shared" si="19"/>
        <v>0</v>
      </c>
      <c r="E1244" t="s">
        <v>19</v>
      </c>
      <c r="F1244" t="s">
        <v>2728</v>
      </c>
      <c r="G1244" t="s">
        <v>322</v>
      </c>
      <c r="N1244" s="107"/>
    </row>
    <row r="1245" spans="1:14" hidden="1" x14ac:dyDescent="0.35">
      <c r="A1245" t="s">
        <v>184</v>
      </c>
      <c r="B1245" t="s">
        <v>1088</v>
      </c>
      <c r="C1245" t="s">
        <v>1484</v>
      </c>
      <c r="D1245">
        <f t="shared" si="19"/>
        <v>0</v>
      </c>
      <c r="E1245" t="s">
        <v>19</v>
      </c>
      <c r="F1245" t="s">
        <v>1484</v>
      </c>
      <c r="G1245" t="s">
        <v>322</v>
      </c>
      <c r="N1245" s="107"/>
    </row>
    <row r="1246" spans="1:14" hidden="1" x14ac:dyDescent="0.35">
      <c r="A1246" t="s">
        <v>184</v>
      </c>
      <c r="B1246" t="s">
        <v>528</v>
      </c>
      <c r="C1246" t="s">
        <v>1494</v>
      </c>
      <c r="D1246">
        <f t="shared" si="19"/>
        <v>0</v>
      </c>
      <c r="E1246" t="s">
        <v>19</v>
      </c>
      <c r="F1246" t="s">
        <v>1494</v>
      </c>
      <c r="G1246" t="s">
        <v>322</v>
      </c>
      <c r="N1246" s="107"/>
    </row>
    <row r="1247" spans="1:14" hidden="1" x14ac:dyDescent="0.35">
      <c r="A1247" t="s">
        <v>184</v>
      </c>
      <c r="B1247" t="s">
        <v>814</v>
      </c>
      <c r="C1247" t="s">
        <v>1500</v>
      </c>
      <c r="D1247">
        <f t="shared" si="19"/>
        <v>0</v>
      </c>
      <c r="E1247" t="s">
        <v>19</v>
      </c>
      <c r="F1247" t="s">
        <v>2741</v>
      </c>
      <c r="G1247" t="s">
        <v>322</v>
      </c>
      <c r="N1247" s="107"/>
    </row>
    <row r="1248" spans="1:14" hidden="1" x14ac:dyDescent="0.35">
      <c r="A1248" t="s">
        <v>184</v>
      </c>
      <c r="B1248" t="s">
        <v>543</v>
      </c>
      <c r="C1248" t="s">
        <v>1500</v>
      </c>
      <c r="D1248">
        <f t="shared" si="19"/>
        <v>0</v>
      </c>
      <c r="E1248" t="s">
        <v>19</v>
      </c>
      <c r="F1248" t="s">
        <v>2744</v>
      </c>
      <c r="G1248" t="s">
        <v>322</v>
      </c>
      <c r="N1248" s="107"/>
    </row>
    <row r="1249" spans="1:14" hidden="1" x14ac:dyDescent="0.35">
      <c r="A1249" t="s">
        <v>184</v>
      </c>
      <c r="B1249" t="s">
        <v>585</v>
      </c>
      <c r="C1249" t="s">
        <v>1502</v>
      </c>
      <c r="D1249">
        <f t="shared" si="19"/>
        <v>0</v>
      </c>
      <c r="E1249" t="s">
        <v>19</v>
      </c>
      <c r="F1249" t="s">
        <v>2747</v>
      </c>
      <c r="G1249" t="s">
        <v>322</v>
      </c>
      <c r="N1249" s="107"/>
    </row>
    <row r="1250" spans="1:14" hidden="1" x14ac:dyDescent="0.35">
      <c r="A1250" t="s">
        <v>184</v>
      </c>
      <c r="B1250" t="s">
        <v>528</v>
      </c>
      <c r="C1250" t="s">
        <v>1502</v>
      </c>
      <c r="D1250">
        <f t="shared" si="19"/>
        <v>0</v>
      </c>
      <c r="E1250" t="s">
        <v>19</v>
      </c>
      <c r="F1250" t="s">
        <v>2748</v>
      </c>
      <c r="G1250" t="s">
        <v>322</v>
      </c>
      <c r="N1250" s="107"/>
    </row>
    <row r="1251" spans="1:14" hidden="1" x14ac:dyDescent="0.35">
      <c r="A1251" t="s">
        <v>184</v>
      </c>
      <c r="B1251" t="s">
        <v>923</v>
      </c>
      <c r="C1251" t="s">
        <v>1503</v>
      </c>
      <c r="D1251">
        <f t="shared" si="19"/>
        <v>0</v>
      </c>
      <c r="E1251" t="s">
        <v>19</v>
      </c>
      <c r="F1251" t="s">
        <v>1503</v>
      </c>
      <c r="G1251" t="s">
        <v>322</v>
      </c>
      <c r="N1251" s="107"/>
    </row>
    <row r="1252" spans="1:14" hidden="1" x14ac:dyDescent="0.35">
      <c r="A1252" t="s">
        <v>184</v>
      </c>
      <c r="B1252" t="s">
        <v>936</v>
      </c>
      <c r="C1252" t="s">
        <v>1507</v>
      </c>
      <c r="D1252">
        <f t="shared" si="19"/>
        <v>0</v>
      </c>
      <c r="E1252" t="s">
        <v>19</v>
      </c>
      <c r="F1252" t="s">
        <v>2753</v>
      </c>
      <c r="G1252" t="s">
        <v>322</v>
      </c>
      <c r="N1252" s="107"/>
    </row>
    <row r="1253" spans="1:14" hidden="1" x14ac:dyDescent="0.35">
      <c r="A1253" t="s">
        <v>184</v>
      </c>
      <c r="B1253" t="s">
        <v>936</v>
      </c>
      <c r="C1253" t="s">
        <v>1507</v>
      </c>
      <c r="D1253">
        <f t="shared" si="19"/>
        <v>0</v>
      </c>
      <c r="E1253" t="s">
        <v>19</v>
      </c>
      <c r="F1253" t="s">
        <v>2754</v>
      </c>
      <c r="G1253" t="s">
        <v>322</v>
      </c>
      <c r="N1253" s="107"/>
    </row>
    <row r="1254" spans="1:14" hidden="1" x14ac:dyDescent="0.35">
      <c r="A1254" t="s">
        <v>184</v>
      </c>
      <c r="B1254" t="s">
        <v>858</v>
      </c>
      <c r="C1254" t="s">
        <v>1508</v>
      </c>
      <c r="D1254">
        <f t="shared" si="19"/>
        <v>0</v>
      </c>
      <c r="E1254" t="s">
        <v>19</v>
      </c>
      <c r="F1254" t="s">
        <v>1508</v>
      </c>
      <c r="G1254" t="s">
        <v>322</v>
      </c>
      <c r="N1254" s="107"/>
    </row>
    <row r="1255" spans="1:14" hidden="1" x14ac:dyDescent="0.35">
      <c r="A1255" t="s">
        <v>184</v>
      </c>
      <c r="B1255" t="s">
        <v>542</v>
      </c>
      <c r="C1255" t="s">
        <v>1509</v>
      </c>
      <c r="D1255">
        <f t="shared" si="19"/>
        <v>0</v>
      </c>
      <c r="E1255" t="s">
        <v>19</v>
      </c>
      <c r="F1255" t="s">
        <v>2781</v>
      </c>
      <c r="G1255" t="s">
        <v>322</v>
      </c>
      <c r="N1255" s="107"/>
    </row>
    <row r="1256" spans="1:14" hidden="1" x14ac:dyDescent="0.35">
      <c r="A1256" t="s">
        <v>184</v>
      </c>
      <c r="B1256" t="s">
        <v>542</v>
      </c>
      <c r="C1256" t="s">
        <v>1509</v>
      </c>
      <c r="D1256">
        <f t="shared" si="19"/>
        <v>0</v>
      </c>
      <c r="E1256" t="s">
        <v>19</v>
      </c>
      <c r="F1256" t="s">
        <v>2782</v>
      </c>
      <c r="G1256" t="s">
        <v>322</v>
      </c>
      <c r="N1256" s="107"/>
    </row>
    <row r="1257" spans="1:14" hidden="1" x14ac:dyDescent="0.35">
      <c r="A1257" t="s">
        <v>184</v>
      </c>
      <c r="B1257" t="s">
        <v>542</v>
      </c>
      <c r="C1257" t="s">
        <v>1509</v>
      </c>
      <c r="D1257">
        <f t="shared" si="19"/>
        <v>0</v>
      </c>
      <c r="E1257" t="s">
        <v>19</v>
      </c>
      <c r="F1257" t="s">
        <v>2783</v>
      </c>
      <c r="G1257" t="s">
        <v>322</v>
      </c>
      <c r="N1257" s="107"/>
    </row>
    <row r="1258" spans="1:14" hidden="1" x14ac:dyDescent="0.35">
      <c r="A1258" t="s">
        <v>184</v>
      </c>
      <c r="B1258" t="s">
        <v>542</v>
      </c>
      <c r="C1258" t="s">
        <v>1509</v>
      </c>
      <c r="D1258">
        <f t="shared" si="19"/>
        <v>0</v>
      </c>
      <c r="E1258" t="s">
        <v>19</v>
      </c>
      <c r="F1258" t="s">
        <v>2784</v>
      </c>
      <c r="G1258" t="s">
        <v>322</v>
      </c>
      <c r="N1258" s="107"/>
    </row>
    <row r="1259" spans="1:14" hidden="1" x14ac:dyDescent="0.35">
      <c r="A1259" t="s">
        <v>184</v>
      </c>
      <c r="B1259" t="s">
        <v>542</v>
      </c>
      <c r="C1259" t="s">
        <v>1509</v>
      </c>
      <c r="D1259">
        <f t="shared" si="19"/>
        <v>0</v>
      </c>
      <c r="E1259" t="s">
        <v>19</v>
      </c>
      <c r="F1259" t="s">
        <v>2789</v>
      </c>
      <c r="G1259" t="s">
        <v>322</v>
      </c>
      <c r="N1259" s="107"/>
    </row>
    <row r="1260" spans="1:14" hidden="1" x14ac:dyDescent="0.35">
      <c r="A1260" t="s">
        <v>184</v>
      </c>
      <c r="B1260" t="s">
        <v>871</v>
      </c>
      <c r="C1260" t="s">
        <v>1513</v>
      </c>
      <c r="D1260">
        <f t="shared" si="19"/>
        <v>0</v>
      </c>
      <c r="E1260" t="s">
        <v>19</v>
      </c>
      <c r="F1260" t="s">
        <v>2806</v>
      </c>
      <c r="G1260" t="s">
        <v>322</v>
      </c>
      <c r="N1260" s="107"/>
    </row>
    <row r="1261" spans="1:14" hidden="1" x14ac:dyDescent="0.35">
      <c r="A1261" t="s">
        <v>184</v>
      </c>
      <c r="B1261" t="s">
        <v>923</v>
      </c>
      <c r="C1261" t="s">
        <v>1521</v>
      </c>
      <c r="D1261">
        <f t="shared" si="19"/>
        <v>0</v>
      </c>
      <c r="E1261" t="s">
        <v>19</v>
      </c>
      <c r="F1261" t="s">
        <v>2820</v>
      </c>
      <c r="G1261" t="s">
        <v>322</v>
      </c>
      <c r="N1261" s="107"/>
    </row>
    <row r="1262" spans="1:14" hidden="1" x14ac:dyDescent="0.35">
      <c r="A1262" t="s">
        <v>184</v>
      </c>
      <c r="B1262" t="s">
        <v>528</v>
      </c>
      <c r="C1262" t="s">
        <v>1532</v>
      </c>
      <c r="D1262">
        <f t="shared" si="19"/>
        <v>0</v>
      </c>
      <c r="E1262" t="s">
        <v>19</v>
      </c>
      <c r="F1262" t="s">
        <v>2823</v>
      </c>
      <c r="G1262" t="s">
        <v>322</v>
      </c>
      <c r="N1262" s="107"/>
    </row>
    <row r="1263" spans="1:14" hidden="1" x14ac:dyDescent="0.35">
      <c r="A1263" t="s">
        <v>184</v>
      </c>
      <c r="B1263" t="s">
        <v>528</v>
      </c>
      <c r="C1263" t="s">
        <v>1532</v>
      </c>
      <c r="D1263">
        <f t="shared" si="19"/>
        <v>0</v>
      </c>
      <c r="E1263" t="s">
        <v>19</v>
      </c>
      <c r="F1263" t="s">
        <v>2824</v>
      </c>
      <c r="G1263" t="s">
        <v>322</v>
      </c>
      <c r="N1263" s="107"/>
    </row>
    <row r="1264" spans="1:14" hidden="1" x14ac:dyDescent="0.35">
      <c r="A1264" t="s">
        <v>184</v>
      </c>
      <c r="B1264" t="s">
        <v>856</v>
      </c>
      <c r="C1264" t="s">
        <v>1533</v>
      </c>
      <c r="D1264">
        <f t="shared" si="19"/>
        <v>0</v>
      </c>
      <c r="E1264" t="s">
        <v>19</v>
      </c>
      <c r="F1264" t="s">
        <v>1533</v>
      </c>
      <c r="G1264" t="s">
        <v>322</v>
      </c>
      <c r="N1264" s="107"/>
    </row>
    <row r="1265" spans="1:14" hidden="1" x14ac:dyDescent="0.35">
      <c r="A1265" t="s">
        <v>185</v>
      </c>
      <c r="B1265" t="s">
        <v>768</v>
      </c>
      <c r="C1265" t="s">
        <v>1254</v>
      </c>
      <c r="D1265">
        <f t="shared" si="19"/>
        <v>0</v>
      </c>
      <c r="E1265" t="s">
        <v>19</v>
      </c>
      <c r="F1265" t="s">
        <v>2063</v>
      </c>
      <c r="G1265" t="s">
        <v>322</v>
      </c>
      <c r="N1265" s="107"/>
    </row>
    <row r="1266" spans="1:14" hidden="1" x14ac:dyDescent="0.35">
      <c r="A1266" t="s">
        <v>185</v>
      </c>
      <c r="B1266" t="s">
        <v>777</v>
      </c>
      <c r="C1266" t="s">
        <v>1261</v>
      </c>
      <c r="D1266">
        <f t="shared" si="19"/>
        <v>0</v>
      </c>
      <c r="E1266" t="s">
        <v>19</v>
      </c>
      <c r="F1266" t="s">
        <v>1261</v>
      </c>
      <c r="G1266" t="s">
        <v>322</v>
      </c>
      <c r="N1266" s="107"/>
    </row>
    <row r="1267" spans="1:14" hidden="1" x14ac:dyDescent="0.35">
      <c r="A1267" t="s">
        <v>185</v>
      </c>
      <c r="B1267" t="s">
        <v>901</v>
      </c>
      <c r="C1267" t="s">
        <v>1336</v>
      </c>
      <c r="D1267">
        <f t="shared" si="19"/>
        <v>0</v>
      </c>
      <c r="E1267" t="s">
        <v>19</v>
      </c>
      <c r="F1267" t="s">
        <v>2265</v>
      </c>
      <c r="G1267" t="s">
        <v>322</v>
      </c>
      <c r="N1267" s="107"/>
    </row>
    <row r="1268" spans="1:14" hidden="1" x14ac:dyDescent="0.35">
      <c r="A1268" t="s">
        <v>185</v>
      </c>
      <c r="B1268" t="s">
        <v>768</v>
      </c>
      <c r="C1268" t="s">
        <v>1359</v>
      </c>
      <c r="D1268">
        <f t="shared" si="19"/>
        <v>0</v>
      </c>
      <c r="E1268" t="s">
        <v>19</v>
      </c>
      <c r="F1268" t="s">
        <v>2303</v>
      </c>
      <c r="G1268" t="s">
        <v>322</v>
      </c>
      <c r="N1268" s="107"/>
    </row>
    <row r="1269" spans="1:14" hidden="1" x14ac:dyDescent="0.35">
      <c r="A1269" t="s">
        <v>185</v>
      </c>
      <c r="B1269" t="s">
        <v>922</v>
      </c>
      <c r="C1269" t="s">
        <v>1359</v>
      </c>
      <c r="D1269">
        <f t="shared" si="19"/>
        <v>0</v>
      </c>
      <c r="E1269" t="s">
        <v>19</v>
      </c>
      <c r="F1269" t="s">
        <v>2304</v>
      </c>
      <c r="G1269" t="s">
        <v>322</v>
      </c>
      <c r="N1269" s="107"/>
    </row>
    <row r="1270" spans="1:14" hidden="1" x14ac:dyDescent="0.35">
      <c r="A1270" t="s">
        <v>185</v>
      </c>
      <c r="B1270" t="s">
        <v>1027</v>
      </c>
      <c r="C1270" t="s">
        <v>1432</v>
      </c>
      <c r="D1270">
        <f t="shared" si="19"/>
        <v>0</v>
      </c>
      <c r="E1270" t="s">
        <v>19</v>
      </c>
      <c r="F1270" t="s">
        <v>1432</v>
      </c>
      <c r="G1270" t="s">
        <v>322</v>
      </c>
      <c r="N1270" s="107"/>
    </row>
    <row r="1271" spans="1:14" hidden="1" x14ac:dyDescent="0.35">
      <c r="A1271" t="s">
        <v>185</v>
      </c>
      <c r="B1271" t="s">
        <v>1031</v>
      </c>
      <c r="C1271" t="s">
        <v>1440</v>
      </c>
      <c r="D1271">
        <f t="shared" si="19"/>
        <v>0</v>
      </c>
      <c r="E1271" t="s">
        <v>19</v>
      </c>
      <c r="F1271" t="s">
        <v>1440</v>
      </c>
      <c r="G1271" t="s">
        <v>322</v>
      </c>
      <c r="N1271" s="107"/>
    </row>
    <row r="1272" spans="1:14" hidden="1" x14ac:dyDescent="0.35">
      <c r="A1272" t="s">
        <v>186</v>
      </c>
      <c r="B1272" t="s">
        <v>888</v>
      </c>
      <c r="C1272" t="s">
        <v>1329</v>
      </c>
      <c r="D1272">
        <f t="shared" si="19"/>
        <v>0</v>
      </c>
      <c r="E1272" t="s">
        <v>19</v>
      </c>
      <c r="F1272" t="s">
        <v>2240</v>
      </c>
      <c r="G1272" t="s">
        <v>322</v>
      </c>
      <c r="N1272" s="107"/>
    </row>
    <row r="1273" spans="1:14" hidden="1" x14ac:dyDescent="0.35">
      <c r="A1273" t="s">
        <v>187</v>
      </c>
      <c r="B1273" t="s">
        <v>561</v>
      </c>
      <c r="C1273" t="s">
        <v>1164</v>
      </c>
      <c r="D1273">
        <f t="shared" si="19"/>
        <v>0</v>
      </c>
      <c r="E1273" t="s">
        <v>19</v>
      </c>
      <c r="F1273" t="s">
        <v>1738</v>
      </c>
      <c r="G1273" t="s">
        <v>322</v>
      </c>
      <c r="N1273" s="107"/>
    </row>
    <row r="1274" spans="1:14" hidden="1" x14ac:dyDescent="0.35">
      <c r="A1274" t="s">
        <v>187</v>
      </c>
      <c r="B1274" t="s">
        <v>595</v>
      </c>
      <c r="C1274" t="s">
        <v>1175</v>
      </c>
      <c r="D1274">
        <f t="shared" si="19"/>
        <v>0</v>
      </c>
      <c r="E1274" t="s">
        <v>19</v>
      </c>
      <c r="F1274" t="s">
        <v>1785</v>
      </c>
      <c r="G1274" t="s">
        <v>322</v>
      </c>
      <c r="N1274" s="107"/>
    </row>
    <row r="1275" spans="1:14" hidden="1" x14ac:dyDescent="0.35">
      <c r="A1275" t="s">
        <v>187</v>
      </c>
      <c r="B1275" t="s">
        <v>597</v>
      </c>
      <c r="C1275" t="s">
        <v>1175</v>
      </c>
      <c r="D1275">
        <f t="shared" si="19"/>
        <v>0</v>
      </c>
      <c r="E1275" t="s">
        <v>19</v>
      </c>
      <c r="F1275" t="s">
        <v>1787</v>
      </c>
      <c r="G1275" t="s">
        <v>322</v>
      </c>
      <c r="N1275" s="107"/>
    </row>
    <row r="1276" spans="1:14" hidden="1" x14ac:dyDescent="0.35">
      <c r="A1276" t="s">
        <v>187</v>
      </c>
      <c r="B1276" t="s">
        <v>646</v>
      </c>
      <c r="C1276" t="s">
        <v>1196</v>
      </c>
      <c r="D1276">
        <f t="shared" si="19"/>
        <v>0</v>
      </c>
      <c r="E1276" t="s">
        <v>19</v>
      </c>
      <c r="F1276" t="s">
        <v>1196</v>
      </c>
      <c r="G1276" t="s">
        <v>322</v>
      </c>
      <c r="N1276" s="107"/>
    </row>
    <row r="1277" spans="1:14" hidden="1" x14ac:dyDescent="0.35">
      <c r="A1277" t="s">
        <v>187</v>
      </c>
      <c r="B1277" t="s">
        <v>648</v>
      </c>
      <c r="C1277" t="s">
        <v>1201</v>
      </c>
      <c r="D1277">
        <f t="shared" si="19"/>
        <v>0</v>
      </c>
      <c r="E1277" t="s">
        <v>19</v>
      </c>
      <c r="F1277" t="s">
        <v>1201</v>
      </c>
      <c r="G1277" t="s">
        <v>322</v>
      </c>
      <c r="N1277" s="107"/>
    </row>
    <row r="1278" spans="1:14" hidden="1" x14ac:dyDescent="0.35">
      <c r="A1278" t="s">
        <v>187</v>
      </c>
      <c r="B1278" t="s">
        <v>650</v>
      </c>
      <c r="C1278" t="s">
        <v>1203</v>
      </c>
      <c r="D1278">
        <f t="shared" si="19"/>
        <v>0</v>
      </c>
      <c r="E1278" t="s">
        <v>19</v>
      </c>
      <c r="F1278" t="s">
        <v>1203</v>
      </c>
      <c r="G1278" t="s">
        <v>322</v>
      </c>
      <c r="N1278" s="107"/>
    </row>
    <row r="1279" spans="1:14" hidden="1" x14ac:dyDescent="0.35">
      <c r="A1279" t="s">
        <v>187</v>
      </c>
      <c r="B1279" t="s">
        <v>708</v>
      </c>
      <c r="C1279" t="s">
        <v>1227</v>
      </c>
      <c r="D1279">
        <f t="shared" si="19"/>
        <v>0</v>
      </c>
      <c r="E1279" t="s">
        <v>19</v>
      </c>
      <c r="F1279" t="s">
        <v>1947</v>
      </c>
      <c r="G1279" t="s">
        <v>322</v>
      </c>
      <c r="N1279" s="107"/>
    </row>
    <row r="1280" spans="1:14" hidden="1" x14ac:dyDescent="0.35">
      <c r="A1280" t="s">
        <v>187</v>
      </c>
      <c r="B1280" t="s">
        <v>554</v>
      </c>
      <c r="C1280" t="s">
        <v>1227</v>
      </c>
      <c r="D1280">
        <f t="shared" si="19"/>
        <v>0</v>
      </c>
      <c r="E1280" t="s">
        <v>19</v>
      </c>
      <c r="F1280" t="s">
        <v>1949</v>
      </c>
      <c r="G1280" t="s">
        <v>322</v>
      </c>
      <c r="N1280" s="107"/>
    </row>
    <row r="1281" spans="1:14" hidden="1" x14ac:dyDescent="0.35">
      <c r="A1281" t="s">
        <v>187</v>
      </c>
      <c r="B1281" t="s">
        <v>561</v>
      </c>
      <c r="C1281" t="s">
        <v>1227</v>
      </c>
      <c r="D1281">
        <f t="shared" ref="D1281:D1344" si="20">SIGN(SUBTOTAL(3,E1281))</f>
        <v>0</v>
      </c>
      <c r="E1281" t="s">
        <v>19</v>
      </c>
      <c r="F1281" t="s">
        <v>1966</v>
      </c>
      <c r="G1281" t="s">
        <v>322</v>
      </c>
      <c r="N1281" s="107"/>
    </row>
    <row r="1282" spans="1:14" hidden="1" x14ac:dyDescent="0.35">
      <c r="A1282" t="s">
        <v>187</v>
      </c>
      <c r="B1282" t="s">
        <v>554</v>
      </c>
      <c r="C1282" t="s">
        <v>1233</v>
      </c>
      <c r="D1282">
        <f t="shared" si="20"/>
        <v>0</v>
      </c>
      <c r="E1282" t="s">
        <v>19</v>
      </c>
      <c r="F1282" t="s">
        <v>1992</v>
      </c>
      <c r="G1282" t="s">
        <v>322</v>
      </c>
      <c r="N1282" s="107"/>
    </row>
    <row r="1283" spans="1:14" hidden="1" x14ac:dyDescent="0.35">
      <c r="A1283" t="s">
        <v>187</v>
      </c>
      <c r="B1283" t="s">
        <v>648</v>
      </c>
      <c r="C1283" t="s">
        <v>1233</v>
      </c>
      <c r="D1283">
        <f t="shared" si="20"/>
        <v>0</v>
      </c>
      <c r="E1283" t="s">
        <v>19</v>
      </c>
      <c r="F1283" t="s">
        <v>2006</v>
      </c>
      <c r="G1283" t="s">
        <v>322</v>
      </c>
      <c r="N1283" s="107"/>
    </row>
    <row r="1284" spans="1:14" hidden="1" x14ac:dyDescent="0.35">
      <c r="A1284" t="s">
        <v>187</v>
      </c>
      <c r="B1284" t="s">
        <v>749</v>
      </c>
      <c r="C1284" t="s">
        <v>1245</v>
      </c>
      <c r="D1284">
        <f t="shared" si="20"/>
        <v>0</v>
      </c>
      <c r="E1284" t="s">
        <v>19</v>
      </c>
      <c r="F1284" t="s">
        <v>2027</v>
      </c>
      <c r="G1284" t="s">
        <v>322</v>
      </c>
      <c r="N1284" s="107"/>
    </row>
    <row r="1285" spans="1:14" hidden="1" x14ac:dyDescent="0.35">
      <c r="A1285" t="s">
        <v>187</v>
      </c>
      <c r="B1285" t="s">
        <v>807</v>
      </c>
      <c r="C1285" t="s">
        <v>1285</v>
      </c>
      <c r="D1285">
        <f t="shared" si="20"/>
        <v>0</v>
      </c>
      <c r="E1285" t="s">
        <v>19</v>
      </c>
      <c r="F1285" t="s">
        <v>2127</v>
      </c>
      <c r="G1285" t="s">
        <v>322</v>
      </c>
      <c r="N1285" s="107"/>
    </row>
    <row r="1286" spans="1:14" hidden="1" x14ac:dyDescent="0.35">
      <c r="A1286" t="s">
        <v>187</v>
      </c>
      <c r="B1286" t="s">
        <v>813</v>
      </c>
      <c r="C1286" t="s">
        <v>1287</v>
      </c>
      <c r="D1286">
        <f t="shared" si="20"/>
        <v>0</v>
      </c>
      <c r="E1286" t="s">
        <v>19</v>
      </c>
      <c r="F1286" t="s">
        <v>2146</v>
      </c>
      <c r="G1286" t="s">
        <v>322</v>
      </c>
      <c r="N1286" s="107"/>
    </row>
    <row r="1287" spans="1:14" hidden="1" x14ac:dyDescent="0.35">
      <c r="A1287" t="s">
        <v>187</v>
      </c>
      <c r="B1287" t="s">
        <v>531</v>
      </c>
      <c r="C1287" t="s">
        <v>1293</v>
      </c>
      <c r="D1287">
        <f t="shared" si="20"/>
        <v>0</v>
      </c>
      <c r="E1287" t="s">
        <v>19</v>
      </c>
      <c r="F1287" t="s">
        <v>2151</v>
      </c>
      <c r="G1287" t="s">
        <v>322</v>
      </c>
      <c r="N1287" s="107"/>
    </row>
    <row r="1288" spans="1:14" hidden="1" x14ac:dyDescent="0.35">
      <c r="A1288" t="s">
        <v>187</v>
      </c>
      <c r="B1288" t="s">
        <v>561</v>
      </c>
      <c r="C1288" t="s">
        <v>1366</v>
      </c>
      <c r="D1288">
        <f t="shared" si="20"/>
        <v>0</v>
      </c>
      <c r="E1288" t="s">
        <v>19</v>
      </c>
      <c r="F1288" t="s">
        <v>2306</v>
      </c>
      <c r="G1288" t="s">
        <v>322</v>
      </c>
      <c r="N1288" s="107"/>
    </row>
    <row r="1289" spans="1:14" hidden="1" x14ac:dyDescent="0.35">
      <c r="A1289" t="s">
        <v>187</v>
      </c>
      <c r="B1289" t="s">
        <v>554</v>
      </c>
      <c r="C1289" t="s">
        <v>1366</v>
      </c>
      <c r="D1289">
        <f t="shared" si="20"/>
        <v>0</v>
      </c>
      <c r="E1289" t="s">
        <v>19</v>
      </c>
      <c r="F1289" t="s">
        <v>2307</v>
      </c>
      <c r="G1289" t="s">
        <v>322</v>
      </c>
      <c r="N1289" s="107"/>
    </row>
    <row r="1290" spans="1:14" hidden="1" x14ac:dyDescent="0.35">
      <c r="A1290" t="s">
        <v>187</v>
      </c>
      <c r="B1290" t="s">
        <v>554</v>
      </c>
      <c r="C1290" t="s">
        <v>1379</v>
      </c>
      <c r="D1290">
        <f t="shared" si="20"/>
        <v>0</v>
      </c>
      <c r="E1290" t="s">
        <v>19</v>
      </c>
      <c r="F1290" t="s">
        <v>2332</v>
      </c>
      <c r="G1290" t="s">
        <v>322</v>
      </c>
      <c r="N1290" s="107"/>
    </row>
    <row r="1291" spans="1:14" hidden="1" x14ac:dyDescent="0.35">
      <c r="A1291" t="s">
        <v>187</v>
      </c>
      <c r="B1291" t="s">
        <v>561</v>
      </c>
      <c r="C1291" t="s">
        <v>1391</v>
      </c>
      <c r="D1291">
        <f t="shared" si="20"/>
        <v>0</v>
      </c>
      <c r="E1291" t="s">
        <v>19</v>
      </c>
      <c r="F1291" t="s">
        <v>2355</v>
      </c>
      <c r="G1291" t="s">
        <v>322</v>
      </c>
      <c r="N1291" s="107"/>
    </row>
    <row r="1292" spans="1:14" hidden="1" x14ac:dyDescent="0.35">
      <c r="A1292" t="s">
        <v>187</v>
      </c>
      <c r="B1292" t="s">
        <v>672</v>
      </c>
      <c r="C1292" t="s">
        <v>1392</v>
      </c>
      <c r="D1292">
        <f t="shared" si="20"/>
        <v>0</v>
      </c>
      <c r="E1292" t="s">
        <v>19</v>
      </c>
      <c r="F1292" t="s">
        <v>2356</v>
      </c>
      <c r="G1292" t="s">
        <v>322</v>
      </c>
      <c r="N1292" s="107"/>
    </row>
    <row r="1293" spans="1:14" hidden="1" x14ac:dyDescent="0.35">
      <c r="A1293" t="s">
        <v>187</v>
      </c>
      <c r="B1293" t="s">
        <v>554</v>
      </c>
      <c r="C1293" t="s">
        <v>1392</v>
      </c>
      <c r="D1293">
        <f t="shared" si="20"/>
        <v>0</v>
      </c>
      <c r="E1293" t="s">
        <v>19</v>
      </c>
      <c r="F1293" t="s">
        <v>2358</v>
      </c>
      <c r="G1293" t="s">
        <v>322</v>
      </c>
      <c r="N1293" s="107"/>
    </row>
    <row r="1294" spans="1:14" hidden="1" x14ac:dyDescent="0.35">
      <c r="A1294" t="s">
        <v>187</v>
      </c>
      <c r="B1294" t="s">
        <v>554</v>
      </c>
      <c r="C1294" t="s">
        <v>1392</v>
      </c>
      <c r="D1294">
        <f t="shared" si="20"/>
        <v>0</v>
      </c>
      <c r="E1294" t="s">
        <v>19</v>
      </c>
      <c r="F1294" t="s">
        <v>2359</v>
      </c>
      <c r="G1294" t="s">
        <v>322</v>
      </c>
      <c r="N1294" s="107"/>
    </row>
    <row r="1295" spans="1:14" hidden="1" x14ac:dyDescent="0.35">
      <c r="A1295" t="s">
        <v>187</v>
      </c>
      <c r="B1295" t="s">
        <v>648</v>
      </c>
      <c r="C1295" t="s">
        <v>1392</v>
      </c>
      <c r="D1295">
        <f t="shared" si="20"/>
        <v>0</v>
      </c>
      <c r="E1295" t="s">
        <v>19</v>
      </c>
      <c r="F1295" t="s">
        <v>2365</v>
      </c>
      <c r="G1295" t="s">
        <v>322</v>
      </c>
      <c r="N1295" s="107"/>
    </row>
    <row r="1296" spans="1:14" hidden="1" x14ac:dyDescent="0.35">
      <c r="A1296" t="s">
        <v>187</v>
      </c>
      <c r="B1296" t="s">
        <v>648</v>
      </c>
      <c r="C1296" t="s">
        <v>1392</v>
      </c>
      <c r="D1296">
        <f t="shared" si="20"/>
        <v>0</v>
      </c>
      <c r="E1296" t="s">
        <v>19</v>
      </c>
      <c r="F1296" t="s">
        <v>2366</v>
      </c>
      <c r="G1296" t="s">
        <v>322</v>
      </c>
      <c r="N1296" s="107"/>
    </row>
    <row r="1297" spans="1:14" hidden="1" x14ac:dyDescent="0.35">
      <c r="A1297" t="s">
        <v>187</v>
      </c>
      <c r="B1297" t="s">
        <v>952</v>
      </c>
      <c r="C1297" t="s">
        <v>1392</v>
      </c>
      <c r="D1297">
        <f t="shared" si="20"/>
        <v>0</v>
      </c>
      <c r="E1297" t="s">
        <v>19</v>
      </c>
      <c r="F1297" t="s">
        <v>2380</v>
      </c>
      <c r="G1297" t="s">
        <v>322</v>
      </c>
      <c r="N1297" s="107"/>
    </row>
    <row r="1298" spans="1:14" hidden="1" x14ac:dyDescent="0.35">
      <c r="A1298" t="s">
        <v>187</v>
      </c>
      <c r="B1298" t="s">
        <v>561</v>
      </c>
      <c r="C1298" t="s">
        <v>1395</v>
      </c>
      <c r="D1298">
        <f t="shared" si="20"/>
        <v>0</v>
      </c>
      <c r="E1298" t="s">
        <v>19</v>
      </c>
      <c r="F1298" t="s">
        <v>1395</v>
      </c>
      <c r="G1298" t="s">
        <v>322</v>
      </c>
      <c r="N1298" s="107"/>
    </row>
    <row r="1299" spans="1:14" hidden="1" x14ac:dyDescent="0.35">
      <c r="A1299" t="s">
        <v>187</v>
      </c>
      <c r="B1299" t="s">
        <v>561</v>
      </c>
      <c r="C1299" t="s">
        <v>1438</v>
      </c>
      <c r="D1299">
        <f t="shared" si="20"/>
        <v>0</v>
      </c>
      <c r="E1299" t="s">
        <v>19</v>
      </c>
      <c r="F1299" t="s">
        <v>1438</v>
      </c>
      <c r="G1299" t="s">
        <v>322</v>
      </c>
      <c r="N1299" s="107"/>
    </row>
    <row r="1300" spans="1:14" hidden="1" x14ac:dyDescent="0.35">
      <c r="A1300" t="s">
        <v>187</v>
      </c>
      <c r="B1300" t="s">
        <v>554</v>
      </c>
      <c r="C1300" t="s">
        <v>1452</v>
      </c>
      <c r="D1300">
        <f t="shared" si="20"/>
        <v>0</v>
      </c>
      <c r="E1300" t="s">
        <v>19</v>
      </c>
      <c r="F1300" t="s">
        <v>1452</v>
      </c>
      <c r="G1300" t="s">
        <v>322</v>
      </c>
      <c r="N1300" s="107"/>
    </row>
    <row r="1301" spans="1:14" hidden="1" x14ac:dyDescent="0.35">
      <c r="A1301" t="s">
        <v>187</v>
      </c>
      <c r="B1301" t="s">
        <v>561</v>
      </c>
      <c r="C1301" t="s">
        <v>1461</v>
      </c>
      <c r="D1301">
        <f t="shared" si="20"/>
        <v>0</v>
      </c>
      <c r="E1301" t="s">
        <v>19</v>
      </c>
      <c r="F1301" t="s">
        <v>2645</v>
      </c>
      <c r="G1301" t="s">
        <v>322</v>
      </c>
      <c r="N1301" s="107"/>
    </row>
    <row r="1302" spans="1:14" hidden="1" x14ac:dyDescent="0.35">
      <c r="A1302" t="s">
        <v>187</v>
      </c>
      <c r="B1302" t="s">
        <v>708</v>
      </c>
      <c r="C1302" t="s">
        <v>1461</v>
      </c>
      <c r="D1302">
        <f t="shared" si="20"/>
        <v>0</v>
      </c>
      <c r="E1302" t="s">
        <v>19</v>
      </c>
      <c r="F1302" t="s">
        <v>2646</v>
      </c>
      <c r="G1302" t="s">
        <v>322</v>
      </c>
      <c r="N1302" s="107"/>
    </row>
    <row r="1303" spans="1:14" hidden="1" x14ac:dyDescent="0.35">
      <c r="A1303" t="s">
        <v>187</v>
      </c>
      <c r="B1303" t="s">
        <v>554</v>
      </c>
      <c r="C1303" t="s">
        <v>1461</v>
      </c>
      <c r="D1303">
        <f t="shared" si="20"/>
        <v>0</v>
      </c>
      <c r="E1303" t="s">
        <v>19</v>
      </c>
      <c r="F1303" t="s">
        <v>2647</v>
      </c>
      <c r="G1303" t="s">
        <v>322</v>
      </c>
      <c r="N1303" s="107"/>
    </row>
    <row r="1304" spans="1:14" hidden="1" x14ac:dyDescent="0.35">
      <c r="A1304" t="s">
        <v>187</v>
      </c>
      <c r="B1304" t="s">
        <v>1076</v>
      </c>
      <c r="C1304" t="s">
        <v>1469</v>
      </c>
      <c r="D1304">
        <f t="shared" si="20"/>
        <v>0</v>
      </c>
      <c r="E1304" t="s">
        <v>19</v>
      </c>
      <c r="F1304" t="s">
        <v>1469</v>
      </c>
      <c r="G1304" t="s">
        <v>322</v>
      </c>
      <c r="N1304" s="107"/>
    </row>
    <row r="1305" spans="1:14" hidden="1" x14ac:dyDescent="0.35">
      <c r="A1305" t="s">
        <v>187</v>
      </c>
      <c r="B1305" t="s">
        <v>708</v>
      </c>
      <c r="C1305" t="s">
        <v>1483</v>
      </c>
      <c r="D1305">
        <f t="shared" si="20"/>
        <v>0</v>
      </c>
      <c r="E1305" t="s">
        <v>19</v>
      </c>
      <c r="F1305" t="s">
        <v>2713</v>
      </c>
      <c r="G1305" t="s">
        <v>322</v>
      </c>
      <c r="N1305" s="107"/>
    </row>
    <row r="1306" spans="1:14" hidden="1" x14ac:dyDescent="0.35">
      <c r="A1306" t="s">
        <v>187</v>
      </c>
      <c r="B1306" t="s">
        <v>554</v>
      </c>
      <c r="C1306" t="s">
        <v>1483</v>
      </c>
      <c r="D1306">
        <f t="shared" si="20"/>
        <v>0</v>
      </c>
      <c r="E1306" t="s">
        <v>19</v>
      </c>
      <c r="F1306" t="s">
        <v>2720</v>
      </c>
      <c r="G1306" t="s">
        <v>322</v>
      </c>
      <c r="N1306" s="107"/>
    </row>
    <row r="1307" spans="1:14" hidden="1" x14ac:dyDescent="0.35">
      <c r="A1307" t="s">
        <v>187</v>
      </c>
      <c r="B1307" t="s">
        <v>531</v>
      </c>
      <c r="C1307" t="s">
        <v>1509</v>
      </c>
      <c r="D1307">
        <f t="shared" si="20"/>
        <v>0</v>
      </c>
      <c r="E1307" t="s">
        <v>19</v>
      </c>
      <c r="F1307" t="s">
        <v>2785</v>
      </c>
      <c r="G1307" t="s">
        <v>322</v>
      </c>
      <c r="N1307" s="107"/>
    </row>
    <row r="1308" spans="1:14" hidden="1" x14ac:dyDescent="0.35">
      <c r="A1308" t="s">
        <v>187</v>
      </c>
      <c r="B1308" t="s">
        <v>1113</v>
      </c>
      <c r="C1308" t="s">
        <v>1509</v>
      </c>
      <c r="D1308">
        <f t="shared" si="20"/>
        <v>0</v>
      </c>
      <c r="E1308" t="s">
        <v>19</v>
      </c>
      <c r="F1308" t="s">
        <v>2786</v>
      </c>
      <c r="G1308" t="s">
        <v>322</v>
      </c>
      <c r="N1308" s="107"/>
    </row>
    <row r="1309" spans="1:14" hidden="1" x14ac:dyDescent="0.35">
      <c r="A1309" t="s">
        <v>187</v>
      </c>
      <c r="B1309" t="s">
        <v>1113</v>
      </c>
      <c r="C1309" t="s">
        <v>1509</v>
      </c>
      <c r="D1309">
        <f t="shared" si="20"/>
        <v>0</v>
      </c>
      <c r="E1309" t="s">
        <v>19</v>
      </c>
      <c r="F1309" t="s">
        <v>2787</v>
      </c>
      <c r="G1309" t="s">
        <v>322</v>
      </c>
      <c r="N1309" s="107"/>
    </row>
    <row r="1310" spans="1:14" hidden="1" x14ac:dyDescent="0.35">
      <c r="A1310" t="s">
        <v>187</v>
      </c>
      <c r="B1310" t="s">
        <v>554</v>
      </c>
      <c r="C1310" t="s">
        <v>1509</v>
      </c>
      <c r="D1310">
        <f t="shared" si="20"/>
        <v>0</v>
      </c>
      <c r="E1310" t="s">
        <v>19</v>
      </c>
      <c r="F1310" t="s">
        <v>2788</v>
      </c>
      <c r="G1310" t="s">
        <v>322</v>
      </c>
      <c r="N1310" s="107"/>
    </row>
    <row r="1311" spans="1:14" hidden="1" x14ac:dyDescent="0.35">
      <c r="A1311" t="s">
        <v>187</v>
      </c>
      <c r="B1311" t="s">
        <v>708</v>
      </c>
      <c r="C1311" t="s">
        <v>1509</v>
      </c>
      <c r="D1311">
        <f t="shared" si="20"/>
        <v>0</v>
      </c>
      <c r="E1311" t="s">
        <v>19</v>
      </c>
      <c r="F1311" t="s">
        <v>2792</v>
      </c>
      <c r="G1311" t="s">
        <v>322</v>
      </c>
      <c r="N1311" s="107"/>
    </row>
    <row r="1312" spans="1:14" hidden="1" x14ac:dyDescent="0.35">
      <c r="A1312" t="s">
        <v>187</v>
      </c>
      <c r="B1312" t="s">
        <v>554</v>
      </c>
      <c r="C1312" t="s">
        <v>1509</v>
      </c>
      <c r="D1312">
        <f t="shared" si="20"/>
        <v>0</v>
      </c>
      <c r="E1312" t="s">
        <v>19</v>
      </c>
      <c r="F1312" t="s">
        <v>2793</v>
      </c>
      <c r="G1312" t="s">
        <v>322</v>
      </c>
      <c r="N1312" s="107"/>
    </row>
    <row r="1313" spans="1:14" hidden="1" x14ac:dyDescent="0.35">
      <c r="A1313" t="s">
        <v>187</v>
      </c>
      <c r="B1313" t="s">
        <v>595</v>
      </c>
      <c r="C1313" t="s">
        <v>1538</v>
      </c>
      <c r="D1313">
        <f t="shared" si="20"/>
        <v>0</v>
      </c>
      <c r="E1313" t="s">
        <v>19</v>
      </c>
      <c r="F1313" t="s">
        <v>1538</v>
      </c>
      <c r="G1313" t="s">
        <v>322</v>
      </c>
      <c r="N1313" s="107"/>
    </row>
    <row r="1314" spans="1:14" x14ac:dyDescent="0.35">
      <c r="A1314" t="s">
        <v>188</v>
      </c>
      <c r="B1314" t="s">
        <v>556</v>
      </c>
      <c r="C1314" t="s">
        <v>1161</v>
      </c>
      <c r="D1314">
        <f t="shared" si="20"/>
        <v>1</v>
      </c>
      <c r="E1314" t="s">
        <v>19</v>
      </c>
      <c r="F1314" t="s">
        <v>1161</v>
      </c>
      <c r="G1314" t="s">
        <v>322</v>
      </c>
      <c r="N1314" s="107"/>
    </row>
    <row r="1315" spans="1:14" x14ac:dyDescent="0.35">
      <c r="A1315" t="s">
        <v>188</v>
      </c>
      <c r="B1315" t="s">
        <v>591</v>
      </c>
      <c r="C1315" t="s">
        <v>1171</v>
      </c>
      <c r="D1315">
        <f t="shared" si="20"/>
        <v>1</v>
      </c>
      <c r="E1315" t="s">
        <v>19</v>
      </c>
      <c r="F1315" t="s">
        <v>1778</v>
      </c>
      <c r="G1315" t="s">
        <v>322</v>
      </c>
      <c r="N1315" s="107"/>
    </row>
    <row r="1316" spans="1:14" x14ac:dyDescent="0.35">
      <c r="A1316" t="s">
        <v>188</v>
      </c>
      <c r="B1316" t="s">
        <v>532</v>
      </c>
      <c r="C1316" t="s">
        <v>1174</v>
      </c>
      <c r="D1316">
        <f t="shared" si="20"/>
        <v>1</v>
      </c>
      <c r="E1316" t="s">
        <v>19</v>
      </c>
      <c r="F1316" t="s">
        <v>1174</v>
      </c>
      <c r="G1316" t="s">
        <v>322</v>
      </c>
      <c r="N1316" s="107"/>
    </row>
    <row r="1317" spans="1:14" x14ac:dyDescent="0.35">
      <c r="A1317" t="s">
        <v>188</v>
      </c>
      <c r="B1317" t="s">
        <v>532</v>
      </c>
      <c r="C1317" t="s">
        <v>1171</v>
      </c>
      <c r="D1317">
        <f t="shared" si="20"/>
        <v>1</v>
      </c>
      <c r="E1317" t="s">
        <v>19</v>
      </c>
      <c r="F1317" t="s">
        <v>1779</v>
      </c>
      <c r="G1317" t="s">
        <v>322</v>
      </c>
      <c r="N1317" s="107"/>
    </row>
    <row r="1318" spans="1:14" x14ac:dyDescent="0.35">
      <c r="A1318" t="s">
        <v>188</v>
      </c>
      <c r="B1318" t="s">
        <v>534</v>
      </c>
      <c r="C1318" t="s">
        <v>1185</v>
      </c>
      <c r="D1318">
        <f t="shared" si="20"/>
        <v>1</v>
      </c>
      <c r="E1318" t="s">
        <v>19</v>
      </c>
      <c r="F1318" t="s">
        <v>1843</v>
      </c>
      <c r="G1318" t="s">
        <v>322</v>
      </c>
      <c r="N1318" s="107"/>
    </row>
    <row r="1319" spans="1:14" x14ac:dyDescent="0.35">
      <c r="A1319" t="s">
        <v>188</v>
      </c>
      <c r="B1319" t="s">
        <v>639</v>
      </c>
      <c r="C1319" t="s">
        <v>1186</v>
      </c>
      <c r="D1319">
        <f t="shared" si="20"/>
        <v>1</v>
      </c>
      <c r="E1319" t="s">
        <v>19</v>
      </c>
      <c r="F1319" t="s">
        <v>1186</v>
      </c>
      <c r="G1319" t="s">
        <v>322</v>
      </c>
      <c r="N1319" s="107"/>
    </row>
    <row r="1320" spans="1:14" x14ac:dyDescent="0.35">
      <c r="A1320" t="s">
        <v>188</v>
      </c>
      <c r="B1320" t="s">
        <v>532</v>
      </c>
      <c r="C1320" t="s">
        <v>1251</v>
      </c>
      <c r="D1320">
        <f t="shared" si="20"/>
        <v>1</v>
      </c>
      <c r="E1320" t="s">
        <v>19</v>
      </c>
      <c r="F1320" t="s">
        <v>2030</v>
      </c>
      <c r="G1320" t="s">
        <v>322</v>
      </c>
      <c r="N1320" s="107"/>
    </row>
    <row r="1321" spans="1:14" x14ac:dyDescent="0.35">
      <c r="A1321" t="s">
        <v>188</v>
      </c>
      <c r="B1321" t="s">
        <v>639</v>
      </c>
      <c r="C1321" t="s">
        <v>1251</v>
      </c>
      <c r="D1321">
        <f t="shared" si="20"/>
        <v>1</v>
      </c>
      <c r="E1321" t="s">
        <v>19</v>
      </c>
      <c r="F1321" t="s">
        <v>2053</v>
      </c>
      <c r="G1321" t="s">
        <v>322</v>
      </c>
      <c r="N1321" s="107"/>
    </row>
    <row r="1322" spans="1:14" x14ac:dyDescent="0.35">
      <c r="A1322" t="s">
        <v>188</v>
      </c>
      <c r="B1322" t="s">
        <v>762</v>
      </c>
      <c r="C1322" t="s">
        <v>1251</v>
      </c>
      <c r="D1322">
        <f t="shared" si="20"/>
        <v>1</v>
      </c>
      <c r="E1322" t="s">
        <v>19</v>
      </c>
      <c r="F1322" t="s">
        <v>2054</v>
      </c>
      <c r="G1322" t="s">
        <v>322</v>
      </c>
      <c r="N1322" s="107"/>
    </row>
    <row r="1323" spans="1:14" x14ac:dyDescent="0.35">
      <c r="A1323" t="s">
        <v>188</v>
      </c>
      <c r="B1323" t="s">
        <v>532</v>
      </c>
      <c r="C1323" t="s">
        <v>1349</v>
      </c>
      <c r="D1323">
        <f t="shared" si="20"/>
        <v>1</v>
      </c>
      <c r="E1323" t="s">
        <v>19</v>
      </c>
      <c r="F1323" t="s">
        <v>2287</v>
      </c>
      <c r="G1323" t="s">
        <v>322</v>
      </c>
      <c r="N1323" s="107"/>
    </row>
    <row r="1324" spans="1:14" x14ac:dyDescent="0.35">
      <c r="A1324" t="s">
        <v>188</v>
      </c>
      <c r="B1324" t="s">
        <v>534</v>
      </c>
      <c r="C1324" t="s">
        <v>1383</v>
      </c>
      <c r="D1324">
        <f t="shared" si="20"/>
        <v>1</v>
      </c>
      <c r="E1324" t="s">
        <v>19</v>
      </c>
      <c r="F1324" t="s">
        <v>1383</v>
      </c>
      <c r="G1324" t="s">
        <v>322</v>
      </c>
      <c r="N1324" s="107"/>
    </row>
    <row r="1325" spans="1:14" x14ac:dyDescent="0.35">
      <c r="A1325" t="s">
        <v>188</v>
      </c>
      <c r="B1325" t="s">
        <v>1011</v>
      </c>
      <c r="C1325" t="s">
        <v>1415</v>
      </c>
      <c r="D1325">
        <f t="shared" si="20"/>
        <v>1</v>
      </c>
      <c r="E1325" t="s">
        <v>19</v>
      </c>
      <c r="F1325" t="s">
        <v>2515</v>
      </c>
      <c r="G1325" t="s">
        <v>322</v>
      </c>
      <c r="N1325" s="107"/>
    </row>
    <row r="1326" spans="1:14" x14ac:dyDescent="0.35">
      <c r="A1326" t="s">
        <v>188</v>
      </c>
      <c r="B1326" t="s">
        <v>1012</v>
      </c>
      <c r="C1326" t="s">
        <v>1416</v>
      </c>
      <c r="D1326">
        <f t="shared" si="20"/>
        <v>1</v>
      </c>
      <c r="E1326" t="s">
        <v>19</v>
      </c>
      <c r="F1326" t="s">
        <v>2519</v>
      </c>
      <c r="G1326" t="s">
        <v>322</v>
      </c>
      <c r="N1326" s="107"/>
    </row>
    <row r="1327" spans="1:14" x14ac:dyDescent="0.35">
      <c r="A1327" t="s">
        <v>188</v>
      </c>
      <c r="B1327" t="s">
        <v>591</v>
      </c>
      <c r="C1327" t="s">
        <v>1416</v>
      </c>
      <c r="D1327">
        <f t="shared" si="20"/>
        <v>1</v>
      </c>
      <c r="E1327" t="s">
        <v>19</v>
      </c>
      <c r="F1327" t="s">
        <v>2527</v>
      </c>
      <c r="G1327" t="s">
        <v>322</v>
      </c>
      <c r="N1327" s="107"/>
    </row>
    <row r="1328" spans="1:14" x14ac:dyDescent="0.35">
      <c r="A1328" t="s">
        <v>188</v>
      </c>
      <c r="B1328" t="s">
        <v>639</v>
      </c>
      <c r="C1328" t="s">
        <v>1443</v>
      </c>
      <c r="D1328">
        <f t="shared" si="20"/>
        <v>1</v>
      </c>
      <c r="E1328" t="s">
        <v>19</v>
      </c>
      <c r="F1328" t="s">
        <v>2610</v>
      </c>
      <c r="G1328" t="s">
        <v>322</v>
      </c>
      <c r="N1328" s="107"/>
    </row>
    <row r="1329" spans="1:14" x14ac:dyDescent="0.35">
      <c r="A1329" t="s">
        <v>188</v>
      </c>
      <c r="B1329" t="s">
        <v>1012</v>
      </c>
      <c r="C1329" t="s">
        <v>1443</v>
      </c>
      <c r="D1329">
        <f t="shared" si="20"/>
        <v>1</v>
      </c>
      <c r="E1329" t="s">
        <v>19</v>
      </c>
      <c r="F1329" t="s">
        <v>2611</v>
      </c>
      <c r="G1329" t="s">
        <v>322</v>
      </c>
      <c r="N1329" s="107"/>
    </row>
    <row r="1330" spans="1:14" x14ac:dyDescent="0.35">
      <c r="A1330" t="s">
        <v>188</v>
      </c>
      <c r="B1330" t="s">
        <v>1064</v>
      </c>
      <c r="C1330" t="s">
        <v>1451</v>
      </c>
      <c r="D1330">
        <f t="shared" si="20"/>
        <v>1</v>
      </c>
      <c r="E1330" t="s">
        <v>19</v>
      </c>
      <c r="F1330" t="s">
        <v>2633</v>
      </c>
      <c r="G1330" t="s">
        <v>322</v>
      </c>
      <c r="N1330" s="107"/>
    </row>
    <row r="1331" spans="1:14" x14ac:dyDescent="0.35">
      <c r="A1331" t="s">
        <v>188</v>
      </c>
      <c r="B1331" t="s">
        <v>532</v>
      </c>
      <c r="C1331" t="s">
        <v>1451</v>
      </c>
      <c r="D1331">
        <f t="shared" si="20"/>
        <v>1</v>
      </c>
      <c r="E1331" t="s">
        <v>19</v>
      </c>
      <c r="F1331" t="s">
        <v>2634</v>
      </c>
      <c r="G1331" t="s">
        <v>322</v>
      </c>
      <c r="N1331" s="107"/>
    </row>
    <row r="1332" spans="1:14" x14ac:dyDescent="0.35">
      <c r="A1332" t="s">
        <v>188</v>
      </c>
      <c r="B1332" t="s">
        <v>1068</v>
      </c>
      <c r="C1332" t="s">
        <v>1460</v>
      </c>
      <c r="D1332">
        <f t="shared" si="20"/>
        <v>1</v>
      </c>
      <c r="E1332" t="s">
        <v>19</v>
      </c>
      <c r="F1332" t="s">
        <v>1460</v>
      </c>
      <c r="G1332" t="s">
        <v>322</v>
      </c>
      <c r="N1332" s="107"/>
    </row>
    <row r="1333" spans="1:14" x14ac:dyDescent="0.35">
      <c r="A1333" t="s">
        <v>188</v>
      </c>
      <c r="B1333" t="s">
        <v>534</v>
      </c>
      <c r="C1333" t="s">
        <v>1478</v>
      </c>
      <c r="D1333">
        <f t="shared" si="20"/>
        <v>1</v>
      </c>
      <c r="E1333" t="s">
        <v>19</v>
      </c>
      <c r="F1333" t="s">
        <v>2696</v>
      </c>
      <c r="G1333" t="s">
        <v>322</v>
      </c>
      <c r="N1333" s="107"/>
    </row>
    <row r="1334" spans="1:14" x14ac:dyDescent="0.35">
      <c r="A1334" t="s">
        <v>188</v>
      </c>
      <c r="B1334" t="s">
        <v>591</v>
      </c>
      <c r="C1334" t="s">
        <v>1505</v>
      </c>
      <c r="D1334">
        <f t="shared" si="20"/>
        <v>1</v>
      </c>
      <c r="E1334" t="s">
        <v>19</v>
      </c>
      <c r="F1334" t="s">
        <v>2750</v>
      </c>
      <c r="G1334" t="s">
        <v>322</v>
      </c>
      <c r="N1334" s="107"/>
    </row>
    <row r="1335" spans="1:14" x14ac:dyDescent="0.35">
      <c r="A1335" t="s">
        <v>188</v>
      </c>
      <c r="B1335" t="s">
        <v>1012</v>
      </c>
      <c r="C1335" t="s">
        <v>1505</v>
      </c>
      <c r="D1335">
        <f t="shared" si="20"/>
        <v>1</v>
      </c>
      <c r="E1335" t="s">
        <v>19</v>
      </c>
      <c r="F1335" t="s">
        <v>2752</v>
      </c>
      <c r="G1335" t="s">
        <v>322</v>
      </c>
      <c r="N1335" s="107"/>
    </row>
    <row r="1336" spans="1:14" hidden="1" x14ac:dyDescent="0.35">
      <c r="A1336" t="s">
        <v>189</v>
      </c>
      <c r="B1336" t="s">
        <v>567</v>
      </c>
      <c r="C1336" t="s">
        <v>1164</v>
      </c>
      <c r="D1336">
        <f t="shared" si="20"/>
        <v>0</v>
      </c>
      <c r="E1336" t="s">
        <v>19</v>
      </c>
      <c r="F1336" t="s">
        <v>1747</v>
      </c>
      <c r="G1336" t="s">
        <v>322</v>
      </c>
      <c r="N1336" s="107"/>
    </row>
    <row r="1337" spans="1:14" hidden="1" x14ac:dyDescent="0.35">
      <c r="A1337" t="s">
        <v>189</v>
      </c>
      <c r="B1337" t="s">
        <v>571</v>
      </c>
      <c r="C1337" t="s">
        <v>1170</v>
      </c>
      <c r="D1337">
        <f t="shared" si="20"/>
        <v>0</v>
      </c>
      <c r="E1337" t="s">
        <v>19</v>
      </c>
      <c r="F1337" t="s">
        <v>1170</v>
      </c>
      <c r="G1337" t="s">
        <v>322</v>
      </c>
      <c r="N1337" s="107"/>
    </row>
    <row r="1338" spans="1:14" hidden="1" x14ac:dyDescent="0.35">
      <c r="A1338" t="s">
        <v>189</v>
      </c>
      <c r="B1338" t="s">
        <v>647</v>
      </c>
      <c r="C1338" t="s">
        <v>1198</v>
      </c>
      <c r="D1338">
        <f t="shared" si="20"/>
        <v>0</v>
      </c>
      <c r="E1338" t="s">
        <v>19</v>
      </c>
      <c r="F1338" t="s">
        <v>1198</v>
      </c>
      <c r="G1338" t="s">
        <v>322</v>
      </c>
      <c r="N1338" s="107"/>
    </row>
    <row r="1339" spans="1:14" hidden="1" x14ac:dyDescent="0.35">
      <c r="A1339" t="s">
        <v>189</v>
      </c>
      <c r="B1339" t="s">
        <v>819</v>
      </c>
      <c r="C1339" t="s">
        <v>1293</v>
      </c>
      <c r="D1339">
        <f t="shared" si="20"/>
        <v>0</v>
      </c>
      <c r="E1339" t="s">
        <v>19</v>
      </c>
      <c r="F1339" t="s">
        <v>2159</v>
      </c>
      <c r="G1339" t="s">
        <v>322</v>
      </c>
      <c r="N1339" s="107"/>
    </row>
    <row r="1340" spans="1:14" hidden="1" x14ac:dyDescent="0.35">
      <c r="A1340" t="s">
        <v>189</v>
      </c>
      <c r="B1340" t="s">
        <v>894</v>
      </c>
      <c r="C1340" t="s">
        <v>1330</v>
      </c>
      <c r="D1340">
        <f t="shared" si="20"/>
        <v>0</v>
      </c>
      <c r="E1340" t="s">
        <v>19</v>
      </c>
      <c r="F1340" t="s">
        <v>2251</v>
      </c>
      <c r="G1340" t="s">
        <v>322</v>
      </c>
      <c r="N1340" s="107"/>
    </row>
    <row r="1341" spans="1:14" hidden="1" x14ac:dyDescent="0.35">
      <c r="A1341" t="s">
        <v>189</v>
      </c>
      <c r="B1341" t="s">
        <v>778</v>
      </c>
      <c r="C1341" t="s">
        <v>1330</v>
      </c>
      <c r="D1341">
        <f t="shared" si="20"/>
        <v>0</v>
      </c>
      <c r="E1341" t="s">
        <v>19</v>
      </c>
      <c r="F1341" t="s">
        <v>2252</v>
      </c>
      <c r="G1341" t="s">
        <v>322</v>
      </c>
      <c r="N1341" s="107"/>
    </row>
    <row r="1342" spans="1:14" hidden="1" x14ac:dyDescent="0.35">
      <c r="A1342" t="s">
        <v>189</v>
      </c>
      <c r="B1342" t="s">
        <v>517</v>
      </c>
      <c r="C1342" t="s">
        <v>1414</v>
      </c>
      <c r="D1342">
        <f t="shared" si="20"/>
        <v>0</v>
      </c>
      <c r="E1342" t="s">
        <v>19</v>
      </c>
      <c r="F1342" t="s">
        <v>2495</v>
      </c>
      <c r="G1342" t="s">
        <v>322</v>
      </c>
      <c r="N1342" s="107"/>
    </row>
    <row r="1343" spans="1:14" hidden="1" x14ac:dyDescent="0.35">
      <c r="A1343" t="s">
        <v>189</v>
      </c>
      <c r="B1343" t="s">
        <v>1083</v>
      </c>
      <c r="C1343" t="s">
        <v>1479</v>
      </c>
      <c r="D1343">
        <f t="shared" si="20"/>
        <v>0</v>
      </c>
      <c r="E1343" t="s">
        <v>19</v>
      </c>
      <c r="F1343" t="s">
        <v>2694</v>
      </c>
      <c r="G1343" t="s">
        <v>322</v>
      </c>
      <c r="N1343" s="107"/>
    </row>
    <row r="1344" spans="1:14" hidden="1" x14ac:dyDescent="0.35">
      <c r="A1344" t="s">
        <v>190</v>
      </c>
      <c r="B1344" t="s">
        <v>601</v>
      </c>
      <c r="C1344" t="s">
        <v>1178</v>
      </c>
      <c r="D1344">
        <f t="shared" si="20"/>
        <v>0</v>
      </c>
      <c r="E1344" t="s">
        <v>19</v>
      </c>
      <c r="F1344" t="s">
        <v>1796</v>
      </c>
      <c r="G1344" t="s">
        <v>322</v>
      </c>
      <c r="N1344" s="107"/>
    </row>
    <row r="1345" spans="1:14" hidden="1" x14ac:dyDescent="0.35">
      <c r="A1345" t="s">
        <v>190</v>
      </c>
      <c r="B1345" t="s">
        <v>535</v>
      </c>
      <c r="C1345" t="s">
        <v>1178</v>
      </c>
      <c r="D1345">
        <f t="shared" ref="D1345:D1384" si="21">SIGN(SUBTOTAL(3,E1345))</f>
        <v>0</v>
      </c>
      <c r="E1345" t="s">
        <v>19</v>
      </c>
      <c r="F1345" t="s">
        <v>1797</v>
      </c>
      <c r="G1345" t="s">
        <v>322</v>
      </c>
      <c r="N1345" s="107"/>
    </row>
    <row r="1346" spans="1:14" hidden="1" x14ac:dyDescent="0.35">
      <c r="A1346" t="s">
        <v>190</v>
      </c>
      <c r="B1346" t="s">
        <v>602</v>
      </c>
      <c r="C1346" t="s">
        <v>1178</v>
      </c>
      <c r="D1346">
        <f t="shared" si="21"/>
        <v>0</v>
      </c>
      <c r="E1346" t="s">
        <v>19</v>
      </c>
      <c r="F1346" t="s">
        <v>1798</v>
      </c>
      <c r="G1346" t="s">
        <v>322</v>
      </c>
      <c r="N1346" s="107"/>
    </row>
    <row r="1347" spans="1:14" hidden="1" x14ac:dyDescent="0.35">
      <c r="A1347" t="s">
        <v>190</v>
      </c>
      <c r="B1347" t="s">
        <v>603</v>
      </c>
      <c r="C1347" t="s">
        <v>1178</v>
      </c>
      <c r="D1347">
        <f t="shared" si="21"/>
        <v>0</v>
      </c>
      <c r="E1347" t="s">
        <v>19</v>
      </c>
      <c r="F1347" t="s">
        <v>1799</v>
      </c>
      <c r="G1347" t="s">
        <v>322</v>
      </c>
      <c r="N1347" s="107"/>
    </row>
    <row r="1348" spans="1:14" hidden="1" x14ac:dyDescent="0.35">
      <c r="A1348" t="s">
        <v>190</v>
      </c>
      <c r="B1348" t="s">
        <v>614</v>
      </c>
      <c r="C1348" t="s">
        <v>1179</v>
      </c>
      <c r="D1348">
        <f t="shared" si="21"/>
        <v>0</v>
      </c>
      <c r="E1348" t="s">
        <v>19</v>
      </c>
      <c r="F1348" t="s">
        <v>1813</v>
      </c>
      <c r="G1348" t="s">
        <v>322</v>
      </c>
      <c r="N1348" s="107"/>
    </row>
    <row r="1349" spans="1:14" hidden="1" x14ac:dyDescent="0.35">
      <c r="A1349" t="s">
        <v>190</v>
      </c>
      <c r="B1349" t="s">
        <v>615</v>
      </c>
      <c r="C1349" t="s">
        <v>1179</v>
      </c>
      <c r="D1349">
        <f t="shared" si="21"/>
        <v>0</v>
      </c>
      <c r="E1349" t="s">
        <v>19</v>
      </c>
      <c r="F1349" t="s">
        <v>1814</v>
      </c>
      <c r="G1349" t="s">
        <v>322</v>
      </c>
      <c r="N1349" s="107"/>
    </row>
    <row r="1350" spans="1:14" hidden="1" x14ac:dyDescent="0.35">
      <c r="A1350" t="s">
        <v>190</v>
      </c>
      <c r="B1350" t="s">
        <v>536</v>
      </c>
      <c r="C1350" t="s">
        <v>1208</v>
      </c>
      <c r="D1350">
        <f t="shared" si="21"/>
        <v>0</v>
      </c>
      <c r="E1350" t="s">
        <v>19</v>
      </c>
      <c r="F1350" t="s">
        <v>1854</v>
      </c>
      <c r="G1350" t="s">
        <v>322</v>
      </c>
      <c r="N1350" s="107"/>
    </row>
    <row r="1351" spans="1:14" hidden="1" x14ac:dyDescent="0.35">
      <c r="A1351" t="s">
        <v>190</v>
      </c>
      <c r="B1351" t="s">
        <v>535</v>
      </c>
      <c r="C1351" t="s">
        <v>1208</v>
      </c>
      <c r="D1351">
        <f t="shared" si="21"/>
        <v>0</v>
      </c>
      <c r="E1351" t="s">
        <v>19</v>
      </c>
      <c r="F1351" t="s">
        <v>1855</v>
      </c>
      <c r="G1351" t="s">
        <v>322</v>
      </c>
      <c r="N1351" s="107"/>
    </row>
    <row r="1352" spans="1:14" hidden="1" x14ac:dyDescent="0.35">
      <c r="A1352" t="s">
        <v>190</v>
      </c>
      <c r="B1352" t="s">
        <v>535</v>
      </c>
      <c r="C1352" t="s">
        <v>1208</v>
      </c>
      <c r="D1352">
        <f t="shared" si="21"/>
        <v>0</v>
      </c>
      <c r="E1352" t="s">
        <v>19</v>
      </c>
      <c r="F1352" t="s">
        <v>1856</v>
      </c>
      <c r="G1352" t="s">
        <v>322</v>
      </c>
      <c r="N1352" s="107"/>
    </row>
    <row r="1353" spans="1:14" hidden="1" x14ac:dyDescent="0.35">
      <c r="A1353" t="s">
        <v>190</v>
      </c>
      <c r="B1353" t="s">
        <v>535</v>
      </c>
      <c r="C1353" t="s">
        <v>1208</v>
      </c>
      <c r="D1353">
        <f t="shared" si="21"/>
        <v>0</v>
      </c>
      <c r="E1353" t="s">
        <v>19</v>
      </c>
      <c r="F1353" t="s">
        <v>1857</v>
      </c>
      <c r="G1353" t="s">
        <v>322</v>
      </c>
      <c r="N1353" s="107"/>
    </row>
    <row r="1354" spans="1:14" hidden="1" x14ac:dyDescent="0.35">
      <c r="A1354" t="s">
        <v>190</v>
      </c>
      <c r="B1354" t="s">
        <v>655</v>
      </c>
      <c r="C1354" t="s">
        <v>1208</v>
      </c>
      <c r="D1354">
        <f t="shared" si="21"/>
        <v>0</v>
      </c>
      <c r="E1354" t="s">
        <v>19</v>
      </c>
      <c r="F1354" t="s">
        <v>1858</v>
      </c>
      <c r="G1354" t="s">
        <v>322</v>
      </c>
      <c r="N1354" s="107"/>
    </row>
    <row r="1355" spans="1:14" hidden="1" x14ac:dyDescent="0.35">
      <c r="A1355" t="s">
        <v>190</v>
      </c>
      <c r="B1355" t="s">
        <v>614</v>
      </c>
      <c r="C1355" t="s">
        <v>1208</v>
      </c>
      <c r="D1355">
        <f t="shared" si="21"/>
        <v>0</v>
      </c>
      <c r="E1355" t="s">
        <v>19</v>
      </c>
      <c r="F1355" t="s">
        <v>1859</v>
      </c>
      <c r="G1355" t="s">
        <v>322</v>
      </c>
      <c r="N1355" s="107"/>
    </row>
    <row r="1356" spans="1:14" hidden="1" x14ac:dyDescent="0.35">
      <c r="A1356" t="s">
        <v>190</v>
      </c>
      <c r="B1356" t="s">
        <v>614</v>
      </c>
      <c r="C1356" t="s">
        <v>1208</v>
      </c>
      <c r="D1356">
        <f t="shared" si="21"/>
        <v>0</v>
      </c>
      <c r="E1356" t="s">
        <v>19</v>
      </c>
      <c r="F1356" t="s">
        <v>1860</v>
      </c>
      <c r="G1356" t="s">
        <v>322</v>
      </c>
      <c r="N1356" s="107"/>
    </row>
    <row r="1357" spans="1:14" hidden="1" x14ac:dyDescent="0.35">
      <c r="A1357" t="s">
        <v>190</v>
      </c>
      <c r="B1357" t="s">
        <v>536</v>
      </c>
      <c r="C1357" t="s">
        <v>1208</v>
      </c>
      <c r="D1357">
        <f t="shared" si="21"/>
        <v>0</v>
      </c>
      <c r="E1357" t="s">
        <v>19</v>
      </c>
      <c r="F1357" t="s">
        <v>1861</v>
      </c>
      <c r="G1357" t="s">
        <v>322</v>
      </c>
      <c r="N1357" s="107"/>
    </row>
    <row r="1358" spans="1:14" hidden="1" x14ac:dyDescent="0.35">
      <c r="A1358" t="s">
        <v>190</v>
      </c>
      <c r="B1358" t="s">
        <v>614</v>
      </c>
      <c r="C1358" t="s">
        <v>1208</v>
      </c>
      <c r="D1358">
        <f t="shared" si="21"/>
        <v>0</v>
      </c>
      <c r="E1358" t="s">
        <v>19</v>
      </c>
      <c r="F1358" t="s">
        <v>1863</v>
      </c>
      <c r="G1358" t="s">
        <v>322</v>
      </c>
      <c r="N1358" s="107"/>
    </row>
    <row r="1359" spans="1:14" hidden="1" x14ac:dyDescent="0.35">
      <c r="A1359" t="s">
        <v>190</v>
      </c>
      <c r="B1359" t="s">
        <v>536</v>
      </c>
      <c r="C1359" t="s">
        <v>1208</v>
      </c>
      <c r="D1359">
        <f t="shared" si="21"/>
        <v>0</v>
      </c>
      <c r="E1359" t="s">
        <v>19</v>
      </c>
      <c r="F1359" t="s">
        <v>1864</v>
      </c>
      <c r="G1359" t="s">
        <v>322</v>
      </c>
      <c r="N1359" s="107"/>
    </row>
    <row r="1360" spans="1:14" hidden="1" x14ac:dyDescent="0.35">
      <c r="A1360" t="s">
        <v>190</v>
      </c>
      <c r="B1360" t="s">
        <v>535</v>
      </c>
      <c r="C1360" t="s">
        <v>1208</v>
      </c>
      <c r="D1360">
        <f t="shared" si="21"/>
        <v>0</v>
      </c>
      <c r="E1360" t="s">
        <v>19</v>
      </c>
      <c r="F1360" t="s">
        <v>1865</v>
      </c>
      <c r="G1360" t="s">
        <v>322</v>
      </c>
      <c r="N1360" s="107"/>
    </row>
    <row r="1361" spans="1:14" hidden="1" x14ac:dyDescent="0.35">
      <c r="A1361" t="s">
        <v>190</v>
      </c>
      <c r="B1361" t="s">
        <v>614</v>
      </c>
      <c r="C1361" t="s">
        <v>1208</v>
      </c>
      <c r="D1361">
        <f t="shared" si="21"/>
        <v>0</v>
      </c>
      <c r="E1361" t="s">
        <v>19</v>
      </c>
      <c r="F1361" t="s">
        <v>1869</v>
      </c>
      <c r="G1361" t="s">
        <v>322</v>
      </c>
      <c r="N1361" s="107"/>
    </row>
    <row r="1362" spans="1:14" hidden="1" x14ac:dyDescent="0.35">
      <c r="A1362" t="s">
        <v>190</v>
      </c>
      <c r="B1362" t="s">
        <v>535</v>
      </c>
      <c r="C1362" t="s">
        <v>1208</v>
      </c>
      <c r="D1362">
        <f t="shared" si="21"/>
        <v>0</v>
      </c>
      <c r="E1362" t="s">
        <v>19</v>
      </c>
      <c r="F1362" t="s">
        <v>1872</v>
      </c>
      <c r="G1362" t="s">
        <v>322</v>
      </c>
      <c r="N1362" s="107"/>
    </row>
    <row r="1363" spans="1:14" hidden="1" x14ac:dyDescent="0.35">
      <c r="A1363" t="s">
        <v>190</v>
      </c>
      <c r="B1363" t="s">
        <v>614</v>
      </c>
      <c r="C1363" t="s">
        <v>1208</v>
      </c>
      <c r="D1363">
        <f t="shared" si="21"/>
        <v>0</v>
      </c>
      <c r="E1363" t="s">
        <v>19</v>
      </c>
      <c r="F1363" t="s">
        <v>1874</v>
      </c>
      <c r="G1363" t="s">
        <v>322</v>
      </c>
      <c r="N1363" s="107"/>
    </row>
    <row r="1364" spans="1:14" hidden="1" x14ac:dyDescent="0.35">
      <c r="A1364" t="s">
        <v>190</v>
      </c>
      <c r="B1364" t="s">
        <v>614</v>
      </c>
      <c r="C1364" t="s">
        <v>1208</v>
      </c>
      <c r="D1364">
        <f t="shared" si="21"/>
        <v>0</v>
      </c>
      <c r="E1364" t="s">
        <v>19</v>
      </c>
      <c r="F1364" t="s">
        <v>1875</v>
      </c>
      <c r="G1364" t="s">
        <v>322</v>
      </c>
      <c r="N1364" s="107"/>
    </row>
    <row r="1365" spans="1:14" hidden="1" x14ac:dyDescent="0.35">
      <c r="A1365" t="s">
        <v>190</v>
      </c>
      <c r="B1365" t="s">
        <v>535</v>
      </c>
      <c r="C1365" t="s">
        <v>1227</v>
      </c>
      <c r="D1365">
        <f t="shared" si="21"/>
        <v>0</v>
      </c>
      <c r="E1365" t="s">
        <v>19</v>
      </c>
      <c r="F1365" t="s">
        <v>1940</v>
      </c>
      <c r="G1365" t="s">
        <v>322</v>
      </c>
      <c r="N1365" s="107"/>
    </row>
    <row r="1366" spans="1:14" hidden="1" x14ac:dyDescent="0.35">
      <c r="A1366" t="s">
        <v>190</v>
      </c>
      <c r="B1366" t="s">
        <v>602</v>
      </c>
      <c r="C1366" t="s">
        <v>1238</v>
      </c>
      <c r="D1366">
        <f t="shared" si="21"/>
        <v>0</v>
      </c>
      <c r="E1366" t="s">
        <v>19</v>
      </c>
      <c r="F1366" t="s">
        <v>2013</v>
      </c>
      <c r="G1366" t="s">
        <v>322</v>
      </c>
      <c r="N1366" s="107"/>
    </row>
    <row r="1367" spans="1:14" hidden="1" x14ac:dyDescent="0.35">
      <c r="A1367" t="s">
        <v>190</v>
      </c>
      <c r="B1367" t="s">
        <v>655</v>
      </c>
      <c r="C1367" t="s">
        <v>1238</v>
      </c>
      <c r="D1367">
        <f t="shared" si="21"/>
        <v>0</v>
      </c>
      <c r="E1367" t="s">
        <v>19</v>
      </c>
      <c r="F1367" t="s">
        <v>2014</v>
      </c>
      <c r="G1367" t="s">
        <v>322</v>
      </c>
      <c r="N1367" s="107"/>
    </row>
    <row r="1368" spans="1:14" hidden="1" x14ac:dyDescent="0.35">
      <c r="A1368" t="s">
        <v>190</v>
      </c>
      <c r="B1368" t="s">
        <v>741</v>
      </c>
      <c r="C1368" t="s">
        <v>1240</v>
      </c>
      <c r="D1368">
        <f t="shared" si="21"/>
        <v>0</v>
      </c>
      <c r="E1368" t="s">
        <v>19</v>
      </c>
      <c r="F1368" t="s">
        <v>2021</v>
      </c>
      <c r="G1368" t="s">
        <v>322</v>
      </c>
      <c r="N1368" s="107"/>
    </row>
    <row r="1369" spans="1:14" hidden="1" x14ac:dyDescent="0.35">
      <c r="A1369" t="s">
        <v>190</v>
      </c>
      <c r="B1369" t="s">
        <v>742</v>
      </c>
      <c r="C1369" t="s">
        <v>1240</v>
      </c>
      <c r="D1369">
        <f t="shared" si="21"/>
        <v>0</v>
      </c>
      <c r="E1369" t="s">
        <v>19</v>
      </c>
      <c r="F1369" t="s">
        <v>2022</v>
      </c>
      <c r="G1369" t="s">
        <v>322</v>
      </c>
      <c r="N1369" s="107"/>
    </row>
    <row r="1370" spans="1:14" hidden="1" x14ac:dyDescent="0.35">
      <c r="A1370" t="s">
        <v>190</v>
      </c>
      <c r="B1370" t="s">
        <v>602</v>
      </c>
      <c r="C1370" t="s">
        <v>1293</v>
      </c>
      <c r="D1370">
        <f t="shared" si="21"/>
        <v>0</v>
      </c>
      <c r="E1370" t="s">
        <v>19</v>
      </c>
      <c r="F1370" t="s">
        <v>2152</v>
      </c>
      <c r="G1370" t="s">
        <v>322</v>
      </c>
      <c r="N1370" s="107"/>
    </row>
    <row r="1371" spans="1:14" hidden="1" x14ac:dyDescent="0.35">
      <c r="A1371" t="s">
        <v>190</v>
      </c>
      <c r="B1371" t="s">
        <v>848</v>
      </c>
      <c r="C1371" t="s">
        <v>1302</v>
      </c>
      <c r="D1371">
        <f t="shared" si="21"/>
        <v>0</v>
      </c>
      <c r="E1371" t="s">
        <v>19</v>
      </c>
      <c r="F1371" t="s">
        <v>2190</v>
      </c>
      <c r="G1371" t="s">
        <v>322</v>
      </c>
      <c r="N1371" s="107"/>
    </row>
    <row r="1372" spans="1:14" hidden="1" x14ac:dyDescent="0.35">
      <c r="A1372" t="s">
        <v>190</v>
      </c>
      <c r="B1372" t="s">
        <v>848</v>
      </c>
      <c r="C1372" t="s">
        <v>1439</v>
      </c>
      <c r="D1372">
        <f t="shared" si="21"/>
        <v>0</v>
      </c>
      <c r="E1372" t="s">
        <v>19</v>
      </c>
      <c r="F1372" t="s">
        <v>2565</v>
      </c>
      <c r="G1372" t="s">
        <v>322</v>
      </c>
      <c r="N1372" s="107"/>
    </row>
    <row r="1373" spans="1:14" hidden="1" x14ac:dyDescent="0.35">
      <c r="A1373" t="s">
        <v>190</v>
      </c>
      <c r="B1373" t="s">
        <v>1066</v>
      </c>
      <c r="C1373" t="s">
        <v>1458</v>
      </c>
      <c r="D1373">
        <f t="shared" si="21"/>
        <v>0</v>
      </c>
      <c r="E1373" t="s">
        <v>19</v>
      </c>
      <c r="F1373" t="s">
        <v>1458</v>
      </c>
      <c r="G1373" t="s">
        <v>322</v>
      </c>
      <c r="N1373" s="107"/>
    </row>
    <row r="1374" spans="1:14" hidden="1" x14ac:dyDescent="0.35">
      <c r="A1374" t="s">
        <v>190</v>
      </c>
      <c r="B1374" t="s">
        <v>535</v>
      </c>
      <c r="C1374" t="s">
        <v>1461</v>
      </c>
      <c r="D1374">
        <f t="shared" si="21"/>
        <v>0</v>
      </c>
      <c r="E1374" t="s">
        <v>19</v>
      </c>
      <c r="F1374" t="s">
        <v>2641</v>
      </c>
      <c r="G1374" t="s">
        <v>322</v>
      </c>
      <c r="N1374" s="107"/>
    </row>
    <row r="1375" spans="1:14" hidden="1" x14ac:dyDescent="0.35">
      <c r="A1375" t="s">
        <v>190</v>
      </c>
      <c r="B1375" t="s">
        <v>536</v>
      </c>
      <c r="C1375" t="s">
        <v>1461</v>
      </c>
      <c r="D1375">
        <f t="shared" si="21"/>
        <v>0</v>
      </c>
      <c r="E1375" t="s">
        <v>19</v>
      </c>
      <c r="F1375" t="s">
        <v>2654</v>
      </c>
      <c r="G1375" t="s">
        <v>322</v>
      </c>
      <c r="N1375" s="107"/>
    </row>
    <row r="1376" spans="1:14" hidden="1" x14ac:dyDescent="0.35">
      <c r="A1376" t="s">
        <v>191</v>
      </c>
      <c r="B1376" t="s">
        <v>589</v>
      </c>
      <c r="C1376" t="s">
        <v>1171</v>
      </c>
      <c r="D1376">
        <f t="shared" si="21"/>
        <v>0</v>
      </c>
      <c r="E1376" t="s">
        <v>19</v>
      </c>
      <c r="F1376" t="s">
        <v>1776</v>
      </c>
      <c r="G1376" t="s">
        <v>322</v>
      </c>
      <c r="N1376" s="107"/>
    </row>
    <row r="1377" spans="1:14" hidden="1" x14ac:dyDescent="0.35">
      <c r="A1377" t="s">
        <v>191</v>
      </c>
      <c r="B1377" t="s">
        <v>654</v>
      </c>
      <c r="C1377" t="s">
        <v>1207</v>
      </c>
      <c r="D1377">
        <f t="shared" si="21"/>
        <v>0</v>
      </c>
      <c r="E1377" t="s">
        <v>19</v>
      </c>
      <c r="F1377" t="s">
        <v>1207</v>
      </c>
      <c r="G1377" t="s">
        <v>322</v>
      </c>
      <c r="N1377" s="107"/>
    </row>
    <row r="1378" spans="1:14" hidden="1" x14ac:dyDescent="0.35">
      <c r="A1378" t="s">
        <v>191</v>
      </c>
      <c r="B1378" t="s">
        <v>751</v>
      </c>
      <c r="C1378" t="s">
        <v>1251</v>
      </c>
      <c r="D1378">
        <f t="shared" si="21"/>
        <v>0</v>
      </c>
      <c r="E1378" t="s">
        <v>19</v>
      </c>
      <c r="F1378" t="s">
        <v>2033</v>
      </c>
      <c r="G1378" t="s">
        <v>322</v>
      </c>
      <c r="N1378" s="107"/>
    </row>
    <row r="1379" spans="1:14" hidden="1" x14ac:dyDescent="0.35">
      <c r="A1379" t="s">
        <v>191</v>
      </c>
      <c r="B1379" t="s">
        <v>753</v>
      </c>
      <c r="C1379" t="s">
        <v>1251</v>
      </c>
      <c r="D1379">
        <f t="shared" si="21"/>
        <v>0</v>
      </c>
      <c r="E1379" t="s">
        <v>19</v>
      </c>
      <c r="F1379" t="s">
        <v>2038</v>
      </c>
      <c r="G1379" t="s">
        <v>322</v>
      </c>
      <c r="N1379" s="107"/>
    </row>
    <row r="1380" spans="1:14" hidden="1" x14ac:dyDescent="0.35">
      <c r="A1380" t="s">
        <v>191</v>
      </c>
      <c r="B1380" t="s">
        <v>770</v>
      </c>
      <c r="C1380" t="s">
        <v>1254</v>
      </c>
      <c r="D1380">
        <f t="shared" si="21"/>
        <v>0</v>
      </c>
      <c r="E1380" t="s">
        <v>19</v>
      </c>
      <c r="F1380" t="s">
        <v>2065</v>
      </c>
      <c r="G1380" t="s">
        <v>322</v>
      </c>
      <c r="N1380" s="107"/>
    </row>
    <row r="1381" spans="1:14" hidden="1" x14ac:dyDescent="0.35">
      <c r="A1381" t="s">
        <v>191</v>
      </c>
      <c r="B1381" t="s">
        <v>654</v>
      </c>
      <c r="C1381" t="s">
        <v>1335</v>
      </c>
      <c r="D1381">
        <f t="shared" si="21"/>
        <v>0</v>
      </c>
      <c r="E1381" t="s">
        <v>19</v>
      </c>
      <c r="F1381" t="s">
        <v>2261</v>
      </c>
      <c r="G1381" t="s">
        <v>322</v>
      </c>
      <c r="N1381" s="107"/>
    </row>
    <row r="1382" spans="1:14" hidden="1" x14ac:dyDescent="0.35">
      <c r="A1382" t="s">
        <v>191</v>
      </c>
      <c r="B1382" t="s">
        <v>899</v>
      </c>
      <c r="C1382" t="s">
        <v>1335</v>
      </c>
      <c r="D1382">
        <f t="shared" si="21"/>
        <v>0</v>
      </c>
      <c r="E1382" t="s">
        <v>19</v>
      </c>
      <c r="F1382" t="s">
        <v>2262</v>
      </c>
      <c r="G1382" t="s">
        <v>322</v>
      </c>
      <c r="N1382" s="107"/>
    </row>
    <row r="1383" spans="1:14" hidden="1" x14ac:dyDescent="0.35">
      <c r="A1383" t="s">
        <v>191</v>
      </c>
      <c r="B1383" t="s">
        <v>589</v>
      </c>
      <c r="C1383" t="s">
        <v>1371</v>
      </c>
      <c r="D1383">
        <f t="shared" si="21"/>
        <v>0</v>
      </c>
      <c r="E1383" t="s">
        <v>19</v>
      </c>
      <c r="F1383" t="s">
        <v>2315</v>
      </c>
      <c r="G1383" t="s">
        <v>322</v>
      </c>
      <c r="N1383" s="107"/>
    </row>
    <row r="1384" spans="1:14" hidden="1" x14ac:dyDescent="0.35">
      <c r="A1384" t="s">
        <v>191</v>
      </c>
      <c r="B1384" t="s">
        <v>589</v>
      </c>
      <c r="C1384" t="s">
        <v>1404</v>
      </c>
      <c r="D1384">
        <f t="shared" si="21"/>
        <v>0</v>
      </c>
      <c r="E1384" t="s">
        <v>19</v>
      </c>
      <c r="F1384" t="s">
        <v>2435</v>
      </c>
      <c r="G1384" t="s">
        <v>322</v>
      </c>
      <c r="N1384" s="107"/>
    </row>
    <row r="1385" spans="1:14" x14ac:dyDescent="0.35">
      <c r="N1385" s="107"/>
    </row>
    <row r="1386" spans="1:14" x14ac:dyDescent="0.35">
      <c r="N1386" s="107"/>
    </row>
    <row r="1387" spans="1:14" x14ac:dyDescent="0.35">
      <c r="N1387" s="107"/>
    </row>
    <row r="1388" spans="1:14" x14ac:dyDescent="0.35">
      <c r="N1388" s="107"/>
    </row>
    <row r="1389" spans="1:14" x14ac:dyDescent="0.35">
      <c r="N1389" s="107"/>
    </row>
    <row r="1390" spans="1:14" x14ac:dyDescent="0.35">
      <c r="N1390" s="107"/>
    </row>
    <row r="1391" spans="1:14" x14ac:dyDescent="0.35">
      <c r="N1391" s="107"/>
    </row>
    <row r="1392" spans="1:14" x14ac:dyDescent="0.35">
      <c r="N1392" s="107"/>
    </row>
    <row r="1393" spans="14:14" x14ac:dyDescent="0.35">
      <c r="N1393" s="107"/>
    </row>
    <row r="1394" spans="14:14" x14ac:dyDescent="0.35">
      <c r="N1394" s="107"/>
    </row>
    <row r="1395" spans="14:14" x14ac:dyDescent="0.35">
      <c r="N1395" s="107"/>
    </row>
    <row r="1396" spans="14:14" x14ac:dyDescent="0.35">
      <c r="N1396" s="107"/>
    </row>
    <row r="1397" spans="14:14" x14ac:dyDescent="0.35">
      <c r="N1397" s="107"/>
    </row>
    <row r="1398" spans="14:14" x14ac:dyDescent="0.35">
      <c r="N1398" s="107"/>
    </row>
    <row r="1399" spans="14:14" x14ac:dyDescent="0.35">
      <c r="N1399" s="107"/>
    </row>
    <row r="1400" spans="14:14" x14ac:dyDescent="0.35">
      <c r="N1400" s="107"/>
    </row>
    <row r="1401" spans="14:14" x14ac:dyDescent="0.35">
      <c r="N1401" s="107"/>
    </row>
    <row r="1402" spans="14:14" x14ac:dyDescent="0.35">
      <c r="N1402" s="107"/>
    </row>
    <row r="1403" spans="14:14" x14ac:dyDescent="0.35">
      <c r="N1403" s="107"/>
    </row>
    <row r="1404" spans="14:14" x14ac:dyDescent="0.35">
      <c r="N1404" s="107"/>
    </row>
    <row r="1405" spans="14:14" x14ac:dyDescent="0.35">
      <c r="N1405" s="107"/>
    </row>
    <row r="1406" spans="14:14" x14ac:dyDescent="0.35">
      <c r="N1406" s="107"/>
    </row>
    <row r="1407" spans="14:14" x14ac:dyDescent="0.35">
      <c r="N1407" s="107"/>
    </row>
    <row r="1408" spans="14:14" x14ac:dyDescent="0.35">
      <c r="N1408" s="107"/>
    </row>
    <row r="1409" spans="14:14" x14ac:dyDescent="0.35">
      <c r="N1409" s="107"/>
    </row>
    <row r="1410" spans="14:14" x14ac:dyDescent="0.35">
      <c r="N1410" s="107"/>
    </row>
    <row r="1411" spans="14:14" x14ac:dyDescent="0.35">
      <c r="N1411" s="107"/>
    </row>
    <row r="1412" spans="14:14" x14ac:dyDescent="0.35">
      <c r="N1412" s="107"/>
    </row>
    <row r="1413" spans="14:14" x14ac:dyDescent="0.35">
      <c r="N1413" s="107"/>
    </row>
    <row r="1414" spans="14:14" x14ac:dyDescent="0.35">
      <c r="N1414" s="107"/>
    </row>
    <row r="1415" spans="14:14" x14ac:dyDescent="0.35">
      <c r="N1415" s="107"/>
    </row>
    <row r="1416" spans="14:14" x14ac:dyDescent="0.35">
      <c r="N1416" s="107"/>
    </row>
    <row r="1417" spans="14:14" x14ac:dyDescent="0.35">
      <c r="N1417" s="107"/>
    </row>
    <row r="1418" spans="14:14" x14ac:dyDescent="0.35">
      <c r="N1418" s="107"/>
    </row>
    <row r="1419" spans="14:14" x14ac:dyDescent="0.35">
      <c r="N1419" s="107"/>
    </row>
    <row r="1420" spans="14:14" x14ac:dyDescent="0.35">
      <c r="N1420" s="107"/>
    </row>
    <row r="1421" spans="14:14" x14ac:dyDescent="0.35">
      <c r="N1421" s="107"/>
    </row>
    <row r="1422" spans="14:14" x14ac:dyDescent="0.35">
      <c r="N1422" s="107"/>
    </row>
    <row r="1423" spans="14:14" x14ac:dyDescent="0.35">
      <c r="N1423" s="107"/>
    </row>
    <row r="1424" spans="14:14" x14ac:dyDescent="0.35">
      <c r="N1424" s="107"/>
    </row>
    <row r="1425" spans="14:14" x14ac:dyDescent="0.35">
      <c r="N1425" s="107"/>
    </row>
    <row r="1426" spans="14:14" x14ac:dyDescent="0.35">
      <c r="N1426" s="107"/>
    </row>
    <row r="1427" spans="14:14" x14ac:dyDescent="0.35">
      <c r="N1427" s="107"/>
    </row>
    <row r="1428" spans="14:14" x14ac:dyDescent="0.35">
      <c r="N1428" s="107"/>
    </row>
    <row r="1429" spans="14:14" x14ac:dyDescent="0.35">
      <c r="N1429" s="107"/>
    </row>
    <row r="1430" spans="14:14" x14ac:dyDescent="0.35">
      <c r="N1430" s="107"/>
    </row>
    <row r="1431" spans="14:14" x14ac:dyDescent="0.35">
      <c r="N1431" s="107"/>
    </row>
    <row r="1432" spans="14:14" x14ac:dyDescent="0.35">
      <c r="N1432" s="107"/>
    </row>
    <row r="1433" spans="14:14" x14ac:dyDescent="0.35">
      <c r="N1433" s="107"/>
    </row>
    <row r="1434" spans="14:14" x14ac:dyDescent="0.35">
      <c r="N1434" s="107"/>
    </row>
    <row r="1435" spans="14:14" x14ac:dyDescent="0.35">
      <c r="N1435" s="107"/>
    </row>
    <row r="1436" spans="14:14" x14ac:dyDescent="0.35">
      <c r="N1436" s="107"/>
    </row>
    <row r="1437" spans="14:14" x14ac:dyDescent="0.35">
      <c r="N1437" s="107"/>
    </row>
    <row r="1438" spans="14:14" x14ac:dyDescent="0.35">
      <c r="N1438" s="107"/>
    </row>
    <row r="1439" spans="14:14" x14ac:dyDescent="0.35">
      <c r="N1439" s="107"/>
    </row>
    <row r="1440" spans="14:14" x14ac:dyDescent="0.35">
      <c r="N1440" s="107"/>
    </row>
    <row r="1441" spans="14:14" x14ac:dyDescent="0.35">
      <c r="N1441" s="107"/>
    </row>
    <row r="1442" spans="14:14" x14ac:dyDescent="0.35">
      <c r="N1442" s="107"/>
    </row>
    <row r="1443" spans="14:14" x14ac:dyDescent="0.35">
      <c r="N1443" s="107"/>
    </row>
    <row r="1444" spans="14:14" x14ac:dyDescent="0.35">
      <c r="N1444" s="107"/>
    </row>
    <row r="1445" spans="14:14" x14ac:dyDescent="0.35">
      <c r="N1445" s="107"/>
    </row>
    <row r="1446" spans="14:14" x14ac:dyDescent="0.35">
      <c r="N1446" s="107"/>
    </row>
    <row r="1447" spans="14:14" x14ac:dyDescent="0.35">
      <c r="N1447" s="107"/>
    </row>
    <row r="1448" spans="14:14" x14ac:dyDescent="0.35">
      <c r="N1448" s="107"/>
    </row>
    <row r="1449" spans="14:14" x14ac:dyDescent="0.35">
      <c r="N1449" s="107"/>
    </row>
    <row r="1450" spans="14:14" x14ac:dyDescent="0.35">
      <c r="N1450" s="107"/>
    </row>
    <row r="1451" spans="14:14" x14ac:dyDescent="0.35">
      <c r="N1451" s="107"/>
    </row>
    <row r="1452" spans="14:14" x14ac:dyDescent="0.35">
      <c r="N1452" s="107"/>
    </row>
    <row r="1453" spans="14:14" x14ac:dyDescent="0.35">
      <c r="N1453" s="107"/>
    </row>
    <row r="1454" spans="14:14" x14ac:dyDescent="0.35">
      <c r="N1454" s="107"/>
    </row>
    <row r="1455" spans="14:14" x14ac:dyDescent="0.35">
      <c r="N1455" s="107"/>
    </row>
    <row r="1456" spans="14:14" x14ac:dyDescent="0.35">
      <c r="N1456" s="107"/>
    </row>
    <row r="1457" spans="14:14" x14ac:dyDescent="0.35">
      <c r="N1457" s="107"/>
    </row>
    <row r="1458" spans="14:14" x14ac:dyDescent="0.35">
      <c r="N1458" s="107"/>
    </row>
    <row r="1459" spans="14:14" x14ac:dyDescent="0.35">
      <c r="N1459" s="107"/>
    </row>
    <row r="1460" spans="14:14" x14ac:dyDescent="0.35">
      <c r="N1460" s="107"/>
    </row>
    <row r="1461" spans="14:14" x14ac:dyDescent="0.35">
      <c r="N1461" s="107"/>
    </row>
    <row r="1462" spans="14:14" x14ac:dyDescent="0.35">
      <c r="N1462" s="107"/>
    </row>
    <row r="1463" spans="14:14" x14ac:dyDescent="0.35">
      <c r="N1463" s="107"/>
    </row>
  </sheetData>
  <phoneticPr fontId="4"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F380-27A5-4725-8FCC-45748F648D57}">
  <sheetPr>
    <tabColor theme="8" tint="0.59999389629810485"/>
  </sheetPr>
  <dimension ref="A1:BX126"/>
  <sheetViews>
    <sheetView workbookViewId="0">
      <selection activeCell="P26" sqref="P26"/>
    </sheetView>
  </sheetViews>
  <sheetFormatPr defaultRowHeight="14.5" x14ac:dyDescent="0.35"/>
  <cols>
    <col min="1" max="1" width="14.54296875" bestFit="1" customWidth="1"/>
    <col min="2" max="2" width="22.6328125" bestFit="1" customWidth="1"/>
    <col min="4" max="4" width="14.453125" customWidth="1"/>
    <col min="5" max="5" width="14.81640625" style="82" customWidth="1"/>
    <col min="6" max="6" width="20" bestFit="1" customWidth="1"/>
    <col min="7" max="9" width="22.81640625" customWidth="1"/>
    <col min="10" max="10" width="14.54296875" customWidth="1"/>
    <col min="11" max="11" width="11" customWidth="1"/>
    <col min="12" max="12" width="11.1796875" customWidth="1"/>
  </cols>
  <sheetData>
    <row r="1" spans="1:76" s="126" customFormat="1" ht="29" x14ac:dyDescent="0.35">
      <c r="A1" s="124" t="s">
        <v>143</v>
      </c>
      <c r="B1" s="124" t="s">
        <v>436</v>
      </c>
      <c r="C1" s="124" t="s">
        <v>434</v>
      </c>
      <c r="D1" s="124" t="s">
        <v>435</v>
      </c>
      <c r="E1" s="125" t="s">
        <v>317</v>
      </c>
      <c r="F1" s="110" t="s">
        <v>25</v>
      </c>
      <c r="G1" s="110" t="s">
        <v>35</v>
      </c>
      <c r="H1" s="110" t="s">
        <v>31</v>
      </c>
      <c r="I1" s="100" t="s">
        <v>24</v>
      </c>
      <c r="J1" s="100" t="s">
        <v>36</v>
      </c>
      <c r="K1" s="100" t="s">
        <v>44</v>
      </c>
      <c r="L1" s="100" t="s">
        <v>194</v>
      </c>
      <c r="M1" s="100" t="s">
        <v>45</v>
      </c>
    </row>
    <row r="2" spans="1:76" hidden="1" x14ac:dyDescent="0.35">
      <c r="A2" t="s">
        <v>179</v>
      </c>
      <c r="B2" t="s">
        <v>511</v>
      </c>
      <c r="C2" t="s">
        <v>405</v>
      </c>
      <c r="D2" t="s">
        <v>1619</v>
      </c>
      <c r="E2" s="82">
        <f t="shared" ref="E2:E33" si="0">SIGN(SUBTOTAL(3,F2))</f>
        <v>0</v>
      </c>
      <c r="F2" t="s">
        <v>18</v>
      </c>
      <c r="G2" t="s">
        <v>405</v>
      </c>
      <c r="H2" t="s">
        <v>321</v>
      </c>
      <c r="I2">
        <v>14000000</v>
      </c>
      <c r="J2" t="s">
        <v>42</v>
      </c>
      <c r="AC2" t="s">
        <v>1616</v>
      </c>
      <c r="AF2" t="s">
        <v>1615</v>
      </c>
      <c r="BX2" t="s">
        <v>1614</v>
      </c>
    </row>
    <row r="3" spans="1:76" hidden="1" x14ac:dyDescent="0.35">
      <c r="A3" t="s">
        <v>172</v>
      </c>
      <c r="B3" t="s">
        <v>493</v>
      </c>
      <c r="C3" t="s">
        <v>383</v>
      </c>
      <c r="D3" t="s">
        <v>1612</v>
      </c>
      <c r="E3" s="82">
        <f t="shared" si="0"/>
        <v>0</v>
      </c>
      <c r="F3" t="s">
        <v>18</v>
      </c>
      <c r="G3" t="s">
        <v>383</v>
      </c>
      <c r="H3" t="s">
        <v>321</v>
      </c>
      <c r="I3">
        <v>29000000</v>
      </c>
      <c r="J3" t="s">
        <v>42</v>
      </c>
    </row>
    <row r="4" spans="1:76" hidden="1" x14ac:dyDescent="0.35">
      <c r="A4" t="s">
        <v>184</v>
      </c>
      <c r="B4" t="s">
        <v>523</v>
      </c>
      <c r="C4" t="s">
        <v>417</v>
      </c>
      <c r="D4" t="s">
        <v>1618</v>
      </c>
      <c r="E4" s="82">
        <f t="shared" si="0"/>
        <v>0</v>
      </c>
      <c r="F4" t="s">
        <v>18</v>
      </c>
      <c r="G4" t="s">
        <v>417</v>
      </c>
      <c r="H4" t="s">
        <v>321</v>
      </c>
      <c r="I4">
        <v>3000000</v>
      </c>
      <c r="J4" t="s">
        <v>42</v>
      </c>
    </row>
    <row r="5" spans="1:76" hidden="1" x14ac:dyDescent="0.35">
      <c r="A5" t="s">
        <v>173</v>
      </c>
      <c r="B5" t="s">
        <v>494</v>
      </c>
      <c r="C5" t="s">
        <v>384</v>
      </c>
      <c r="D5" t="s">
        <v>1611</v>
      </c>
      <c r="E5" s="82">
        <f t="shared" si="0"/>
        <v>0</v>
      </c>
      <c r="F5" t="s">
        <v>18</v>
      </c>
      <c r="G5" t="s">
        <v>384</v>
      </c>
      <c r="H5" t="s">
        <v>321</v>
      </c>
      <c r="I5">
        <v>23000000</v>
      </c>
      <c r="J5" t="s">
        <v>42</v>
      </c>
    </row>
    <row r="6" spans="1:76" hidden="1" x14ac:dyDescent="0.35">
      <c r="A6" t="s">
        <v>1685</v>
      </c>
      <c r="B6" t="s">
        <v>1676</v>
      </c>
      <c r="C6" t="s">
        <v>1688</v>
      </c>
      <c r="D6" t="s">
        <v>1612</v>
      </c>
      <c r="E6" s="82">
        <f t="shared" si="0"/>
        <v>0</v>
      </c>
      <c r="F6" t="s">
        <v>18</v>
      </c>
      <c r="G6" t="s">
        <v>1688</v>
      </c>
      <c r="H6" t="s">
        <v>321</v>
      </c>
      <c r="I6">
        <v>880000000</v>
      </c>
      <c r="J6" t="s">
        <v>42</v>
      </c>
    </row>
    <row r="7" spans="1:76" hidden="1" x14ac:dyDescent="0.35">
      <c r="A7" t="s">
        <v>152</v>
      </c>
      <c r="B7" t="s">
        <v>472</v>
      </c>
      <c r="C7" t="s">
        <v>361</v>
      </c>
      <c r="D7" t="s">
        <v>1613</v>
      </c>
      <c r="E7" s="82">
        <f t="shared" si="0"/>
        <v>0</v>
      </c>
      <c r="F7" t="s">
        <v>18</v>
      </c>
      <c r="G7" t="s">
        <v>361</v>
      </c>
      <c r="H7" t="s">
        <v>321</v>
      </c>
      <c r="I7">
        <v>1027000000</v>
      </c>
      <c r="J7" t="s">
        <v>42</v>
      </c>
    </row>
    <row r="8" spans="1:76" hidden="1" x14ac:dyDescent="0.35">
      <c r="A8" t="s">
        <v>184</v>
      </c>
      <c r="B8" t="s">
        <v>524</v>
      </c>
      <c r="C8" t="s">
        <v>418</v>
      </c>
      <c r="D8" t="s">
        <v>1613</v>
      </c>
      <c r="E8" s="82">
        <f t="shared" si="0"/>
        <v>0</v>
      </c>
      <c r="F8" t="s">
        <v>18</v>
      </c>
      <c r="G8" t="s">
        <v>418</v>
      </c>
      <c r="H8" t="s">
        <v>321</v>
      </c>
      <c r="I8">
        <v>192000000</v>
      </c>
      <c r="J8" t="s">
        <v>42</v>
      </c>
    </row>
    <row r="9" spans="1:76" hidden="1" x14ac:dyDescent="0.35">
      <c r="A9" t="s">
        <v>174</v>
      </c>
      <c r="B9" t="s">
        <v>500</v>
      </c>
      <c r="C9" t="s">
        <v>393</v>
      </c>
      <c r="D9" t="s">
        <v>1611</v>
      </c>
      <c r="E9" s="82">
        <f t="shared" si="0"/>
        <v>0</v>
      </c>
      <c r="F9" t="s">
        <v>18</v>
      </c>
      <c r="G9" t="s">
        <v>393</v>
      </c>
      <c r="H9" t="s">
        <v>321</v>
      </c>
      <c r="I9">
        <v>14000000</v>
      </c>
      <c r="J9" t="s">
        <v>42</v>
      </c>
    </row>
    <row r="10" spans="1:76" hidden="1" x14ac:dyDescent="0.35">
      <c r="A10" t="s">
        <v>149</v>
      </c>
      <c r="B10" t="s">
        <v>455</v>
      </c>
      <c r="C10" t="s">
        <v>343</v>
      </c>
      <c r="D10" t="s">
        <v>1612</v>
      </c>
      <c r="E10" s="82">
        <f t="shared" si="0"/>
        <v>0</v>
      </c>
      <c r="F10" t="s">
        <v>18</v>
      </c>
      <c r="G10" t="s">
        <v>343</v>
      </c>
      <c r="H10" t="s">
        <v>321</v>
      </c>
      <c r="I10">
        <v>57000000</v>
      </c>
      <c r="J10" t="s">
        <v>42</v>
      </c>
    </row>
    <row r="11" spans="1:76" hidden="1" x14ac:dyDescent="0.35">
      <c r="A11" t="s">
        <v>144</v>
      </c>
      <c r="B11" t="s">
        <v>437</v>
      </c>
      <c r="C11" t="s">
        <v>324</v>
      </c>
      <c r="D11" t="s">
        <v>1611</v>
      </c>
      <c r="E11" s="82">
        <f t="shared" si="0"/>
        <v>0</v>
      </c>
      <c r="F11" t="s">
        <v>18</v>
      </c>
      <c r="G11" t="s">
        <v>324</v>
      </c>
      <c r="H11" t="s">
        <v>321</v>
      </c>
      <c r="I11">
        <v>24000000</v>
      </c>
      <c r="J11" t="s">
        <v>42</v>
      </c>
    </row>
    <row r="12" spans="1:76" hidden="1" x14ac:dyDescent="0.35">
      <c r="A12" t="s">
        <v>183</v>
      </c>
      <c r="B12" t="s">
        <v>520</v>
      </c>
      <c r="C12" t="s">
        <v>414</v>
      </c>
      <c r="D12" t="s">
        <v>1613</v>
      </c>
      <c r="E12" s="82">
        <f t="shared" si="0"/>
        <v>0</v>
      </c>
      <c r="F12" t="s">
        <v>18</v>
      </c>
      <c r="G12" t="s">
        <v>414</v>
      </c>
      <c r="H12" t="s">
        <v>321</v>
      </c>
      <c r="I12">
        <v>175000000</v>
      </c>
      <c r="J12" t="s">
        <v>42</v>
      </c>
    </row>
    <row r="13" spans="1:76" hidden="1" x14ac:dyDescent="0.35">
      <c r="A13" t="s">
        <v>153</v>
      </c>
      <c r="B13" t="s">
        <v>590</v>
      </c>
      <c r="C13" t="s">
        <v>2858</v>
      </c>
      <c r="D13" t="s">
        <v>1612</v>
      </c>
      <c r="E13" s="82">
        <f t="shared" si="0"/>
        <v>0</v>
      </c>
      <c r="F13" t="s">
        <v>18</v>
      </c>
      <c r="G13" t="s">
        <v>2858</v>
      </c>
      <c r="H13" t="s">
        <v>321</v>
      </c>
      <c r="I13">
        <v>32000000</v>
      </c>
      <c r="J13" t="s">
        <v>42</v>
      </c>
    </row>
    <row r="14" spans="1:76" hidden="1" x14ac:dyDescent="0.35">
      <c r="A14" t="s">
        <v>162</v>
      </c>
      <c r="B14" t="s">
        <v>482</v>
      </c>
      <c r="C14" t="s">
        <v>372</v>
      </c>
      <c r="D14" t="s">
        <v>1613</v>
      </c>
      <c r="E14" s="82">
        <f t="shared" si="0"/>
        <v>0</v>
      </c>
      <c r="F14" t="s">
        <v>18</v>
      </c>
      <c r="G14" t="s">
        <v>372</v>
      </c>
      <c r="H14" t="s">
        <v>321</v>
      </c>
      <c r="I14">
        <v>557000000</v>
      </c>
      <c r="J14" t="s">
        <v>42</v>
      </c>
    </row>
    <row r="15" spans="1:76" hidden="1" x14ac:dyDescent="0.35">
      <c r="A15" t="s">
        <v>173</v>
      </c>
      <c r="B15" t="s">
        <v>495</v>
      </c>
      <c r="C15" t="s">
        <v>385</v>
      </c>
      <c r="D15" t="s">
        <v>1611</v>
      </c>
      <c r="E15" s="82">
        <f t="shared" si="0"/>
        <v>0</v>
      </c>
      <c r="F15" t="s">
        <v>18</v>
      </c>
      <c r="G15" t="s">
        <v>385</v>
      </c>
      <c r="H15" t="s">
        <v>321</v>
      </c>
      <c r="I15">
        <v>34000000</v>
      </c>
      <c r="J15" t="s">
        <v>42</v>
      </c>
    </row>
    <row r="16" spans="1:76" hidden="1" x14ac:dyDescent="0.35">
      <c r="A16" t="s">
        <v>147</v>
      </c>
      <c r="B16" t="s">
        <v>441</v>
      </c>
      <c r="C16" t="s">
        <v>329</v>
      </c>
      <c r="D16" t="s">
        <v>1612</v>
      </c>
      <c r="E16" s="82">
        <f t="shared" si="0"/>
        <v>0</v>
      </c>
      <c r="F16" t="s">
        <v>18</v>
      </c>
      <c r="G16" t="s">
        <v>329</v>
      </c>
      <c r="H16" t="s">
        <v>321</v>
      </c>
      <c r="I16">
        <v>50000000</v>
      </c>
      <c r="J16" t="s">
        <v>42</v>
      </c>
    </row>
    <row r="17" spans="1:10" hidden="1" x14ac:dyDescent="0.35">
      <c r="A17" t="s">
        <v>161</v>
      </c>
      <c r="B17" t="s">
        <v>481</v>
      </c>
      <c r="C17" t="s">
        <v>371</v>
      </c>
      <c r="D17" t="s">
        <v>1613</v>
      </c>
      <c r="E17" s="82">
        <f t="shared" si="0"/>
        <v>0</v>
      </c>
      <c r="F17" t="s">
        <v>18</v>
      </c>
      <c r="G17" t="s">
        <v>371</v>
      </c>
      <c r="H17" t="s">
        <v>321</v>
      </c>
      <c r="I17">
        <v>226000000</v>
      </c>
      <c r="J17" t="s">
        <v>42</v>
      </c>
    </row>
    <row r="18" spans="1:10" hidden="1" x14ac:dyDescent="0.35">
      <c r="A18" t="s">
        <v>167</v>
      </c>
      <c r="B18" t="s">
        <v>488</v>
      </c>
      <c r="C18" t="s">
        <v>378</v>
      </c>
      <c r="D18" t="s">
        <v>1611</v>
      </c>
      <c r="E18" s="82">
        <f t="shared" si="0"/>
        <v>0</v>
      </c>
      <c r="F18" t="s">
        <v>18</v>
      </c>
      <c r="G18" t="s">
        <v>378</v>
      </c>
      <c r="H18" t="s">
        <v>321</v>
      </c>
      <c r="I18">
        <v>23000000</v>
      </c>
      <c r="J18" t="s">
        <v>42</v>
      </c>
    </row>
    <row r="19" spans="1:10" hidden="1" x14ac:dyDescent="0.35">
      <c r="A19" t="s">
        <v>181</v>
      </c>
      <c r="B19" t="s">
        <v>516</v>
      </c>
      <c r="C19" t="s">
        <v>410</v>
      </c>
      <c r="D19" t="s">
        <v>1611</v>
      </c>
      <c r="E19" s="82">
        <f t="shared" si="0"/>
        <v>0</v>
      </c>
      <c r="F19" t="s">
        <v>18</v>
      </c>
      <c r="G19" t="s">
        <v>410</v>
      </c>
      <c r="H19" t="s">
        <v>321</v>
      </c>
      <c r="I19">
        <v>11000000</v>
      </c>
      <c r="J19" t="s">
        <v>42</v>
      </c>
    </row>
    <row r="20" spans="1:10" hidden="1" x14ac:dyDescent="0.35">
      <c r="A20" t="s">
        <v>181</v>
      </c>
      <c r="B20" t="s">
        <v>517</v>
      </c>
      <c r="C20" t="s">
        <v>411</v>
      </c>
      <c r="D20" t="s">
        <v>1612</v>
      </c>
      <c r="E20" s="82">
        <f t="shared" si="0"/>
        <v>0</v>
      </c>
      <c r="F20" t="s">
        <v>18</v>
      </c>
      <c r="G20" t="s">
        <v>411</v>
      </c>
      <c r="H20" t="s">
        <v>321</v>
      </c>
      <c r="I20">
        <v>43000000</v>
      </c>
      <c r="J20" t="s">
        <v>42</v>
      </c>
    </row>
    <row r="21" spans="1:10" hidden="1" x14ac:dyDescent="0.35">
      <c r="A21" t="s">
        <v>176</v>
      </c>
      <c r="B21" t="s">
        <v>505</v>
      </c>
      <c r="C21" t="s">
        <v>398</v>
      </c>
      <c r="D21" t="s">
        <v>1612</v>
      </c>
      <c r="E21" s="82">
        <f t="shared" si="0"/>
        <v>0</v>
      </c>
      <c r="F21" t="s">
        <v>18</v>
      </c>
      <c r="G21" t="s">
        <v>398</v>
      </c>
      <c r="H21" t="s">
        <v>321</v>
      </c>
      <c r="I21">
        <v>67000000</v>
      </c>
      <c r="J21" t="s">
        <v>42</v>
      </c>
    </row>
    <row r="22" spans="1:10" hidden="1" x14ac:dyDescent="0.35">
      <c r="A22" t="s">
        <v>174</v>
      </c>
      <c r="B22" t="s">
        <v>501</v>
      </c>
      <c r="C22" t="s">
        <v>394</v>
      </c>
      <c r="D22" t="s">
        <v>1613</v>
      </c>
      <c r="E22" s="82">
        <f t="shared" si="0"/>
        <v>0</v>
      </c>
      <c r="F22" t="s">
        <v>18</v>
      </c>
      <c r="G22" t="s">
        <v>394</v>
      </c>
      <c r="H22" t="s">
        <v>321</v>
      </c>
      <c r="I22">
        <v>474000000</v>
      </c>
      <c r="J22" t="s">
        <v>42</v>
      </c>
    </row>
    <row r="23" spans="1:10" hidden="1" x14ac:dyDescent="0.35">
      <c r="A23" t="s">
        <v>176</v>
      </c>
      <c r="B23" t="s">
        <v>506</v>
      </c>
      <c r="C23" t="s">
        <v>399</v>
      </c>
      <c r="D23" t="s">
        <v>1612</v>
      </c>
      <c r="E23" s="82">
        <f t="shared" si="0"/>
        <v>0</v>
      </c>
      <c r="F23" t="s">
        <v>18</v>
      </c>
      <c r="G23" t="s">
        <v>399</v>
      </c>
      <c r="H23" t="s">
        <v>321</v>
      </c>
      <c r="I23">
        <v>68000000</v>
      </c>
      <c r="J23" t="s">
        <v>42</v>
      </c>
    </row>
    <row r="24" spans="1:10" hidden="1" x14ac:dyDescent="0.35">
      <c r="A24" t="s">
        <v>148</v>
      </c>
      <c r="B24" t="s">
        <v>453</v>
      </c>
      <c r="C24" t="s">
        <v>341</v>
      </c>
      <c r="D24" t="s">
        <v>1611</v>
      </c>
      <c r="E24" s="82">
        <f t="shared" si="0"/>
        <v>0</v>
      </c>
      <c r="F24" t="s">
        <v>18</v>
      </c>
      <c r="G24" t="s">
        <v>341</v>
      </c>
      <c r="H24" t="s">
        <v>321</v>
      </c>
      <c r="I24">
        <v>14000000</v>
      </c>
      <c r="J24" t="s">
        <v>42</v>
      </c>
    </row>
    <row r="25" spans="1:10" hidden="1" x14ac:dyDescent="0.35">
      <c r="A25" t="s">
        <v>158</v>
      </c>
      <c r="B25" t="s">
        <v>478</v>
      </c>
      <c r="C25" t="s">
        <v>368</v>
      </c>
      <c r="D25" t="s">
        <v>1612</v>
      </c>
      <c r="E25" s="82">
        <f t="shared" si="0"/>
        <v>0</v>
      </c>
      <c r="F25" t="s">
        <v>18</v>
      </c>
      <c r="G25" t="s">
        <v>368</v>
      </c>
      <c r="H25" t="s">
        <v>321</v>
      </c>
      <c r="I25">
        <v>247000000</v>
      </c>
      <c r="J25" t="s">
        <v>42</v>
      </c>
    </row>
    <row r="26" spans="1:10" hidden="1" x14ac:dyDescent="0.35">
      <c r="A26" t="s">
        <v>184</v>
      </c>
      <c r="B26" t="s">
        <v>525</v>
      </c>
      <c r="C26" t="s">
        <v>419</v>
      </c>
      <c r="D26" t="s">
        <v>1612</v>
      </c>
      <c r="E26" s="82">
        <f t="shared" si="0"/>
        <v>0</v>
      </c>
      <c r="F26" t="s">
        <v>18</v>
      </c>
      <c r="G26" t="s">
        <v>419</v>
      </c>
      <c r="H26" t="s">
        <v>321</v>
      </c>
      <c r="I26">
        <v>111000000</v>
      </c>
      <c r="J26" t="s">
        <v>42</v>
      </c>
    </row>
    <row r="27" spans="1:10" hidden="1" x14ac:dyDescent="0.35">
      <c r="A27" t="s">
        <v>187</v>
      </c>
      <c r="B27" t="s">
        <v>188</v>
      </c>
      <c r="C27" t="s">
        <v>426</v>
      </c>
      <c r="D27" t="s">
        <v>1613</v>
      </c>
      <c r="E27" s="82">
        <f t="shared" si="0"/>
        <v>0</v>
      </c>
      <c r="F27" t="s">
        <v>18</v>
      </c>
      <c r="G27" t="s">
        <v>426</v>
      </c>
      <c r="H27" t="s">
        <v>321</v>
      </c>
      <c r="I27">
        <v>205000000</v>
      </c>
      <c r="J27" t="s">
        <v>42</v>
      </c>
    </row>
    <row r="28" spans="1:10" hidden="1" x14ac:dyDescent="0.35">
      <c r="A28" t="s">
        <v>148</v>
      </c>
      <c r="B28" t="s">
        <v>454</v>
      </c>
      <c r="C28" t="s">
        <v>342</v>
      </c>
      <c r="D28" t="s">
        <v>1613</v>
      </c>
      <c r="E28" s="82">
        <f t="shared" si="0"/>
        <v>0</v>
      </c>
      <c r="F28" t="s">
        <v>18</v>
      </c>
      <c r="G28" t="s">
        <v>342</v>
      </c>
      <c r="H28" t="s">
        <v>321</v>
      </c>
      <c r="I28">
        <v>599000000</v>
      </c>
      <c r="J28" t="s">
        <v>42</v>
      </c>
    </row>
    <row r="29" spans="1:10" hidden="1" x14ac:dyDescent="0.35">
      <c r="A29" t="s">
        <v>184</v>
      </c>
      <c r="B29" t="s">
        <v>526</v>
      </c>
      <c r="C29" t="s">
        <v>420</v>
      </c>
      <c r="D29" t="s">
        <v>1613</v>
      </c>
      <c r="E29" s="82">
        <f t="shared" si="0"/>
        <v>0</v>
      </c>
      <c r="F29" t="s">
        <v>18</v>
      </c>
      <c r="G29" t="s">
        <v>420</v>
      </c>
      <c r="H29" t="s">
        <v>321</v>
      </c>
      <c r="I29">
        <v>1026000000</v>
      </c>
      <c r="J29" t="s">
        <v>42</v>
      </c>
    </row>
    <row r="30" spans="1:10" hidden="1" x14ac:dyDescent="0.35">
      <c r="A30" t="s">
        <v>156</v>
      </c>
      <c r="B30" t="s">
        <v>476</v>
      </c>
      <c r="C30" t="s">
        <v>366</v>
      </c>
      <c r="D30" t="s">
        <v>1611</v>
      </c>
      <c r="E30" s="82">
        <f t="shared" si="0"/>
        <v>0</v>
      </c>
      <c r="F30" t="s">
        <v>18</v>
      </c>
      <c r="G30" t="s">
        <v>366</v>
      </c>
      <c r="H30" t="s">
        <v>321</v>
      </c>
      <c r="I30">
        <v>25000000</v>
      </c>
      <c r="J30" t="s">
        <v>42</v>
      </c>
    </row>
    <row r="31" spans="1:10" hidden="1" x14ac:dyDescent="0.35">
      <c r="A31" t="s">
        <v>163</v>
      </c>
      <c r="B31" t="s">
        <v>483</v>
      </c>
      <c r="C31" t="s">
        <v>373</v>
      </c>
      <c r="D31" t="s">
        <v>1613</v>
      </c>
      <c r="E31" s="82">
        <f t="shared" si="0"/>
        <v>0</v>
      </c>
      <c r="F31" t="s">
        <v>18</v>
      </c>
      <c r="G31" t="s">
        <v>373</v>
      </c>
      <c r="H31" t="s">
        <v>321</v>
      </c>
      <c r="I31">
        <v>315000000</v>
      </c>
      <c r="J31" t="s">
        <v>42</v>
      </c>
    </row>
    <row r="32" spans="1:10" hidden="1" x14ac:dyDescent="0.35">
      <c r="A32" t="s">
        <v>151</v>
      </c>
      <c r="B32" t="s">
        <v>457</v>
      </c>
      <c r="C32" t="s">
        <v>345</v>
      </c>
      <c r="D32" t="s">
        <v>1611</v>
      </c>
      <c r="E32" s="82">
        <f t="shared" si="0"/>
        <v>0</v>
      </c>
      <c r="F32" t="s">
        <v>18</v>
      </c>
      <c r="G32" t="s">
        <v>345</v>
      </c>
      <c r="H32" t="s">
        <v>321</v>
      </c>
      <c r="I32">
        <v>13000000</v>
      </c>
      <c r="J32" t="s">
        <v>42</v>
      </c>
    </row>
    <row r="33" spans="1:10" hidden="1" x14ac:dyDescent="0.35">
      <c r="A33" t="s">
        <v>184</v>
      </c>
      <c r="B33" t="s">
        <v>527</v>
      </c>
      <c r="C33" t="s">
        <v>421</v>
      </c>
      <c r="D33" t="s">
        <v>1611</v>
      </c>
      <c r="E33" s="82">
        <f t="shared" si="0"/>
        <v>0</v>
      </c>
      <c r="F33" t="s">
        <v>18</v>
      </c>
      <c r="G33" t="s">
        <v>421</v>
      </c>
      <c r="H33" t="s">
        <v>321</v>
      </c>
      <c r="I33">
        <v>21000000</v>
      </c>
      <c r="J33" t="s">
        <v>42</v>
      </c>
    </row>
    <row r="34" spans="1:10" hidden="1" x14ac:dyDescent="0.35">
      <c r="A34" t="s">
        <v>178</v>
      </c>
      <c r="B34" t="s">
        <v>509</v>
      </c>
      <c r="C34" t="s">
        <v>403</v>
      </c>
      <c r="D34" t="s">
        <v>1611</v>
      </c>
      <c r="E34" s="82">
        <f t="shared" ref="E34:E65" si="1">SIGN(SUBTOTAL(3,F34))</f>
        <v>0</v>
      </c>
      <c r="F34" t="s">
        <v>18</v>
      </c>
      <c r="G34" t="s">
        <v>403</v>
      </c>
      <c r="H34" t="s">
        <v>321</v>
      </c>
      <c r="I34">
        <v>9000000</v>
      </c>
      <c r="J34" t="s">
        <v>42</v>
      </c>
    </row>
    <row r="35" spans="1:10" hidden="1" x14ac:dyDescent="0.35">
      <c r="A35" t="s">
        <v>171</v>
      </c>
      <c r="B35" t="s">
        <v>492</v>
      </c>
      <c r="C35" t="s">
        <v>382</v>
      </c>
      <c r="D35" t="s">
        <v>1613</v>
      </c>
      <c r="E35" s="82">
        <f t="shared" si="1"/>
        <v>0</v>
      </c>
      <c r="F35" t="s">
        <v>18</v>
      </c>
      <c r="G35" t="s">
        <v>382</v>
      </c>
      <c r="H35" t="s">
        <v>321</v>
      </c>
      <c r="I35">
        <v>775000000</v>
      </c>
      <c r="J35" t="s">
        <v>42</v>
      </c>
    </row>
    <row r="36" spans="1:10" hidden="1" x14ac:dyDescent="0.35">
      <c r="A36" t="s">
        <v>151</v>
      </c>
      <c r="B36" t="s">
        <v>458</v>
      </c>
      <c r="C36" t="s">
        <v>346</v>
      </c>
      <c r="D36" t="s">
        <v>1613</v>
      </c>
      <c r="E36" s="82">
        <f t="shared" si="1"/>
        <v>0</v>
      </c>
      <c r="F36" t="s">
        <v>18</v>
      </c>
      <c r="G36" t="s">
        <v>346</v>
      </c>
      <c r="H36" t="s">
        <v>321</v>
      </c>
      <c r="I36">
        <v>270000000</v>
      </c>
      <c r="J36" t="s">
        <v>42</v>
      </c>
    </row>
    <row r="37" spans="1:10" hidden="1" x14ac:dyDescent="0.35">
      <c r="A37" t="s">
        <v>188</v>
      </c>
      <c r="B37" t="s">
        <v>532</v>
      </c>
      <c r="C37" t="s">
        <v>429</v>
      </c>
      <c r="D37" t="s">
        <v>1611</v>
      </c>
      <c r="E37" s="82">
        <f t="shared" si="1"/>
        <v>0</v>
      </c>
      <c r="F37" t="s">
        <v>18</v>
      </c>
      <c r="G37" t="s">
        <v>429</v>
      </c>
      <c r="H37" t="s">
        <v>321</v>
      </c>
      <c r="I37">
        <v>27000000</v>
      </c>
      <c r="J37" t="s">
        <v>42</v>
      </c>
    </row>
    <row r="38" spans="1:10" hidden="1" x14ac:dyDescent="0.35">
      <c r="A38" t="s">
        <v>175</v>
      </c>
      <c r="B38" t="s">
        <v>504</v>
      </c>
      <c r="C38" t="s">
        <v>397</v>
      </c>
      <c r="D38" t="s">
        <v>1619</v>
      </c>
      <c r="E38" s="82">
        <f t="shared" si="1"/>
        <v>0</v>
      </c>
      <c r="F38" t="s">
        <v>18</v>
      </c>
      <c r="G38" t="s">
        <v>397</v>
      </c>
      <c r="H38" t="s">
        <v>321</v>
      </c>
      <c r="I38">
        <v>1000000</v>
      </c>
      <c r="J38" t="s">
        <v>42</v>
      </c>
    </row>
    <row r="39" spans="1:10" hidden="1" x14ac:dyDescent="0.35">
      <c r="A39" t="s">
        <v>163</v>
      </c>
      <c r="B39" t="s">
        <v>484</v>
      </c>
      <c r="C39" t="s">
        <v>374</v>
      </c>
      <c r="D39" t="s">
        <v>1611</v>
      </c>
      <c r="E39" s="82">
        <f t="shared" si="1"/>
        <v>0</v>
      </c>
      <c r="F39" t="s">
        <v>18</v>
      </c>
      <c r="G39" t="s">
        <v>374</v>
      </c>
      <c r="H39" t="s">
        <v>321</v>
      </c>
      <c r="I39">
        <v>29000000</v>
      </c>
      <c r="J39" t="s">
        <v>42</v>
      </c>
    </row>
    <row r="40" spans="1:10" hidden="1" x14ac:dyDescent="0.35">
      <c r="A40" t="s">
        <v>174</v>
      </c>
      <c r="B40" t="s">
        <v>502</v>
      </c>
      <c r="C40" t="s">
        <v>395</v>
      </c>
      <c r="D40" t="s">
        <v>1611</v>
      </c>
      <c r="E40" s="82">
        <f t="shared" si="1"/>
        <v>0</v>
      </c>
      <c r="F40" t="s">
        <v>18</v>
      </c>
      <c r="G40" t="s">
        <v>395</v>
      </c>
      <c r="H40" t="s">
        <v>321</v>
      </c>
      <c r="I40">
        <v>3000000</v>
      </c>
      <c r="J40" t="s">
        <v>42</v>
      </c>
    </row>
    <row r="41" spans="1:10" hidden="1" x14ac:dyDescent="0.35">
      <c r="A41" t="s">
        <v>181</v>
      </c>
      <c r="B41" t="s">
        <v>518</v>
      </c>
      <c r="C41" t="s">
        <v>412</v>
      </c>
      <c r="D41" t="s">
        <v>1611</v>
      </c>
      <c r="E41" s="82">
        <f t="shared" si="1"/>
        <v>0</v>
      </c>
      <c r="F41" t="s">
        <v>18</v>
      </c>
      <c r="G41" t="s">
        <v>412</v>
      </c>
      <c r="H41" t="s">
        <v>321</v>
      </c>
      <c r="I41">
        <v>25000000</v>
      </c>
      <c r="J41" t="s">
        <v>42</v>
      </c>
    </row>
    <row r="42" spans="1:10" hidden="1" x14ac:dyDescent="0.35">
      <c r="A42" t="s">
        <v>1686</v>
      </c>
      <c r="B42" t="s">
        <v>1679</v>
      </c>
      <c r="C42" t="s">
        <v>1690</v>
      </c>
      <c r="D42" t="s">
        <v>1613</v>
      </c>
      <c r="E42" s="82">
        <f t="shared" si="1"/>
        <v>0</v>
      </c>
      <c r="F42" t="s">
        <v>18</v>
      </c>
      <c r="G42" t="s">
        <v>1690</v>
      </c>
      <c r="H42" t="s">
        <v>321</v>
      </c>
      <c r="I42">
        <v>493000000</v>
      </c>
      <c r="J42" t="s">
        <v>42</v>
      </c>
    </row>
    <row r="43" spans="1:10" hidden="1" x14ac:dyDescent="0.35">
      <c r="A43" t="s">
        <v>184</v>
      </c>
      <c r="B43" t="s">
        <v>528</v>
      </c>
      <c r="C43" t="s">
        <v>422</v>
      </c>
      <c r="D43" t="s">
        <v>1612</v>
      </c>
      <c r="E43" s="82">
        <f t="shared" si="1"/>
        <v>0</v>
      </c>
      <c r="F43" t="s">
        <v>18</v>
      </c>
      <c r="G43" t="s">
        <v>422</v>
      </c>
      <c r="H43" t="s">
        <v>321</v>
      </c>
      <c r="I43">
        <v>99000000</v>
      </c>
      <c r="J43" t="s">
        <v>42</v>
      </c>
    </row>
    <row r="44" spans="1:10" hidden="1" x14ac:dyDescent="0.35">
      <c r="A44" t="s">
        <v>173</v>
      </c>
      <c r="B44" t="s">
        <v>496</v>
      </c>
      <c r="C44" t="s">
        <v>386</v>
      </c>
      <c r="D44" t="s">
        <v>1611</v>
      </c>
      <c r="E44" s="82">
        <f t="shared" si="1"/>
        <v>0</v>
      </c>
      <c r="F44" t="s">
        <v>18</v>
      </c>
      <c r="G44" t="s">
        <v>386</v>
      </c>
      <c r="H44" t="s">
        <v>321</v>
      </c>
      <c r="I44">
        <v>49000000</v>
      </c>
      <c r="J44" t="s">
        <v>42</v>
      </c>
    </row>
    <row r="45" spans="1:10" hidden="1" x14ac:dyDescent="0.35">
      <c r="A45" t="s">
        <v>144</v>
      </c>
      <c r="B45" t="s">
        <v>438</v>
      </c>
      <c r="C45" t="s">
        <v>325</v>
      </c>
      <c r="D45" t="s">
        <v>1611</v>
      </c>
      <c r="E45" s="82">
        <f t="shared" si="1"/>
        <v>0</v>
      </c>
      <c r="F45" t="s">
        <v>18</v>
      </c>
      <c r="G45" t="s">
        <v>325</v>
      </c>
      <c r="H45" t="s">
        <v>321</v>
      </c>
      <c r="I45">
        <v>16000000</v>
      </c>
      <c r="J45" t="s">
        <v>42</v>
      </c>
    </row>
    <row r="46" spans="1:10" hidden="1" x14ac:dyDescent="0.35">
      <c r="A46" t="s">
        <v>149</v>
      </c>
      <c r="B46" t="s">
        <v>456</v>
      </c>
      <c r="C46" t="s">
        <v>344</v>
      </c>
      <c r="D46" t="s">
        <v>1611</v>
      </c>
      <c r="E46" s="82">
        <f t="shared" si="1"/>
        <v>0</v>
      </c>
      <c r="F46" t="s">
        <v>18</v>
      </c>
      <c r="G46" t="s">
        <v>344</v>
      </c>
      <c r="H46" t="s">
        <v>321</v>
      </c>
      <c r="I46">
        <v>11000000</v>
      </c>
      <c r="J46" t="s">
        <v>42</v>
      </c>
    </row>
    <row r="47" spans="1:10" hidden="1" x14ac:dyDescent="0.35">
      <c r="A47" t="s">
        <v>187</v>
      </c>
      <c r="B47" t="s">
        <v>188</v>
      </c>
      <c r="C47" t="s">
        <v>427</v>
      </c>
      <c r="D47" t="s">
        <v>1613</v>
      </c>
      <c r="E47" s="82">
        <f t="shared" si="1"/>
        <v>0</v>
      </c>
      <c r="F47" t="s">
        <v>18</v>
      </c>
      <c r="G47" t="s">
        <v>427</v>
      </c>
      <c r="H47" t="s">
        <v>321</v>
      </c>
      <c r="I47">
        <v>550000000</v>
      </c>
      <c r="J47" t="s">
        <v>42</v>
      </c>
    </row>
    <row r="48" spans="1:10" hidden="1" x14ac:dyDescent="0.35">
      <c r="A48" t="s">
        <v>184</v>
      </c>
      <c r="B48" t="s">
        <v>528</v>
      </c>
      <c r="C48" t="s">
        <v>423</v>
      </c>
      <c r="D48" t="s">
        <v>1613</v>
      </c>
      <c r="E48" s="82">
        <f t="shared" si="1"/>
        <v>0</v>
      </c>
      <c r="F48" t="s">
        <v>18</v>
      </c>
      <c r="G48" t="s">
        <v>423</v>
      </c>
      <c r="H48" t="s">
        <v>321</v>
      </c>
      <c r="I48">
        <v>634000000</v>
      </c>
      <c r="J48" t="s">
        <v>42</v>
      </c>
    </row>
    <row r="49" spans="1:10" hidden="1" x14ac:dyDescent="0.35">
      <c r="A49" t="s">
        <v>157</v>
      </c>
      <c r="B49" t="s">
        <v>477</v>
      </c>
      <c r="C49" t="s">
        <v>367</v>
      </c>
      <c r="D49" t="s">
        <v>1611</v>
      </c>
      <c r="E49" s="82">
        <f t="shared" si="1"/>
        <v>0</v>
      </c>
      <c r="F49" t="s">
        <v>18</v>
      </c>
      <c r="G49" t="s">
        <v>367</v>
      </c>
      <c r="H49" t="s">
        <v>321</v>
      </c>
      <c r="I49">
        <v>16000000</v>
      </c>
      <c r="J49" t="s">
        <v>42</v>
      </c>
    </row>
    <row r="50" spans="1:10" hidden="1" x14ac:dyDescent="0.35">
      <c r="A50" t="s">
        <v>155</v>
      </c>
      <c r="B50" t="s">
        <v>475</v>
      </c>
      <c r="C50" t="s">
        <v>365</v>
      </c>
      <c r="D50" t="s">
        <v>1612</v>
      </c>
      <c r="E50" s="82">
        <f t="shared" si="1"/>
        <v>0</v>
      </c>
      <c r="F50" t="s">
        <v>18</v>
      </c>
      <c r="G50" t="s">
        <v>365</v>
      </c>
      <c r="H50" t="s">
        <v>321</v>
      </c>
      <c r="I50">
        <v>140000000</v>
      </c>
      <c r="J50" t="s">
        <v>42</v>
      </c>
    </row>
    <row r="51" spans="1:10" hidden="1" x14ac:dyDescent="0.35">
      <c r="A51" t="s">
        <v>173</v>
      </c>
      <c r="B51" t="s">
        <v>173</v>
      </c>
      <c r="C51" t="s">
        <v>387</v>
      </c>
      <c r="D51" t="s">
        <v>1611</v>
      </c>
      <c r="E51" s="82">
        <f t="shared" si="1"/>
        <v>0</v>
      </c>
      <c r="F51" t="s">
        <v>18</v>
      </c>
      <c r="G51" t="s">
        <v>387</v>
      </c>
      <c r="H51" t="s">
        <v>321</v>
      </c>
      <c r="I51">
        <v>10000000</v>
      </c>
      <c r="J51" t="s">
        <v>42</v>
      </c>
    </row>
    <row r="52" spans="1:10" hidden="1" x14ac:dyDescent="0.35">
      <c r="A52" t="s">
        <v>1686</v>
      </c>
      <c r="B52" t="s">
        <v>1680</v>
      </c>
      <c r="C52" t="s">
        <v>1691</v>
      </c>
      <c r="D52" t="s">
        <v>1611</v>
      </c>
      <c r="E52" s="82">
        <f t="shared" si="1"/>
        <v>0</v>
      </c>
      <c r="F52" t="s">
        <v>18</v>
      </c>
      <c r="G52" t="s">
        <v>1691</v>
      </c>
      <c r="H52" t="s">
        <v>321</v>
      </c>
      <c r="I52">
        <v>3000000</v>
      </c>
      <c r="J52" t="s">
        <v>42</v>
      </c>
    </row>
    <row r="53" spans="1:10" hidden="1" x14ac:dyDescent="0.35">
      <c r="A53" t="s">
        <v>191</v>
      </c>
      <c r="B53" t="s">
        <v>711</v>
      </c>
      <c r="C53" t="s">
        <v>2859</v>
      </c>
      <c r="D53" t="s">
        <v>1611</v>
      </c>
      <c r="E53" s="82">
        <f t="shared" si="1"/>
        <v>0</v>
      </c>
      <c r="F53" t="s">
        <v>18</v>
      </c>
      <c r="G53" t="s">
        <v>2859</v>
      </c>
      <c r="H53" t="s">
        <v>321</v>
      </c>
      <c r="I53">
        <v>10000000</v>
      </c>
      <c r="J53" t="s">
        <v>42</v>
      </c>
    </row>
    <row r="54" spans="1:10" hidden="1" x14ac:dyDescent="0.35">
      <c r="A54" t="s">
        <v>165</v>
      </c>
      <c r="B54" t="s">
        <v>711</v>
      </c>
      <c r="C54" t="s">
        <v>2860</v>
      </c>
      <c r="D54" t="s">
        <v>1611</v>
      </c>
      <c r="E54" s="82">
        <f t="shared" si="1"/>
        <v>0</v>
      </c>
      <c r="F54" t="s">
        <v>18</v>
      </c>
      <c r="G54" t="s">
        <v>2860</v>
      </c>
      <c r="H54" t="s">
        <v>321</v>
      </c>
      <c r="I54">
        <v>2000000</v>
      </c>
      <c r="J54" t="s">
        <v>42</v>
      </c>
    </row>
    <row r="55" spans="1:10" hidden="1" x14ac:dyDescent="0.35">
      <c r="A55" t="s">
        <v>151</v>
      </c>
      <c r="B55" t="s">
        <v>459</v>
      </c>
      <c r="C55" t="s">
        <v>347</v>
      </c>
      <c r="D55" t="s">
        <v>1612</v>
      </c>
      <c r="E55" s="82">
        <f t="shared" si="1"/>
        <v>0</v>
      </c>
      <c r="F55" t="s">
        <v>18</v>
      </c>
      <c r="G55" t="s">
        <v>347</v>
      </c>
      <c r="H55" t="s">
        <v>321</v>
      </c>
      <c r="I55">
        <v>48000000</v>
      </c>
      <c r="J55" t="s">
        <v>42</v>
      </c>
    </row>
    <row r="56" spans="1:10" hidden="1" x14ac:dyDescent="0.35">
      <c r="A56" t="s">
        <v>173</v>
      </c>
      <c r="B56" t="s">
        <v>173</v>
      </c>
      <c r="C56" t="s">
        <v>388</v>
      </c>
      <c r="D56" t="s">
        <v>1613</v>
      </c>
      <c r="E56" s="82">
        <f t="shared" si="1"/>
        <v>0</v>
      </c>
      <c r="F56" t="s">
        <v>18</v>
      </c>
      <c r="G56" t="s">
        <v>388</v>
      </c>
      <c r="H56" t="s">
        <v>321</v>
      </c>
      <c r="I56">
        <v>1593000000</v>
      </c>
      <c r="J56" t="s">
        <v>42</v>
      </c>
    </row>
    <row r="57" spans="1:10" hidden="1" x14ac:dyDescent="0.35">
      <c r="A57" t="s">
        <v>1685</v>
      </c>
      <c r="B57" t="s">
        <v>1677</v>
      </c>
      <c r="C57" t="s">
        <v>1689</v>
      </c>
      <c r="D57" t="s">
        <v>1619</v>
      </c>
      <c r="E57" s="82">
        <f t="shared" si="1"/>
        <v>0</v>
      </c>
      <c r="F57" t="s">
        <v>18</v>
      </c>
      <c r="G57" t="s">
        <v>1689</v>
      </c>
      <c r="H57" t="s">
        <v>321</v>
      </c>
      <c r="I57">
        <v>4000000</v>
      </c>
      <c r="J57" t="s">
        <v>42</v>
      </c>
    </row>
    <row r="58" spans="1:10" hidden="1" x14ac:dyDescent="0.35">
      <c r="A58" t="s">
        <v>1686</v>
      </c>
      <c r="B58" t="s">
        <v>1681</v>
      </c>
      <c r="C58" t="s">
        <v>1692</v>
      </c>
      <c r="D58" t="s">
        <v>1611</v>
      </c>
      <c r="E58" s="82">
        <f t="shared" si="1"/>
        <v>0</v>
      </c>
      <c r="F58" t="s">
        <v>18</v>
      </c>
      <c r="G58" t="s">
        <v>1692</v>
      </c>
      <c r="H58" t="s">
        <v>321</v>
      </c>
      <c r="I58">
        <v>43000000</v>
      </c>
      <c r="J58" t="s">
        <v>42</v>
      </c>
    </row>
    <row r="59" spans="1:10" hidden="1" x14ac:dyDescent="0.35">
      <c r="A59" t="s">
        <v>169</v>
      </c>
      <c r="B59" t="s">
        <v>490</v>
      </c>
      <c r="C59" t="s">
        <v>380</v>
      </c>
      <c r="D59" t="s">
        <v>1613</v>
      </c>
      <c r="E59" s="82">
        <f t="shared" si="1"/>
        <v>0</v>
      </c>
      <c r="F59" t="s">
        <v>18</v>
      </c>
      <c r="G59" t="s">
        <v>380</v>
      </c>
      <c r="H59" t="s">
        <v>321</v>
      </c>
      <c r="I59">
        <v>469000000</v>
      </c>
      <c r="J59" t="s">
        <v>42</v>
      </c>
    </row>
    <row r="60" spans="1:10" hidden="1" x14ac:dyDescent="0.35">
      <c r="A60" t="s">
        <v>147</v>
      </c>
      <c r="B60" t="s">
        <v>442</v>
      </c>
      <c r="C60" t="s">
        <v>330</v>
      </c>
      <c r="D60" t="s">
        <v>1613</v>
      </c>
      <c r="E60" s="82">
        <f t="shared" si="1"/>
        <v>0</v>
      </c>
      <c r="F60" t="s">
        <v>18</v>
      </c>
      <c r="G60" t="s">
        <v>330</v>
      </c>
      <c r="H60" t="s">
        <v>321</v>
      </c>
      <c r="I60">
        <v>1726000000</v>
      </c>
      <c r="J60" t="s">
        <v>42</v>
      </c>
    </row>
    <row r="61" spans="1:10" hidden="1" x14ac:dyDescent="0.35">
      <c r="A61" t="s">
        <v>176</v>
      </c>
      <c r="B61" t="s">
        <v>506</v>
      </c>
      <c r="C61" t="s">
        <v>400</v>
      </c>
      <c r="D61" t="s">
        <v>1619</v>
      </c>
      <c r="E61" s="82">
        <f t="shared" si="1"/>
        <v>0</v>
      </c>
      <c r="F61" t="s">
        <v>18</v>
      </c>
      <c r="G61" t="s">
        <v>400</v>
      </c>
      <c r="H61" t="s">
        <v>321</v>
      </c>
      <c r="I61">
        <v>7000000</v>
      </c>
      <c r="J61" t="s">
        <v>42</v>
      </c>
    </row>
    <row r="62" spans="1:10" hidden="1" x14ac:dyDescent="0.35">
      <c r="A62" t="s">
        <v>173</v>
      </c>
      <c r="B62" t="s">
        <v>173</v>
      </c>
      <c r="C62" t="s">
        <v>389</v>
      </c>
      <c r="D62" t="s">
        <v>1613</v>
      </c>
      <c r="E62" s="82">
        <f t="shared" si="1"/>
        <v>0</v>
      </c>
      <c r="F62" t="s">
        <v>18</v>
      </c>
      <c r="G62" t="s">
        <v>389</v>
      </c>
      <c r="H62" t="s">
        <v>321</v>
      </c>
      <c r="I62">
        <v>261000000</v>
      </c>
      <c r="J62" t="s">
        <v>42</v>
      </c>
    </row>
    <row r="63" spans="1:10" hidden="1" x14ac:dyDescent="0.35">
      <c r="A63" t="s">
        <v>147</v>
      </c>
      <c r="B63" t="s">
        <v>443</v>
      </c>
      <c r="C63" t="s">
        <v>331</v>
      </c>
      <c r="D63" t="s">
        <v>1611</v>
      </c>
      <c r="E63" s="82">
        <f t="shared" si="1"/>
        <v>0</v>
      </c>
      <c r="F63" t="s">
        <v>18</v>
      </c>
      <c r="G63" t="s">
        <v>331</v>
      </c>
      <c r="H63" t="s">
        <v>321</v>
      </c>
      <c r="I63">
        <v>25000000</v>
      </c>
      <c r="J63" t="s">
        <v>42</v>
      </c>
    </row>
    <row r="64" spans="1:10" hidden="1" x14ac:dyDescent="0.35">
      <c r="A64" t="s">
        <v>1686</v>
      </c>
      <c r="B64" t="s">
        <v>1682</v>
      </c>
      <c r="C64" t="s">
        <v>1693</v>
      </c>
      <c r="D64" t="s">
        <v>1611</v>
      </c>
      <c r="E64" s="82">
        <f t="shared" si="1"/>
        <v>0</v>
      </c>
      <c r="F64" t="s">
        <v>18</v>
      </c>
      <c r="G64" t="s">
        <v>1693</v>
      </c>
      <c r="H64" t="s">
        <v>321</v>
      </c>
      <c r="I64">
        <v>33000000</v>
      </c>
      <c r="J64" t="s">
        <v>42</v>
      </c>
    </row>
    <row r="65" spans="1:10" hidden="1" x14ac:dyDescent="0.35">
      <c r="A65" t="s">
        <v>146</v>
      </c>
      <c r="B65" t="s">
        <v>582</v>
      </c>
      <c r="C65" t="s">
        <v>2861</v>
      </c>
      <c r="D65" t="s">
        <v>1611</v>
      </c>
      <c r="E65" s="82">
        <f t="shared" si="1"/>
        <v>0</v>
      </c>
      <c r="F65" t="s">
        <v>18</v>
      </c>
      <c r="G65" t="s">
        <v>2861</v>
      </c>
      <c r="H65" t="s">
        <v>321</v>
      </c>
      <c r="I65">
        <v>4000000</v>
      </c>
      <c r="J65" t="s">
        <v>42</v>
      </c>
    </row>
    <row r="66" spans="1:10" hidden="1" x14ac:dyDescent="0.35">
      <c r="A66" t="s">
        <v>166</v>
      </c>
      <c r="B66" t="s">
        <v>486</v>
      </c>
      <c r="C66" t="s">
        <v>376</v>
      </c>
      <c r="D66" t="s">
        <v>1612</v>
      </c>
      <c r="E66" s="82">
        <f t="shared" ref="E66:E97" si="2">SIGN(SUBTOTAL(3,F66))</f>
        <v>0</v>
      </c>
      <c r="F66" t="s">
        <v>18</v>
      </c>
      <c r="G66" t="s">
        <v>376</v>
      </c>
      <c r="H66" t="s">
        <v>321</v>
      </c>
      <c r="I66">
        <v>86000000</v>
      </c>
      <c r="J66" t="s">
        <v>42</v>
      </c>
    </row>
    <row r="67" spans="1:10" hidden="1" x14ac:dyDescent="0.35">
      <c r="A67" t="s">
        <v>151</v>
      </c>
      <c r="B67" t="s">
        <v>460</v>
      </c>
      <c r="C67" t="s">
        <v>348</v>
      </c>
      <c r="D67" t="s">
        <v>1613</v>
      </c>
      <c r="E67" s="82">
        <f t="shared" si="2"/>
        <v>0</v>
      </c>
      <c r="F67" t="s">
        <v>18</v>
      </c>
      <c r="G67" t="s">
        <v>348</v>
      </c>
      <c r="H67" t="s">
        <v>321</v>
      </c>
      <c r="I67">
        <v>488000000</v>
      </c>
      <c r="J67" t="s">
        <v>42</v>
      </c>
    </row>
    <row r="68" spans="1:10" hidden="1" x14ac:dyDescent="0.35">
      <c r="A68" t="s">
        <v>179</v>
      </c>
      <c r="B68" t="s">
        <v>512</v>
      </c>
      <c r="C68" t="s">
        <v>406</v>
      </c>
      <c r="D68" t="s">
        <v>1611</v>
      </c>
      <c r="E68" s="82">
        <f t="shared" si="2"/>
        <v>0</v>
      </c>
      <c r="F68" t="s">
        <v>18</v>
      </c>
      <c r="G68" t="s">
        <v>406</v>
      </c>
      <c r="H68" t="s">
        <v>321</v>
      </c>
      <c r="I68">
        <v>12000000</v>
      </c>
      <c r="J68" t="s">
        <v>42</v>
      </c>
    </row>
    <row r="69" spans="1:10" hidden="1" x14ac:dyDescent="0.35">
      <c r="A69" t="s">
        <v>154</v>
      </c>
      <c r="B69" t="s">
        <v>474</v>
      </c>
      <c r="C69" t="s">
        <v>363</v>
      </c>
      <c r="D69" t="s">
        <v>1613</v>
      </c>
      <c r="E69" s="82">
        <f t="shared" si="2"/>
        <v>0</v>
      </c>
      <c r="F69" t="s">
        <v>18</v>
      </c>
      <c r="G69" t="s">
        <v>363</v>
      </c>
      <c r="H69" t="s">
        <v>321</v>
      </c>
      <c r="I69">
        <v>123000000</v>
      </c>
      <c r="J69" t="s">
        <v>42</v>
      </c>
    </row>
    <row r="70" spans="1:10" hidden="1" x14ac:dyDescent="0.35">
      <c r="A70" t="s">
        <v>183</v>
      </c>
      <c r="B70" t="s">
        <v>521</v>
      </c>
      <c r="C70" t="s">
        <v>415</v>
      </c>
      <c r="D70" t="s">
        <v>1612</v>
      </c>
      <c r="E70" s="82">
        <f t="shared" si="2"/>
        <v>0</v>
      </c>
      <c r="F70" t="s">
        <v>18</v>
      </c>
      <c r="G70" t="s">
        <v>415</v>
      </c>
      <c r="H70" t="s">
        <v>321</v>
      </c>
      <c r="I70">
        <v>336000000</v>
      </c>
      <c r="J70" t="s">
        <v>42</v>
      </c>
    </row>
    <row r="71" spans="1:10" hidden="1" x14ac:dyDescent="0.35">
      <c r="A71" t="s">
        <v>170</v>
      </c>
      <c r="B71" t="s">
        <v>2862</v>
      </c>
      <c r="C71" t="s">
        <v>2863</v>
      </c>
      <c r="D71" t="s">
        <v>1611</v>
      </c>
      <c r="E71" s="82">
        <f t="shared" si="2"/>
        <v>0</v>
      </c>
      <c r="F71" t="s">
        <v>18</v>
      </c>
      <c r="G71" t="s">
        <v>2863</v>
      </c>
      <c r="H71" t="s">
        <v>321</v>
      </c>
      <c r="I71">
        <v>15000000</v>
      </c>
      <c r="J71" t="s">
        <v>42</v>
      </c>
    </row>
    <row r="72" spans="1:10" hidden="1" x14ac:dyDescent="0.35">
      <c r="A72" t="s">
        <v>151</v>
      </c>
      <c r="B72" t="s">
        <v>461</v>
      </c>
      <c r="C72" t="s">
        <v>349</v>
      </c>
      <c r="D72" t="s">
        <v>1613</v>
      </c>
      <c r="E72" s="82">
        <f t="shared" si="2"/>
        <v>0</v>
      </c>
      <c r="F72" t="s">
        <v>18</v>
      </c>
      <c r="G72" t="s">
        <v>349</v>
      </c>
      <c r="H72" t="s">
        <v>321</v>
      </c>
      <c r="I72">
        <v>1039000000</v>
      </c>
      <c r="J72" t="s">
        <v>42</v>
      </c>
    </row>
    <row r="73" spans="1:10" hidden="1" x14ac:dyDescent="0.35">
      <c r="A73" t="s">
        <v>190</v>
      </c>
      <c r="B73" t="s">
        <v>535</v>
      </c>
      <c r="C73" t="s">
        <v>432</v>
      </c>
      <c r="D73" t="s">
        <v>1612</v>
      </c>
      <c r="E73" s="82">
        <f t="shared" si="2"/>
        <v>0</v>
      </c>
      <c r="F73" t="s">
        <v>18</v>
      </c>
      <c r="G73" t="s">
        <v>432</v>
      </c>
      <c r="H73" t="s">
        <v>321</v>
      </c>
      <c r="I73">
        <v>49000000</v>
      </c>
      <c r="J73" t="s">
        <v>42</v>
      </c>
    </row>
    <row r="74" spans="1:10" hidden="1" x14ac:dyDescent="0.35">
      <c r="A74" t="s">
        <v>151</v>
      </c>
      <c r="B74" t="s">
        <v>462</v>
      </c>
      <c r="C74" t="s">
        <v>350</v>
      </c>
      <c r="D74" t="s">
        <v>1619</v>
      </c>
      <c r="E74" s="82">
        <f t="shared" si="2"/>
        <v>0</v>
      </c>
      <c r="F74" t="s">
        <v>18</v>
      </c>
      <c r="G74" t="s">
        <v>350</v>
      </c>
      <c r="H74" t="s">
        <v>321</v>
      </c>
      <c r="I74">
        <v>6000000</v>
      </c>
      <c r="J74" t="s">
        <v>42</v>
      </c>
    </row>
    <row r="75" spans="1:10" hidden="1" x14ac:dyDescent="0.35">
      <c r="A75" t="s">
        <v>190</v>
      </c>
      <c r="B75" t="s">
        <v>536</v>
      </c>
      <c r="C75" t="s">
        <v>433</v>
      </c>
      <c r="D75" t="s">
        <v>1611</v>
      </c>
      <c r="E75" s="82">
        <f t="shared" si="2"/>
        <v>0</v>
      </c>
      <c r="F75" t="s">
        <v>18</v>
      </c>
      <c r="G75" t="s">
        <v>433</v>
      </c>
      <c r="H75" t="s">
        <v>321</v>
      </c>
      <c r="I75">
        <v>14000000</v>
      </c>
      <c r="J75" t="s">
        <v>42</v>
      </c>
    </row>
    <row r="76" spans="1:10" hidden="1" x14ac:dyDescent="0.35">
      <c r="A76" t="s">
        <v>164</v>
      </c>
      <c r="B76" t="s">
        <v>485</v>
      </c>
      <c r="C76" t="s">
        <v>375</v>
      </c>
      <c r="D76" t="s">
        <v>1613</v>
      </c>
      <c r="E76" s="82">
        <f t="shared" si="2"/>
        <v>0</v>
      </c>
      <c r="F76" t="s">
        <v>18</v>
      </c>
      <c r="G76" t="s">
        <v>375</v>
      </c>
      <c r="H76" t="s">
        <v>321</v>
      </c>
      <c r="I76">
        <v>350000000</v>
      </c>
      <c r="J76" t="s">
        <v>42</v>
      </c>
    </row>
    <row r="77" spans="1:10" hidden="1" x14ac:dyDescent="0.35">
      <c r="A77" t="s">
        <v>159</v>
      </c>
      <c r="B77" t="s">
        <v>480</v>
      </c>
      <c r="C77" t="s">
        <v>370</v>
      </c>
      <c r="D77" t="s">
        <v>1612</v>
      </c>
      <c r="E77" s="82">
        <f t="shared" si="2"/>
        <v>0</v>
      </c>
      <c r="F77" t="s">
        <v>18</v>
      </c>
      <c r="G77" t="s">
        <v>370</v>
      </c>
      <c r="H77" t="s">
        <v>321</v>
      </c>
      <c r="I77">
        <v>84000000</v>
      </c>
      <c r="J77" t="s">
        <v>42</v>
      </c>
    </row>
    <row r="78" spans="1:10" hidden="1" x14ac:dyDescent="0.35">
      <c r="A78" t="s">
        <v>181</v>
      </c>
      <c r="B78" t="s">
        <v>519</v>
      </c>
      <c r="C78" t="s">
        <v>413</v>
      </c>
      <c r="D78" t="s">
        <v>1611</v>
      </c>
      <c r="E78" s="82">
        <f t="shared" si="2"/>
        <v>0</v>
      </c>
      <c r="F78" t="s">
        <v>18</v>
      </c>
      <c r="G78" t="s">
        <v>413</v>
      </c>
      <c r="H78" t="s">
        <v>321</v>
      </c>
      <c r="I78">
        <v>17000000</v>
      </c>
      <c r="J78" t="s">
        <v>42</v>
      </c>
    </row>
    <row r="79" spans="1:10" hidden="1" x14ac:dyDescent="0.35">
      <c r="A79" t="s">
        <v>147</v>
      </c>
      <c r="B79" t="s">
        <v>444</v>
      </c>
      <c r="C79" t="s">
        <v>332</v>
      </c>
      <c r="D79" t="s">
        <v>1612</v>
      </c>
      <c r="E79" s="82">
        <f t="shared" si="2"/>
        <v>0</v>
      </c>
      <c r="F79" t="s">
        <v>18</v>
      </c>
      <c r="G79" t="s">
        <v>332</v>
      </c>
      <c r="H79" t="s">
        <v>321</v>
      </c>
      <c r="I79">
        <v>92000000</v>
      </c>
      <c r="J79" t="s">
        <v>42</v>
      </c>
    </row>
    <row r="80" spans="1:10" hidden="1" x14ac:dyDescent="0.35">
      <c r="A80" t="s">
        <v>1686</v>
      </c>
      <c r="B80" t="s">
        <v>1683</v>
      </c>
      <c r="C80" t="s">
        <v>1694</v>
      </c>
      <c r="D80" t="s">
        <v>1612</v>
      </c>
      <c r="E80" s="82">
        <f t="shared" si="2"/>
        <v>0</v>
      </c>
      <c r="F80" t="s">
        <v>18</v>
      </c>
      <c r="G80" t="s">
        <v>1694</v>
      </c>
      <c r="H80" t="s">
        <v>321</v>
      </c>
      <c r="I80">
        <v>71000000</v>
      </c>
      <c r="J80" t="s">
        <v>42</v>
      </c>
    </row>
    <row r="81" spans="1:10" hidden="1" x14ac:dyDescent="0.35">
      <c r="A81" t="s">
        <v>177</v>
      </c>
      <c r="B81" t="s">
        <v>507</v>
      </c>
      <c r="C81" t="s">
        <v>401</v>
      </c>
      <c r="D81" t="s">
        <v>1611</v>
      </c>
      <c r="E81" s="82">
        <f t="shared" si="2"/>
        <v>0</v>
      </c>
      <c r="F81" t="s">
        <v>18</v>
      </c>
      <c r="G81" t="s">
        <v>401</v>
      </c>
      <c r="H81" t="s">
        <v>321</v>
      </c>
      <c r="I81">
        <v>37000000</v>
      </c>
      <c r="J81" t="s">
        <v>42</v>
      </c>
    </row>
    <row r="82" spans="1:10" hidden="1" x14ac:dyDescent="0.35">
      <c r="A82" t="s">
        <v>168</v>
      </c>
      <c r="B82" t="s">
        <v>489</v>
      </c>
      <c r="C82" t="s">
        <v>379</v>
      </c>
      <c r="D82" t="s">
        <v>1612</v>
      </c>
      <c r="E82" s="82">
        <f t="shared" si="2"/>
        <v>0</v>
      </c>
      <c r="F82" t="s">
        <v>18</v>
      </c>
      <c r="G82" t="s">
        <v>379</v>
      </c>
      <c r="H82" t="s">
        <v>321</v>
      </c>
      <c r="I82">
        <v>17000000</v>
      </c>
      <c r="J82" t="s">
        <v>42</v>
      </c>
    </row>
    <row r="83" spans="1:10" hidden="1" x14ac:dyDescent="0.35">
      <c r="A83" t="s">
        <v>147</v>
      </c>
      <c r="B83" t="s">
        <v>445</v>
      </c>
      <c r="C83" t="s">
        <v>333</v>
      </c>
      <c r="D83" t="s">
        <v>1612</v>
      </c>
      <c r="E83" s="82">
        <f t="shared" si="2"/>
        <v>0</v>
      </c>
      <c r="F83" t="s">
        <v>18</v>
      </c>
      <c r="G83" t="s">
        <v>333</v>
      </c>
      <c r="H83" t="s">
        <v>321</v>
      </c>
      <c r="I83">
        <v>140000000</v>
      </c>
      <c r="J83" t="s">
        <v>42</v>
      </c>
    </row>
    <row r="84" spans="1:10" hidden="1" x14ac:dyDescent="0.35">
      <c r="A84" t="s">
        <v>154</v>
      </c>
      <c r="B84" t="s">
        <v>474</v>
      </c>
      <c r="C84" t="s">
        <v>364</v>
      </c>
      <c r="D84" t="s">
        <v>1613</v>
      </c>
      <c r="E84" s="82">
        <f t="shared" si="2"/>
        <v>0</v>
      </c>
      <c r="F84" t="s">
        <v>18</v>
      </c>
      <c r="G84" t="s">
        <v>364</v>
      </c>
      <c r="H84" t="s">
        <v>321</v>
      </c>
      <c r="I84">
        <v>1110000000</v>
      </c>
      <c r="J84" t="s">
        <v>42</v>
      </c>
    </row>
    <row r="85" spans="1:10" hidden="1" x14ac:dyDescent="0.35">
      <c r="A85" t="s">
        <v>187</v>
      </c>
      <c r="B85" t="s">
        <v>531</v>
      </c>
      <c r="C85" t="s">
        <v>428</v>
      </c>
      <c r="D85" t="s">
        <v>1611</v>
      </c>
      <c r="E85" s="82">
        <f t="shared" si="2"/>
        <v>0</v>
      </c>
      <c r="F85" t="s">
        <v>18</v>
      </c>
      <c r="G85" t="s">
        <v>428</v>
      </c>
      <c r="H85" t="s">
        <v>321</v>
      </c>
      <c r="I85">
        <v>35000000</v>
      </c>
      <c r="J85" t="s">
        <v>42</v>
      </c>
    </row>
    <row r="86" spans="1:10" hidden="1" x14ac:dyDescent="0.35">
      <c r="A86" t="s">
        <v>188</v>
      </c>
      <c r="B86" t="s">
        <v>533</v>
      </c>
      <c r="C86" t="s">
        <v>430</v>
      </c>
      <c r="D86" t="s">
        <v>1619</v>
      </c>
      <c r="E86" s="82">
        <f t="shared" si="2"/>
        <v>0</v>
      </c>
      <c r="F86" t="s">
        <v>18</v>
      </c>
      <c r="G86" t="s">
        <v>430</v>
      </c>
      <c r="H86" t="s">
        <v>321</v>
      </c>
      <c r="I86">
        <v>7000000</v>
      </c>
      <c r="J86" t="s">
        <v>42</v>
      </c>
    </row>
    <row r="87" spans="1:10" hidden="1" x14ac:dyDescent="0.35">
      <c r="A87" t="s">
        <v>151</v>
      </c>
      <c r="B87" t="s">
        <v>463</v>
      </c>
      <c r="C87" t="s">
        <v>351</v>
      </c>
      <c r="D87" t="s">
        <v>1612</v>
      </c>
      <c r="E87" s="82">
        <f t="shared" si="2"/>
        <v>0</v>
      </c>
      <c r="F87" t="s">
        <v>18</v>
      </c>
      <c r="G87" t="s">
        <v>351</v>
      </c>
      <c r="H87" t="s">
        <v>321</v>
      </c>
      <c r="I87">
        <v>69000000</v>
      </c>
      <c r="J87" t="s">
        <v>42</v>
      </c>
    </row>
    <row r="88" spans="1:10" hidden="1" x14ac:dyDescent="0.35">
      <c r="A88" t="s">
        <v>178</v>
      </c>
      <c r="B88" t="s">
        <v>510</v>
      </c>
      <c r="C88" t="s">
        <v>404</v>
      </c>
      <c r="D88" t="s">
        <v>1612</v>
      </c>
      <c r="E88" s="82">
        <f t="shared" si="2"/>
        <v>0</v>
      </c>
      <c r="F88" t="s">
        <v>18</v>
      </c>
      <c r="G88" t="s">
        <v>404</v>
      </c>
      <c r="H88" t="s">
        <v>321</v>
      </c>
      <c r="I88">
        <v>173000000</v>
      </c>
      <c r="J88" t="s">
        <v>42</v>
      </c>
    </row>
    <row r="89" spans="1:10" hidden="1" x14ac:dyDescent="0.35">
      <c r="A89" t="s">
        <v>151</v>
      </c>
      <c r="B89" t="s">
        <v>464</v>
      </c>
      <c r="C89" t="s">
        <v>352</v>
      </c>
      <c r="D89" t="s">
        <v>1611</v>
      </c>
      <c r="E89" s="82">
        <f t="shared" si="2"/>
        <v>0</v>
      </c>
      <c r="F89" t="s">
        <v>18</v>
      </c>
      <c r="G89" t="s">
        <v>352</v>
      </c>
      <c r="H89" t="s">
        <v>321</v>
      </c>
      <c r="I89">
        <v>17000000</v>
      </c>
      <c r="J89" t="s">
        <v>42</v>
      </c>
    </row>
    <row r="90" spans="1:10" hidden="1" x14ac:dyDescent="0.35">
      <c r="A90" t="s">
        <v>179</v>
      </c>
      <c r="B90" t="s">
        <v>513</v>
      </c>
      <c r="C90" t="s">
        <v>407</v>
      </c>
      <c r="D90" t="s">
        <v>1613</v>
      </c>
      <c r="E90" s="82">
        <f t="shared" si="2"/>
        <v>0</v>
      </c>
      <c r="F90" t="s">
        <v>18</v>
      </c>
      <c r="G90" t="s">
        <v>407</v>
      </c>
      <c r="H90" t="s">
        <v>321</v>
      </c>
      <c r="I90">
        <v>357000000</v>
      </c>
      <c r="J90" t="s">
        <v>42</v>
      </c>
    </row>
    <row r="91" spans="1:10" hidden="1" x14ac:dyDescent="0.35">
      <c r="A91" t="s">
        <v>145</v>
      </c>
      <c r="B91" t="s">
        <v>439</v>
      </c>
      <c r="C91" t="s">
        <v>326</v>
      </c>
      <c r="D91" t="s">
        <v>1613</v>
      </c>
      <c r="E91" s="82">
        <f t="shared" si="2"/>
        <v>0</v>
      </c>
      <c r="F91" t="s">
        <v>18</v>
      </c>
      <c r="G91" t="s">
        <v>326</v>
      </c>
      <c r="H91" t="s">
        <v>321</v>
      </c>
      <c r="I91">
        <v>454000000</v>
      </c>
      <c r="J91" t="s">
        <v>42</v>
      </c>
    </row>
    <row r="92" spans="1:10" hidden="1" x14ac:dyDescent="0.35">
      <c r="A92" t="s">
        <v>151</v>
      </c>
      <c r="B92" t="s">
        <v>465</v>
      </c>
      <c r="C92" t="s">
        <v>353</v>
      </c>
      <c r="D92" t="s">
        <v>1611</v>
      </c>
      <c r="E92" s="82">
        <f t="shared" si="2"/>
        <v>0</v>
      </c>
      <c r="F92" t="s">
        <v>18</v>
      </c>
      <c r="G92" t="s">
        <v>353</v>
      </c>
      <c r="H92" t="s">
        <v>321</v>
      </c>
      <c r="I92">
        <v>22000000</v>
      </c>
      <c r="J92" t="s">
        <v>42</v>
      </c>
    </row>
    <row r="93" spans="1:10" hidden="1" x14ac:dyDescent="0.35">
      <c r="A93" t="s">
        <v>179</v>
      </c>
      <c r="B93" t="s">
        <v>514</v>
      </c>
      <c r="C93" t="s">
        <v>408</v>
      </c>
      <c r="D93" t="s">
        <v>1612</v>
      </c>
      <c r="E93" s="82">
        <f t="shared" si="2"/>
        <v>0</v>
      </c>
      <c r="F93" t="s">
        <v>18</v>
      </c>
      <c r="G93" t="s">
        <v>408</v>
      </c>
      <c r="H93" t="s">
        <v>321</v>
      </c>
      <c r="I93">
        <v>84000000</v>
      </c>
      <c r="J93" t="s">
        <v>42</v>
      </c>
    </row>
    <row r="94" spans="1:10" hidden="1" x14ac:dyDescent="0.35">
      <c r="A94" t="s">
        <v>151</v>
      </c>
      <c r="B94" t="s">
        <v>466</v>
      </c>
      <c r="C94" t="s">
        <v>354</v>
      </c>
      <c r="D94" t="s">
        <v>1611</v>
      </c>
      <c r="E94" s="82">
        <f t="shared" si="2"/>
        <v>0</v>
      </c>
      <c r="F94" t="s">
        <v>18</v>
      </c>
      <c r="G94" t="s">
        <v>354</v>
      </c>
      <c r="H94" t="s">
        <v>321</v>
      </c>
      <c r="I94">
        <v>11000000</v>
      </c>
      <c r="J94" t="s">
        <v>42</v>
      </c>
    </row>
    <row r="95" spans="1:10" hidden="1" x14ac:dyDescent="0.35">
      <c r="A95" t="s">
        <v>147</v>
      </c>
      <c r="B95" t="s">
        <v>446</v>
      </c>
      <c r="C95" t="s">
        <v>334</v>
      </c>
      <c r="D95" t="s">
        <v>1611</v>
      </c>
      <c r="E95" s="82">
        <f t="shared" si="2"/>
        <v>0</v>
      </c>
      <c r="F95" t="s">
        <v>18</v>
      </c>
      <c r="G95" t="s">
        <v>334</v>
      </c>
      <c r="H95" t="s">
        <v>321</v>
      </c>
      <c r="I95">
        <v>26000000</v>
      </c>
      <c r="J95" t="s">
        <v>42</v>
      </c>
    </row>
    <row r="96" spans="1:10" hidden="1" x14ac:dyDescent="0.35">
      <c r="A96" t="s">
        <v>180</v>
      </c>
      <c r="B96" t="s">
        <v>515</v>
      </c>
      <c r="C96" t="s">
        <v>409</v>
      </c>
      <c r="D96" t="s">
        <v>1611</v>
      </c>
      <c r="E96" s="82">
        <f t="shared" si="2"/>
        <v>0</v>
      </c>
      <c r="F96" t="s">
        <v>18</v>
      </c>
      <c r="G96" t="s">
        <v>409</v>
      </c>
      <c r="H96" t="s">
        <v>321</v>
      </c>
      <c r="I96">
        <v>20000000</v>
      </c>
      <c r="J96" t="s">
        <v>42</v>
      </c>
    </row>
    <row r="97" spans="1:10" hidden="1" x14ac:dyDescent="0.35">
      <c r="A97" t="s">
        <v>174</v>
      </c>
      <c r="B97" t="s">
        <v>503</v>
      </c>
      <c r="C97" t="s">
        <v>396</v>
      </c>
      <c r="D97" t="s">
        <v>1612</v>
      </c>
      <c r="E97" s="82">
        <f t="shared" si="2"/>
        <v>0</v>
      </c>
      <c r="F97" t="s">
        <v>18</v>
      </c>
      <c r="G97" t="s">
        <v>396</v>
      </c>
      <c r="H97" t="s">
        <v>321</v>
      </c>
      <c r="I97">
        <v>131000000</v>
      </c>
      <c r="J97" t="s">
        <v>42</v>
      </c>
    </row>
    <row r="98" spans="1:10" hidden="1" x14ac:dyDescent="0.35">
      <c r="A98" t="s">
        <v>154</v>
      </c>
      <c r="B98" t="s">
        <v>2864</v>
      </c>
      <c r="C98" t="s">
        <v>2865</v>
      </c>
      <c r="D98" t="s">
        <v>1619</v>
      </c>
      <c r="E98" s="82">
        <f t="shared" ref="E98:E126" si="3">SIGN(SUBTOTAL(3,F98))</f>
        <v>0</v>
      </c>
      <c r="F98" t="s">
        <v>18</v>
      </c>
      <c r="G98" t="s">
        <v>2865</v>
      </c>
      <c r="H98" t="s">
        <v>321</v>
      </c>
      <c r="I98">
        <v>25000000</v>
      </c>
      <c r="J98" t="s">
        <v>42</v>
      </c>
    </row>
    <row r="99" spans="1:10" hidden="1" x14ac:dyDescent="0.35">
      <c r="A99" t="s">
        <v>187</v>
      </c>
      <c r="B99" t="s">
        <v>554</v>
      </c>
      <c r="C99" t="s">
        <v>2866</v>
      </c>
      <c r="D99" t="s">
        <v>1611</v>
      </c>
      <c r="E99" s="82">
        <f t="shared" si="3"/>
        <v>0</v>
      </c>
      <c r="F99" t="s">
        <v>18</v>
      </c>
      <c r="G99" t="s">
        <v>2866</v>
      </c>
      <c r="H99" t="s">
        <v>321</v>
      </c>
      <c r="I99">
        <v>40000000</v>
      </c>
      <c r="J99" t="s">
        <v>42</v>
      </c>
    </row>
    <row r="100" spans="1:10" hidden="1" x14ac:dyDescent="0.35">
      <c r="A100" t="s">
        <v>169</v>
      </c>
      <c r="B100" t="s">
        <v>491</v>
      </c>
      <c r="C100" t="s">
        <v>381</v>
      </c>
      <c r="D100" t="s">
        <v>1611</v>
      </c>
      <c r="E100" s="82">
        <f t="shared" si="3"/>
        <v>0</v>
      </c>
      <c r="F100" t="s">
        <v>18</v>
      </c>
      <c r="G100" t="s">
        <v>381</v>
      </c>
      <c r="H100" t="s">
        <v>321</v>
      </c>
      <c r="I100">
        <v>30000000</v>
      </c>
      <c r="J100" t="s">
        <v>42</v>
      </c>
    </row>
    <row r="101" spans="1:10" hidden="1" x14ac:dyDescent="0.35">
      <c r="A101" t="s">
        <v>173</v>
      </c>
      <c r="B101" t="s">
        <v>497</v>
      </c>
      <c r="C101" t="s">
        <v>390</v>
      </c>
      <c r="D101" t="s">
        <v>1611</v>
      </c>
      <c r="E101" s="82">
        <f t="shared" si="3"/>
        <v>0</v>
      </c>
      <c r="F101" t="s">
        <v>18</v>
      </c>
      <c r="G101" t="s">
        <v>390</v>
      </c>
      <c r="H101" t="s">
        <v>321</v>
      </c>
      <c r="I101">
        <v>17000000</v>
      </c>
      <c r="J101" t="s">
        <v>42</v>
      </c>
    </row>
    <row r="102" spans="1:10" hidden="1" x14ac:dyDescent="0.35">
      <c r="A102" t="s">
        <v>151</v>
      </c>
      <c r="B102" t="s">
        <v>467</v>
      </c>
      <c r="C102" t="s">
        <v>355</v>
      </c>
      <c r="D102" t="s">
        <v>1612</v>
      </c>
      <c r="E102" s="82">
        <f t="shared" si="3"/>
        <v>0</v>
      </c>
      <c r="F102" t="s">
        <v>18</v>
      </c>
      <c r="G102" t="s">
        <v>355</v>
      </c>
      <c r="H102" t="s">
        <v>321</v>
      </c>
      <c r="I102">
        <v>83000000</v>
      </c>
      <c r="J102" t="s">
        <v>42</v>
      </c>
    </row>
    <row r="103" spans="1:10" hidden="1" x14ac:dyDescent="0.35">
      <c r="A103" t="s">
        <v>147</v>
      </c>
      <c r="B103" t="s">
        <v>447</v>
      </c>
      <c r="C103" t="s">
        <v>335</v>
      </c>
      <c r="D103" t="s">
        <v>1613</v>
      </c>
      <c r="E103" s="82">
        <f t="shared" si="3"/>
        <v>0</v>
      </c>
      <c r="F103" t="s">
        <v>18</v>
      </c>
      <c r="G103" t="s">
        <v>335</v>
      </c>
      <c r="H103" t="s">
        <v>321</v>
      </c>
      <c r="I103">
        <v>221000000</v>
      </c>
      <c r="J103" t="s">
        <v>42</v>
      </c>
    </row>
    <row r="104" spans="1:10" hidden="1" x14ac:dyDescent="0.35">
      <c r="A104" t="s">
        <v>184</v>
      </c>
      <c r="B104" t="s">
        <v>529</v>
      </c>
      <c r="C104" t="s">
        <v>424</v>
      </c>
      <c r="D104" t="s">
        <v>1612</v>
      </c>
      <c r="E104" s="82">
        <f t="shared" si="3"/>
        <v>0</v>
      </c>
      <c r="F104" t="s">
        <v>18</v>
      </c>
      <c r="G104" t="s">
        <v>424</v>
      </c>
      <c r="H104" t="s">
        <v>321</v>
      </c>
      <c r="I104">
        <v>87000000</v>
      </c>
      <c r="J104" t="s">
        <v>42</v>
      </c>
    </row>
    <row r="105" spans="1:10" hidden="1" x14ac:dyDescent="0.35">
      <c r="A105" t="s">
        <v>152</v>
      </c>
      <c r="B105" t="s">
        <v>473</v>
      </c>
      <c r="C105" t="s">
        <v>362</v>
      </c>
      <c r="D105" t="s">
        <v>1611</v>
      </c>
      <c r="E105" s="82">
        <f t="shared" si="3"/>
        <v>0</v>
      </c>
      <c r="F105" t="s">
        <v>18</v>
      </c>
      <c r="G105" t="s">
        <v>362</v>
      </c>
      <c r="H105" t="s">
        <v>321</v>
      </c>
      <c r="I105">
        <v>34000000</v>
      </c>
      <c r="J105" t="s">
        <v>42</v>
      </c>
    </row>
    <row r="106" spans="1:10" hidden="1" x14ac:dyDescent="0.35">
      <c r="A106" t="s">
        <v>147</v>
      </c>
      <c r="B106" t="s">
        <v>448</v>
      </c>
      <c r="C106" t="s">
        <v>336</v>
      </c>
      <c r="D106" t="s">
        <v>1611</v>
      </c>
      <c r="E106" s="82">
        <f t="shared" si="3"/>
        <v>0</v>
      </c>
      <c r="F106" t="s">
        <v>18</v>
      </c>
      <c r="G106" t="s">
        <v>336</v>
      </c>
      <c r="H106" t="s">
        <v>321</v>
      </c>
      <c r="I106">
        <v>11000000</v>
      </c>
      <c r="J106" t="s">
        <v>42</v>
      </c>
    </row>
    <row r="107" spans="1:10" hidden="1" x14ac:dyDescent="0.35">
      <c r="A107" t="s">
        <v>158</v>
      </c>
      <c r="B107" t="s">
        <v>479</v>
      </c>
      <c r="C107" t="s">
        <v>369</v>
      </c>
      <c r="D107" t="s">
        <v>1611</v>
      </c>
      <c r="E107" s="82">
        <f t="shared" si="3"/>
        <v>0</v>
      </c>
      <c r="F107" t="s">
        <v>18</v>
      </c>
      <c r="G107" t="s">
        <v>369</v>
      </c>
      <c r="H107" t="s">
        <v>321</v>
      </c>
      <c r="I107">
        <v>374000000</v>
      </c>
      <c r="J107" t="s">
        <v>42</v>
      </c>
    </row>
    <row r="108" spans="1:10" x14ac:dyDescent="0.35">
      <c r="A108" t="s">
        <v>188</v>
      </c>
      <c r="B108" t="s">
        <v>534</v>
      </c>
      <c r="C108" t="s">
        <v>431</v>
      </c>
      <c r="D108" t="s">
        <v>1613</v>
      </c>
      <c r="E108" s="82">
        <f t="shared" si="3"/>
        <v>1</v>
      </c>
      <c r="F108" t="s">
        <v>18</v>
      </c>
      <c r="G108" t="s">
        <v>431</v>
      </c>
      <c r="H108" t="s">
        <v>321</v>
      </c>
      <c r="I108">
        <v>710000000</v>
      </c>
      <c r="J108" t="s">
        <v>42</v>
      </c>
    </row>
    <row r="109" spans="1:10" hidden="1" x14ac:dyDescent="0.35">
      <c r="A109" t="s">
        <v>151</v>
      </c>
      <c r="B109" t="s">
        <v>460</v>
      </c>
      <c r="C109" t="s">
        <v>356</v>
      </c>
      <c r="D109" t="s">
        <v>1611</v>
      </c>
      <c r="E109" s="82">
        <f t="shared" si="3"/>
        <v>0</v>
      </c>
      <c r="F109" t="s">
        <v>18</v>
      </c>
      <c r="G109" t="s">
        <v>356</v>
      </c>
      <c r="H109" t="s">
        <v>321</v>
      </c>
      <c r="I109">
        <v>21000000</v>
      </c>
      <c r="J109" t="s">
        <v>42</v>
      </c>
    </row>
    <row r="110" spans="1:10" hidden="1" x14ac:dyDescent="0.35">
      <c r="A110" t="s">
        <v>147</v>
      </c>
      <c r="B110" t="s">
        <v>449</v>
      </c>
      <c r="C110" t="s">
        <v>337</v>
      </c>
      <c r="D110" t="s">
        <v>1613</v>
      </c>
      <c r="E110" s="82">
        <f t="shared" si="3"/>
        <v>0</v>
      </c>
      <c r="F110" t="s">
        <v>18</v>
      </c>
      <c r="G110" t="s">
        <v>337</v>
      </c>
      <c r="H110" t="s">
        <v>321</v>
      </c>
      <c r="I110">
        <v>1173000000</v>
      </c>
      <c r="J110" t="s">
        <v>42</v>
      </c>
    </row>
    <row r="111" spans="1:10" hidden="1" x14ac:dyDescent="0.35">
      <c r="A111" t="s">
        <v>147</v>
      </c>
      <c r="B111" t="s">
        <v>450</v>
      </c>
      <c r="C111" t="s">
        <v>338</v>
      </c>
      <c r="D111" t="s">
        <v>1612</v>
      </c>
      <c r="E111" s="82">
        <f t="shared" si="3"/>
        <v>0</v>
      </c>
      <c r="F111" t="s">
        <v>18</v>
      </c>
      <c r="G111" t="s">
        <v>338</v>
      </c>
      <c r="H111" t="s">
        <v>321</v>
      </c>
      <c r="I111">
        <v>74000000</v>
      </c>
      <c r="J111" t="s">
        <v>42</v>
      </c>
    </row>
    <row r="112" spans="1:10" hidden="1" x14ac:dyDescent="0.35">
      <c r="A112" t="s">
        <v>1687</v>
      </c>
      <c r="B112" t="s">
        <v>1684</v>
      </c>
      <c r="C112" t="s">
        <v>1695</v>
      </c>
      <c r="D112" t="s">
        <v>1612</v>
      </c>
      <c r="E112" s="82">
        <f t="shared" si="3"/>
        <v>0</v>
      </c>
      <c r="F112" t="s">
        <v>18</v>
      </c>
      <c r="G112" t="s">
        <v>1695</v>
      </c>
      <c r="H112" t="s">
        <v>321</v>
      </c>
      <c r="I112">
        <v>155000000</v>
      </c>
      <c r="J112" t="s">
        <v>42</v>
      </c>
    </row>
    <row r="113" spans="1:10" hidden="1" x14ac:dyDescent="0.35">
      <c r="A113" t="s">
        <v>185</v>
      </c>
      <c r="B113" t="s">
        <v>530</v>
      </c>
      <c r="C113" t="s">
        <v>425</v>
      </c>
      <c r="D113" t="s">
        <v>1613</v>
      </c>
      <c r="E113" s="82">
        <f t="shared" si="3"/>
        <v>0</v>
      </c>
      <c r="F113" t="s">
        <v>18</v>
      </c>
      <c r="G113" t="s">
        <v>425</v>
      </c>
      <c r="H113" t="s">
        <v>321</v>
      </c>
      <c r="I113">
        <v>221000000</v>
      </c>
      <c r="J113" t="s">
        <v>42</v>
      </c>
    </row>
    <row r="114" spans="1:10" hidden="1" x14ac:dyDescent="0.35">
      <c r="A114" t="s">
        <v>147</v>
      </c>
      <c r="B114" t="s">
        <v>451</v>
      </c>
      <c r="C114" t="s">
        <v>339</v>
      </c>
      <c r="D114" t="s">
        <v>1612</v>
      </c>
      <c r="E114" s="82">
        <f t="shared" si="3"/>
        <v>0</v>
      </c>
      <c r="F114" t="s">
        <v>18</v>
      </c>
      <c r="G114" t="s">
        <v>339</v>
      </c>
      <c r="H114" t="s">
        <v>321</v>
      </c>
      <c r="I114">
        <v>105000000</v>
      </c>
      <c r="J114" t="s">
        <v>42</v>
      </c>
    </row>
    <row r="115" spans="1:10" hidden="1" x14ac:dyDescent="0.35">
      <c r="A115" t="s">
        <v>147</v>
      </c>
      <c r="B115" t="s">
        <v>452</v>
      </c>
      <c r="C115" t="s">
        <v>340</v>
      </c>
      <c r="D115" t="s">
        <v>1612</v>
      </c>
      <c r="E115" s="82">
        <f t="shared" si="3"/>
        <v>0</v>
      </c>
      <c r="F115" t="s">
        <v>18</v>
      </c>
      <c r="G115" t="s">
        <v>340</v>
      </c>
      <c r="H115" t="s">
        <v>321</v>
      </c>
      <c r="I115">
        <v>73000000</v>
      </c>
      <c r="J115" t="s">
        <v>42</v>
      </c>
    </row>
    <row r="116" spans="1:10" hidden="1" x14ac:dyDescent="0.35">
      <c r="A116" t="s">
        <v>151</v>
      </c>
      <c r="B116" t="s">
        <v>468</v>
      </c>
      <c r="C116" t="s">
        <v>357</v>
      </c>
      <c r="D116" t="s">
        <v>1611</v>
      </c>
      <c r="E116" s="82">
        <f t="shared" si="3"/>
        <v>0</v>
      </c>
      <c r="F116" t="s">
        <v>18</v>
      </c>
      <c r="G116" t="s">
        <v>357</v>
      </c>
      <c r="H116" t="s">
        <v>321</v>
      </c>
      <c r="I116">
        <v>29000000</v>
      </c>
      <c r="J116" t="s">
        <v>42</v>
      </c>
    </row>
    <row r="117" spans="1:10" hidden="1" x14ac:dyDescent="0.35">
      <c r="A117" t="s">
        <v>166</v>
      </c>
      <c r="B117" t="s">
        <v>487</v>
      </c>
      <c r="C117" t="s">
        <v>377</v>
      </c>
      <c r="D117" t="s">
        <v>1612</v>
      </c>
      <c r="E117" s="82">
        <f t="shared" si="3"/>
        <v>0</v>
      </c>
      <c r="F117" t="s">
        <v>18</v>
      </c>
      <c r="G117" t="s">
        <v>377</v>
      </c>
      <c r="H117" t="s">
        <v>321</v>
      </c>
      <c r="I117">
        <v>106000000</v>
      </c>
      <c r="J117" t="s">
        <v>42</v>
      </c>
    </row>
    <row r="118" spans="1:10" hidden="1" x14ac:dyDescent="0.35">
      <c r="A118" t="s">
        <v>173</v>
      </c>
      <c r="B118" t="s">
        <v>498</v>
      </c>
      <c r="C118" t="s">
        <v>391</v>
      </c>
      <c r="D118" t="s">
        <v>1619</v>
      </c>
      <c r="E118" s="82">
        <f t="shared" si="3"/>
        <v>0</v>
      </c>
      <c r="F118" t="s">
        <v>18</v>
      </c>
      <c r="G118" t="s">
        <v>391</v>
      </c>
      <c r="H118" t="s">
        <v>321</v>
      </c>
      <c r="I118">
        <v>7000000</v>
      </c>
      <c r="J118" t="s">
        <v>42</v>
      </c>
    </row>
    <row r="119" spans="1:10" hidden="1" x14ac:dyDescent="0.35">
      <c r="A119" t="s">
        <v>173</v>
      </c>
      <c r="B119" t="s">
        <v>499</v>
      </c>
      <c r="C119" t="s">
        <v>392</v>
      </c>
      <c r="D119" t="s">
        <v>1611</v>
      </c>
      <c r="E119" s="82">
        <f t="shared" si="3"/>
        <v>0</v>
      </c>
      <c r="F119" t="s">
        <v>18</v>
      </c>
      <c r="G119" t="s">
        <v>392</v>
      </c>
      <c r="H119" t="s">
        <v>321</v>
      </c>
      <c r="I119">
        <v>19000000</v>
      </c>
      <c r="J119" t="s">
        <v>42</v>
      </c>
    </row>
    <row r="120" spans="1:10" hidden="1" x14ac:dyDescent="0.35">
      <c r="A120" t="s">
        <v>151</v>
      </c>
      <c r="B120" t="s">
        <v>469</v>
      </c>
      <c r="C120" t="s">
        <v>358</v>
      </c>
      <c r="D120" t="s">
        <v>1619</v>
      </c>
      <c r="E120" s="82">
        <f t="shared" si="3"/>
        <v>0</v>
      </c>
      <c r="F120" t="s">
        <v>18</v>
      </c>
      <c r="G120" t="s">
        <v>358</v>
      </c>
      <c r="H120" t="s">
        <v>321</v>
      </c>
      <c r="I120">
        <v>2000000</v>
      </c>
      <c r="J120" t="s">
        <v>42</v>
      </c>
    </row>
    <row r="121" spans="1:10" hidden="1" x14ac:dyDescent="0.35">
      <c r="A121" t="s">
        <v>151</v>
      </c>
      <c r="B121" t="s">
        <v>470</v>
      </c>
      <c r="C121" t="s">
        <v>359</v>
      </c>
      <c r="D121" t="s">
        <v>1613</v>
      </c>
      <c r="E121" s="82">
        <f t="shared" si="3"/>
        <v>0</v>
      </c>
      <c r="F121" t="s">
        <v>18</v>
      </c>
      <c r="G121" t="s">
        <v>359</v>
      </c>
      <c r="H121" t="s">
        <v>321</v>
      </c>
      <c r="I121">
        <v>192000000</v>
      </c>
      <c r="J121" t="s">
        <v>42</v>
      </c>
    </row>
    <row r="122" spans="1:10" hidden="1" x14ac:dyDescent="0.35">
      <c r="A122" t="s">
        <v>177</v>
      </c>
      <c r="B122" t="s">
        <v>508</v>
      </c>
      <c r="C122" t="s">
        <v>402</v>
      </c>
      <c r="D122" t="s">
        <v>1611</v>
      </c>
      <c r="E122" s="82">
        <f t="shared" si="3"/>
        <v>0</v>
      </c>
      <c r="F122" t="s">
        <v>18</v>
      </c>
      <c r="G122" t="s">
        <v>402</v>
      </c>
      <c r="H122" t="s">
        <v>321</v>
      </c>
      <c r="I122">
        <v>20000000</v>
      </c>
      <c r="J122" t="s">
        <v>42</v>
      </c>
    </row>
    <row r="123" spans="1:10" hidden="1" x14ac:dyDescent="0.35">
      <c r="A123" t="s">
        <v>145</v>
      </c>
      <c r="B123" t="s">
        <v>440</v>
      </c>
      <c r="C123" t="s">
        <v>327</v>
      </c>
      <c r="D123" t="s">
        <v>1611</v>
      </c>
      <c r="E123" s="82">
        <f t="shared" si="3"/>
        <v>0</v>
      </c>
      <c r="F123" t="s">
        <v>18</v>
      </c>
      <c r="G123" t="s">
        <v>327</v>
      </c>
      <c r="H123" t="s">
        <v>321</v>
      </c>
      <c r="I123">
        <v>26000000</v>
      </c>
      <c r="J123" t="s">
        <v>42</v>
      </c>
    </row>
    <row r="124" spans="1:10" hidden="1" x14ac:dyDescent="0.35">
      <c r="A124" t="s">
        <v>183</v>
      </c>
      <c r="B124" t="s">
        <v>522</v>
      </c>
      <c r="C124" t="s">
        <v>416</v>
      </c>
      <c r="D124" t="s">
        <v>1611</v>
      </c>
      <c r="E124" s="82">
        <f t="shared" si="3"/>
        <v>0</v>
      </c>
      <c r="F124" t="s">
        <v>18</v>
      </c>
      <c r="G124" t="s">
        <v>416</v>
      </c>
      <c r="H124" t="s">
        <v>321</v>
      </c>
      <c r="I124">
        <v>26000000</v>
      </c>
      <c r="J124" t="s">
        <v>42</v>
      </c>
    </row>
    <row r="125" spans="1:10" hidden="1" x14ac:dyDescent="0.35">
      <c r="A125" t="s">
        <v>151</v>
      </c>
      <c r="B125" t="s">
        <v>471</v>
      </c>
      <c r="C125" t="s">
        <v>360</v>
      </c>
      <c r="D125" t="s">
        <v>1611</v>
      </c>
      <c r="E125" s="82">
        <f t="shared" si="3"/>
        <v>0</v>
      </c>
      <c r="F125" t="s">
        <v>18</v>
      </c>
      <c r="G125" t="s">
        <v>360</v>
      </c>
      <c r="H125" t="s">
        <v>321</v>
      </c>
      <c r="I125">
        <v>11000000</v>
      </c>
      <c r="J125" t="s">
        <v>42</v>
      </c>
    </row>
    <row r="126" spans="1:10" hidden="1" x14ac:dyDescent="0.35">
      <c r="A126" t="s">
        <v>146</v>
      </c>
      <c r="B126" t="s">
        <v>1678</v>
      </c>
      <c r="C126" t="s">
        <v>328</v>
      </c>
      <c r="D126" t="s">
        <v>1611</v>
      </c>
      <c r="E126" s="82">
        <f t="shared" si="3"/>
        <v>0</v>
      </c>
      <c r="F126" t="s">
        <v>18</v>
      </c>
      <c r="G126" t="s">
        <v>328</v>
      </c>
      <c r="H126" t="s">
        <v>321</v>
      </c>
      <c r="I126">
        <v>18000000</v>
      </c>
      <c r="J126" t="s">
        <v>42</v>
      </c>
    </row>
  </sheetData>
  <phoneticPr fontId="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2AE3-5C8C-4950-8874-7A6743313291}">
  <sheetPr>
    <tabColor theme="8" tint="0.59999389629810485"/>
  </sheetPr>
  <dimension ref="A1:CJ143"/>
  <sheetViews>
    <sheetView topLeftCell="T1" workbookViewId="0">
      <selection activeCell="AA4" sqref="AA4"/>
    </sheetView>
  </sheetViews>
  <sheetFormatPr defaultRowHeight="14.5" x14ac:dyDescent="0.35"/>
  <cols>
    <col min="1" max="1" width="40.1796875" customWidth="1"/>
    <col min="2" max="2" width="49.81640625" bestFit="1" customWidth="1"/>
    <col min="3" max="3" width="27.81640625" bestFit="1" customWidth="1"/>
    <col min="5" max="5" width="11.453125" customWidth="1"/>
    <col min="6" max="6" width="14.1796875" bestFit="1" customWidth="1"/>
    <col min="7" max="7" width="16.1796875" bestFit="1" customWidth="1"/>
    <col min="8" max="8" width="24" bestFit="1" customWidth="1"/>
    <col min="9" max="9" width="17.453125" bestFit="1" customWidth="1"/>
    <col min="10" max="10" width="22.1796875" bestFit="1" customWidth="1"/>
    <col min="13" max="13" width="20.1796875" bestFit="1" customWidth="1"/>
    <col min="14" max="14" width="16.453125" bestFit="1" customWidth="1"/>
    <col min="15" max="15" width="18.81640625" customWidth="1"/>
    <col min="16" max="16" width="21.81640625" customWidth="1"/>
    <col min="17" max="17" width="16.453125" customWidth="1"/>
    <col min="22" max="22" width="12.1796875" customWidth="1"/>
    <col min="23" max="23" width="13.1796875" customWidth="1"/>
    <col min="25" max="25" width="20.453125" customWidth="1"/>
    <col min="26" max="26" width="31.453125" customWidth="1"/>
    <col min="27" max="27" width="22.54296875" bestFit="1" customWidth="1"/>
    <col min="28" max="28" width="6.54296875" customWidth="1"/>
    <col min="29" max="31" width="22.54296875" customWidth="1"/>
    <col min="33" max="33" width="19.1796875" bestFit="1" customWidth="1"/>
    <col min="36" max="36" width="10.81640625" bestFit="1" customWidth="1"/>
    <col min="37" max="37" width="15" bestFit="1" customWidth="1"/>
    <col min="38" max="38" width="12.453125" bestFit="1" customWidth="1"/>
    <col min="40" max="40" width="21.453125" bestFit="1" customWidth="1"/>
    <col min="41" max="41" width="14.81640625" bestFit="1" customWidth="1"/>
    <col min="42" max="42" width="21" bestFit="1" customWidth="1"/>
    <col min="43" max="43" width="12.453125" bestFit="1" customWidth="1"/>
    <col min="44" max="44" width="5.81640625" bestFit="1" customWidth="1"/>
    <col min="45" max="45" width="12.1796875" bestFit="1" customWidth="1"/>
    <col min="46" max="46" width="15.81640625" bestFit="1" customWidth="1"/>
    <col min="47" max="47" width="10" bestFit="1" customWidth="1"/>
    <col min="49" max="49" width="17.54296875" bestFit="1" customWidth="1"/>
    <col min="50" max="50" width="13.1796875" bestFit="1" customWidth="1"/>
    <col min="51" max="51" width="21" bestFit="1" customWidth="1"/>
    <col min="52" max="52" width="12.453125" bestFit="1" customWidth="1"/>
    <col min="53" max="53" width="5.81640625" bestFit="1" customWidth="1"/>
    <col min="54" max="54" width="12.1796875" bestFit="1" customWidth="1"/>
    <col min="55" max="55" width="15.08984375" bestFit="1" customWidth="1"/>
    <col min="56" max="56" width="9.81640625" bestFit="1" customWidth="1"/>
    <col min="57" max="57" width="5.81640625" customWidth="1"/>
    <col min="58" max="58" width="17.54296875" bestFit="1" customWidth="1"/>
    <col min="59" max="59" width="13.1796875" bestFit="1" customWidth="1"/>
    <col min="60" max="60" width="21" bestFit="1" customWidth="1"/>
    <col min="61" max="61" width="12.453125" bestFit="1" customWidth="1"/>
    <col min="62" max="62" width="5.81640625" bestFit="1" customWidth="1"/>
    <col min="63" max="63" width="12.1796875" bestFit="1" customWidth="1"/>
    <col min="64" max="64" width="5.81640625" customWidth="1"/>
    <col min="65" max="65" width="9.81640625" bestFit="1" customWidth="1"/>
    <col min="66" max="66" width="8.453125" bestFit="1" customWidth="1"/>
    <col min="67" max="67" width="17.54296875" bestFit="1" customWidth="1"/>
    <col min="68" max="68" width="13.1796875" bestFit="1" customWidth="1"/>
    <col min="69" max="69" width="21" bestFit="1" customWidth="1"/>
    <col min="70" max="70" width="12.453125" bestFit="1" customWidth="1"/>
    <col min="71" max="71" width="8.81640625" customWidth="1"/>
    <col min="72" max="72" width="12.1796875" bestFit="1" customWidth="1"/>
    <col min="73" max="73" width="5.81640625" customWidth="1"/>
    <col min="74" max="74" width="9.81640625" bestFit="1" customWidth="1"/>
    <col min="75" max="75" width="9.81640625" customWidth="1"/>
    <col min="77" max="77" width="12" bestFit="1" customWidth="1"/>
    <col min="78" max="78" width="19.54296875" bestFit="1" customWidth="1"/>
    <col min="79" max="79" width="21" bestFit="1" customWidth="1"/>
    <col min="80" max="80" width="12.453125" bestFit="1" customWidth="1"/>
    <col min="81" max="81" width="7.1796875" bestFit="1" customWidth="1"/>
    <col min="82" max="82" width="12.1796875" bestFit="1" customWidth="1"/>
    <col min="83" max="83" width="15.81640625" bestFit="1" customWidth="1"/>
    <col min="84" max="84" width="12" bestFit="1" customWidth="1"/>
    <col min="87" max="87" width="28.6328125" bestFit="1" customWidth="1"/>
    <col min="88" max="88" width="17" bestFit="1" customWidth="1"/>
  </cols>
  <sheetData>
    <row r="1" spans="1:88" ht="58.5" thickBot="1" x14ac:dyDescent="0.55000000000000004">
      <c r="A1" s="2" t="s">
        <v>110</v>
      </c>
      <c r="E1" s="2" t="s">
        <v>123</v>
      </c>
      <c r="O1" s="60" t="s">
        <v>244</v>
      </c>
      <c r="P1" s="61" t="s">
        <v>245</v>
      </c>
      <c r="Q1" s="61" t="s">
        <v>242</v>
      </c>
      <c r="R1" s="61" t="s">
        <v>28</v>
      </c>
      <c r="S1" s="62" t="s">
        <v>29</v>
      </c>
      <c r="T1" s="4"/>
      <c r="V1" s="60" t="s">
        <v>200</v>
      </c>
      <c r="W1" s="61" t="s">
        <v>240</v>
      </c>
      <c r="X1" s="62" t="s">
        <v>246</v>
      </c>
      <c r="Z1" s="111" t="s">
        <v>1609</v>
      </c>
      <c r="AW1" s="142" t="s">
        <v>1662</v>
      </c>
    </row>
    <row r="2" spans="1:88" ht="15.5" x14ac:dyDescent="0.35">
      <c r="A2" s="1" t="s">
        <v>126</v>
      </c>
      <c r="E2" s="1" t="s">
        <v>90</v>
      </c>
      <c r="F2" s="1" t="s">
        <v>62</v>
      </c>
      <c r="G2" s="1" t="s">
        <v>63</v>
      </c>
      <c r="H2" s="1" t="s">
        <v>241</v>
      </c>
      <c r="I2" s="1" t="s">
        <v>64</v>
      </c>
      <c r="J2" s="1" t="s">
        <v>125</v>
      </c>
      <c r="K2" s="1" t="s">
        <v>28</v>
      </c>
      <c r="L2" s="1" t="s">
        <v>129</v>
      </c>
      <c r="M2" s="1" t="s">
        <v>30</v>
      </c>
      <c r="O2" t="str" cm="1">
        <f t="array" ref="O2:Q4">_xlfn.UNIQUE(_xlfn._xlws.FILTER(_xlfn._xlws.FILTER('Commodities and Processes'!E6:L9986,('Commodities and Processes'!E6:E9986&lt;&gt;"Process name:")*('Commodities and Processes'!E6:E9986&lt;&gt;"Inputs")*('Commodities and Processes'!E6:E9986&lt;&gt;"Existing facilities:")*('Commodities and Processes'!E6:E9986&lt;&gt;"")),{1,0,0,0,0,0,1,1}))</f>
        <v>FOG</v>
      </c>
      <c r="P2" t="str">
        <v>makeSAF</v>
      </c>
      <c r="Q2" t="str">
        <v>N</v>
      </c>
      <c r="R2" t="str">
        <f>IF(ISBLANK(O2),"",VLOOKUP(O2,'Commodities and Processes'!A:C,2,FALSE))</f>
        <v>solid</v>
      </c>
      <c r="S2">
        <f>IF(ISBLANK(O2),"",VLOOKUP(O2,'Commodities and Processes'!A:C,3,FALSE))</f>
        <v>500</v>
      </c>
      <c r="V2" t="str" cm="1">
        <f t="array" ref="V2:V4">_xlfn.UNIQUE(_xlfn._xlws.FILTER(P2:P2000,P2:P2000&lt;&gt;""))</f>
        <v>makeSAF</v>
      </c>
      <c r="W2" t="str" cm="1">
        <f t="array" ref="W2">IF(ISBLANK(V2),"",_xlfn.CONCAT(_xlfn.UNIQUE(_xlfn._xlws.FILTER(R2:R2000,P2:P2000=V2))))</f>
        <v>solid</v>
      </c>
      <c r="X2" t="str">
        <f>IF(ISBLANK(V2),"",IF(W2="liquid","solidliquid","solid"))</f>
        <v>solid</v>
      </c>
      <c r="Z2" s="112" t="s">
        <v>1604</v>
      </c>
      <c r="AA2" s="113" t="str" cm="1">
        <f t="array" ref="AA2">INDEX(_xlfn._xlws.FILTER(SAF_Cand_Refinery[], _xlfn.TOCOL(SAF_Cand_Refinery[Filtered])=1),1,1)</f>
        <v>FOG</v>
      </c>
      <c r="AC2" s="108" t="s">
        <v>1616</v>
      </c>
      <c r="AD2" s="79"/>
      <c r="AE2" s="79"/>
      <c r="AG2" s="108" t="s">
        <v>1615</v>
      </c>
      <c r="AN2" s="108" t="s">
        <v>1606</v>
      </c>
      <c r="AW2" s="108" t="s">
        <v>1603</v>
      </c>
      <c r="BF2" s="108" t="s">
        <v>1607</v>
      </c>
      <c r="BO2" s="108" t="s">
        <v>1608</v>
      </c>
      <c r="BY2" s="108" t="s">
        <v>1614</v>
      </c>
      <c r="CI2" s="108" t="s">
        <v>1697</v>
      </c>
    </row>
    <row r="3" spans="1:88" ht="15.5" x14ac:dyDescent="0.35">
      <c r="A3" s="1" t="s">
        <v>13</v>
      </c>
      <c r="B3" s="1" t="s">
        <v>115</v>
      </c>
      <c r="C3" s="1" t="s">
        <v>116</v>
      </c>
      <c r="E3" t="b">
        <v>1</v>
      </c>
      <c r="F3" t="s">
        <v>14</v>
      </c>
      <c r="G3" t="s">
        <v>41</v>
      </c>
      <c r="H3" t="s">
        <v>14</v>
      </c>
      <c r="I3" t="s">
        <v>65</v>
      </c>
      <c r="J3" t="s">
        <v>17</v>
      </c>
      <c r="K3" t="s">
        <v>5</v>
      </c>
      <c r="L3" t="s">
        <v>7</v>
      </c>
      <c r="M3" t="str" cm="1">
        <f t="array" ref="M3:M5">_xlfn.UNIQUE(_xlfn._xlws.FILTER('Commodities and Processes'!F:F,('Commodities and Processes'!E:E="Process name:")*('Commodities and Processes'!F:F&lt;&gt;"")))</f>
        <v>makeSAF</v>
      </c>
      <c r="O3" t="str">
        <v>SAF</v>
      </c>
      <c r="P3" t="str">
        <v>blendSAF</v>
      </c>
      <c r="Q3" t="str">
        <v>Y</v>
      </c>
      <c r="R3" t="str">
        <f>IF(ISBLANK(O3),"",VLOOKUP(O3,'Commodities and Processes'!A:C,2,FALSE))</f>
        <v>liquid</v>
      </c>
      <c r="S3">
        <f>IF(ISBLANK(O3),"",VLOOKUP(O3,'Commodities and Processes'!A:C,3,FALSE))</f>
        <v>0</v>
      </c>
      <c r="V3" t="str">
        <v>blendSAF</v>
      </c>
      <c r="W3" t="str" cm="1">
        <f t="array" ref="W3">IF(ISBLANK(V3),"",_xlfn.CONCAT(_xlfn.UNIQUE(_xlfn._xlws.FILTER(R3:R2001,P3:P2001=V3))))</f>
        <v>liquid</v>
      </c>
      <c r="X3" t="str">
        <f t="shared" ref="X3:X66" si="0">IF(ISBLANK(V3),"",IF(W3="liquid","solidliquid","solid"))</f>
        <v>solidliquid</v>
      </c>
      <c r="Z3" s="112" t="s">
        <v>1605</v>
      </c>
      <c r="AA3" s="113" t="str" cm="1">
        <f t="array" ref="AA3">INDEX(_xlfn._xlws.FILTER(SAF_Cand_Refinery[], _xlfn.TOCOL(SAF_Cand_Refinery[Filtered])=1),1,4)</f>
        <v>HEFA</v>
      </c>
      <c r="AC3" s="1" t="s">
        <v>27</v>
      </c>
      <c r="AD3" s="1" t="s">
        <v>28</v>
      </c>
      <c r="AE3" s="1" t="s">
        <v>29</v>
      </c>
      <c r="AG3" s="1" t="s">
        <v>32</v>
      </c>
      <c r="AH3" t="s">
        <v>319</v>
      </c>
      <c r="AN3" s="1" t="s">
        <v>25</v>
      </c>
      <c r="AO3" s="1" t="s">
        <v>35</v>
      </c>
      <c r="AP3" s="1" t="s">
        <v>31</v>
      </c>
      <c r="AQ3" s="1" t="s">
        <v>24</v>
      </c>
      <c r="AR3" s="1" t="s">
        <v>36</v>
      </c>
      <c r="AS3" s="1" t="s">
        <v>44</v>
      </c>
      <c r="AT3" s="1" t="s">
        <v>194</v>
      </c>
      <c r="AU3" s="1" t="s">
        <v>45</v>
      </c>
      <c r="AW3" s="1" t="s">
        <v>25</v>
      </c>
      <c r="AX3" s="1" t="s">
        <v>35</v>
      </c>
      <c r="AY3" s="1" t="s">
        <v>31</v>
      </c>
      <c r="AZ3" s="1" t="s">
        <v>24</v>
      </c>
      <c r="BA3" s="1" t="s">
        <v>36</v>
      </c>
      <c r="BB3" s="1" t="s">
        <v>44</v>
      </c>
      <c r="BC3" s="1" t="s">
        <v>194</v>
      </c>
      <c r="BD3" s="1" t="s">
        <v>45</v>
      </c>
      <c r="BE3" s="106"/>
      <c r="BF3" s="1" t="s">
        <v>25</v>
      </c>
      <c r="BG3" s="1" t="s">
        <v>35</v>
      </c>
      <c r="BH3" s="1" t="s">
        <v>31</v>
      </c>
      <c r="BI3" s="1" t="s">
        <v>24</v>
      </c>
      <c r="BJ3" s="1" t="s">
        <v>36</v>
      </c>
      <c r="BK3" s="1" t="s">
        <v>44</v>
      </c>
      <c r="BL3" s="1" t="s">
        <v>194</v>
      </c>
      <c r="BM3" s="1" t="s">
        <v>45</v>
      </c>
      <c r="BN3" s="106"/>
      <c r="BO3" s="1" t="s">
        <v>25</v>
      </c>
      <c r="BP3" s="1" t="s">
        <v>35</v>
      </c>
      <c r="BQ3" s="1" t="s">
        <v>31</v>
      </c>
      <c r="BR3" s="1" t="s">
        <v>24</v>
      </c>
      <c r="BS3" s="1" t="s">
        <v>36</v>
      </c>
      <c r="BT3" s="1" t="s">
        <v>44</v>
      </c>
      <c r="BU3" s="1" t="s">
        <v>194</v>
      </c>
      <c r="BV3" s="1" t="s">
        <v>45</v>
      </c>
      <c r="BW3" s="1"/>
      <c r="BY3" s="1" t="s">
        <v>25</v>
      </c>
      <c r="BZ3" s="1" t="s">
        <v>35</v>
      </c>
      <c r="CA3" s="1" t="s">
        <v>31</v>
      </c>
      <c r="CB3" s="1" t="s">
        <v>24</v>
      </c>
      <c r="CC3" s="1" t="s">
        <v>36</v>
      </c>
      <c r="CD3" s="1" t="s">
        <v>44</v>
      </c>
      <c r="CE3" s="1" t="s">
        <v>194</v>
      </c>
      <c r="CF3" s="1" t="s">
        <v>45</v>
      </c>
      <c r="CI3" s="1" t="s">
        <v>1698</v>
      </c>
      <c r="CJ3" s="1" t="s">
        <v>1699</v>
      </c>
    </row>
    <row r="4" spans="1:88" ht="15.5" x14ac:dyDescent="0.35">
      <c r="A4" t="s">
        <v>0</v>
      </c>
      <c r="B4" t="s">
        <v>111</v>
      </c>
      <c r="E4" t="b">
        <v>0</v>
      </c>
      <c r="F4" t="s">
        <v>15</v>
      </c>
      <c r="G4" t="s">
        <v>42</v>
      </c>
      <c r="H4" t="s">
        <v>15</v>
      </c>
      <c r="I4" t="s">
        <v>66</v>
      </c>
      <c r="J4" t="s">
        <v>19</v>
      </c>
      <c r="K4" t="s">
        <v>22</v>
      </c>
      <c r="L4" t="s">
        <v>23</v>
      </c>
      <c r="M4" t="str">
        <v>blendSAF</v>
      </c>
      <c r="O4" t="str">
        <v>FOG</v>
      </c>
      <c r="P4">
        <v>0</v>
      </c>
      <c r="Q4">
        <v>0</v>
      </c>
      <c r="R4" t="str">
        <f>IF(ISBLANK(O4),"",VLOOKUP(O4,'Commodities and Processes'!A:C,2,FALSE))</f>
        <v>solid</v>
      </c>
      <c r="S4">
        <f>IF(ISBLANK(O4),"",VLOOKUP(O4,'Commodities and Processes'!A:C,3,FALSE))</f>
        <v>500</v>
      </c>
      <c r="V4">
        <v>0</v>
      </c>
      <c r="W4" t="str" cm="1">
        <f t="array" ref="W4">IF(ISBLANK(V4),"",_xlfn.CONCAT(_xlfn.UNIQUE(_xlfn._xlws.FILTER(R4:R2002,P4:P2002=V4))))</f>
        <v>solid</v>
      </c>
      <c r="X4" t="str">
        <f t="shared" si="0"/>
        <v>solid</v>
      </c>
      <c r="Z4" s="112" t="s">
        <v>1704</v>
      </c>
      <c r="AA4" s="151">
        <f>'SAF Filters'!S9</f>
        <v>1</v>
      </c>
      <c r="AC4" s="114" t="s">
        <v>318</v>
      </c>
      <c r="AD4" s="144" t="s">
        <v>22</v>
      </c>
      <c r="AE4" s="115"/>
      <c r="AG4" s="1" t="s">
        <v>6</v>
      </c>
      <c r="AH4" t="s">
        <v>23</v>
      </c>
      <c r="AN4" s="119" t="str" cm="1">
        <f t="array" ref="AN4:AU4">_xlfn.UNIQUE(_xlfn._xlws.FILTER(_xlfn._xlws.FILTER(SAF_Cand_Refinery[], _xlfn.TOCOL(SAF_Cand_Refinery[Filtered])=1), {0,0,0,0,0,0,0,0,0,0,0,1,1,1,1,1,1,1,1}))</f>
        <v>processor</v>
      </c>
      <c r="AO4" s="120" t="str">
        <v>cand_HEFA_FOG</v>
      </c>
      <c r="AP4" s="120" t="str">
        <v>makeSAF</v>
      </c>
      <c r="AQ4" s="120">
        <v>1142151.7654722061</v>
      </c>
      <c r="AR4" s="120" t="str">
        <v>tons</v>
      </c>
      <c r="AS4" s="120">
        <v>571075.88273610303</v>
      </c>
      <c r="AT4" s="120">
        <v>114215.17654722062</v>
      </c>
      <c r="AU4" s="121">
        <v>32231836.200000003</v>
      </c>
      <c r="AW4" t="str" cm="1">
        <f t="array" ref="AW4:BD5">IFERROR(_xlfn.LET(_xlpm.a, _xlfn._xlws.FILTER(_xlfn._xlws.FILTER(SAF_Existing_Refinery[], (SAF_Existing_Refinery[Filtered]=1)*(SAF_Existing_Refinery[Feedstock]=AA2)*(SAF_Existing_Refinery[Process]=AA3)),{0,0,0,0,0,0,0,0,1,1,1,1,1,1,1,1}), IF(_xlpm.a=0,"",_xlpm.a)),_xlfn.EXPAND("",1,8,""))</f>
        <v>processor</v>
      </c>
      <c r="AX4" t="str">
        <v>Montana Renewables (Calumet)</v>
      </c>
      <c r="AY4" t="str">
        <v>makeSAF_Existing</v>
      </c>
      <c r="AZ4">
        <v>1808015.6183272291</v>
      </c>
      <c r="BA4" t="str">
        <v>tons</v>
      </c>
      <c r="BB4" t="str">
        <v/>
      </c>
      <c r="BC4" t="str">
        <v/>
      </c>
      <c r="BD4" t="str">
        <v/>
      </c>
      <c r="BF4" t="str" cm="1">
        <f t="array" ref="BF4:BM47">IFERROR(_xlfn.LET(_xlpm.a, _xlfn._xlws.FILTER(_xlfn._xlws.FILTER(SAF_Blender[], SAF_Blender[Filtered]=1),{0,0,0,0,1,1,1,1,1,1,1,1}), IF(_xlpm.a=0,"",_xlpm.a)),_xlfn.EXPAND("",1,8,""))</f>
        <v>processor</v>
      </c>
      <c r="BG4" t="str">
        <v>Ergon Asphalt &amp; Emulsions Inc 2</v>
      </c>
      <c r="BH4" t="str">
        <v>blendSAF</v>
      </c>
      <c r="BI4" t="str">
        <v/>
      </c>
      <c r="BJ4" t="str">
        <v/>
      </c>
      <c r="BK4" t="str">
        <v/>
      </c>
      <c r="BL4" t="str">
        <v/>
      </c>
      <c r="BM4" t="str">
        <v/>
      </c>
      <c r="BO4" t="str" cm="1">
        <f t="array" ref="BO4:BV4">IFERROR(_xlfn.LET(_xlpm.a, _xlfn._xlws.FILTER(_xlfn._xlws.FILTER(SAF_Airport[], SAF_Airport[Filtered]=1),{0,0,0,0,0,1,1,1,1,1,1,1,1}), IF(_xlpm.a=0,"",_xlpm.a)),_xlfn.EXPAND("",1,8,""))</f>
        <v>ultimate_destination</v>
      </c>
      <c r="BP4" t="str">
        <v>SEA</v>
      </c>
      <c r="BQ4" t="str">
        <v>fuel_blend</v>
      </c>
      <c r="BR4">
        <v>710000000</v>
      </c>
      <c r="BS4" t="str">
        <v>gallons</v>
      </c>
      <c r="BT4" t="str">
        <v/>
      </c>
      <c r="BU4" t="str">
        <v/>
      </c>
      <c r="BV4" t="str">
        <v/>
      </c>
      <c r="BY4" t="str" cm="1">
        <f t="array" ref="BY4:CF51">IF('SAF Filters'!J37="Y",_xlfn.VSTACK(_xlfn.ANCHORARRAY(AN4),_xlfn.ANCHORARRAY(BF4),_xlfn.ANCHORARRAY(BO4),_xlfn.ANCHORARRAY(AW4)),_xlfn.VSTACK(_xlfn.ANCHORARRAY(AN4),_xlfn.ANCHORARRAY(BF4),_xlfn.ANCHORARRAY(BO4)))</f>
        <v>processor</v>
      </c>
      <c r="BZ4" t="str">
        <v>cand_HEFA_FOG</v>
      </c>
      <c r="CA4" t="str">
        <v>makeSAF</v>
      </c>
      <c r="CB4">
        <v>1142151.7654722061</v>
      </c>
      <c r="CC4" t="str">
        <v>tons</v>
      </c>
      <c r="CD4">
        <v>571075.88273610303</v>
      </c>
      <c r="CE4">
        <v>114215.17654722062</v>
      </c>
      <c r="CF4">
        <v>32231836.200000003</v>
      </c>
      <c r="CI4" t="s">
        <v>182</v>
      </c>
      <c r="CJ4">
        <f>COUNTIFS(SAF_State[State],Notes!CI4,SAF_State[Filtered],1)</f>
        <v>0</v>
      </c>
    </row>
    <row r="5" spans="1:88" x14ac:dyDescent="0.35">
      <c r="A5" t="s">
        <v>1</v>
      </c>
      <c r="B5" t="s">
        <v>111</v>
      </c>
      <c r="F5" t="s">
        <v>39</v>
      </c>
      <c r="G5" t="s">
        <v>43</v>
      </c>
      <c r="H5" t="s">
        <v>39</v>
      </c>
      <c r="I5" t="s">
        <v>67</v>
      </c>
      <c r="J5" t="s">
        <v>18</v>
      </c>
      <c r="M5" t="str">
        <v>makeSAF_Existing</v>
      </c>
      <c r="R5" t="str">
        <f>IF(ISBLANK(O5),"",VLOOKUP(O5,'Commodities and Processes'!A:C,2,FALSE))</f>
        <v/>
      </c>
      <c r="S5" t="str">
        <f>IF(ISBLANK(O5),"",VLOOKUP(O5,'Commodities and Processes'!A:C,3,FALSE))</f>
        <v/>
      </c>
      <c r="W5" t="str" cm="1">
        <f t="array" ref="W5">IF(ISBLANK(V5),"",_xlfn.CONCAT(_xlfn.UNIQUE(_xlfn._xlws.FILTER(R5:R2003,P5:P2003=V5))))</f>
        <v/>
      </c>
      <c r="X5" t="str">
        <f t="shared" si="0"/>
        <v/>
      </c>
      <c r="AC5" s="116" t="s">
        <v>321</v>
      </c>
      <c r="AD5" s="143" t="s">
        <v>22</v>
      </c>
      <c r="AE5" s="117"/>
      <c r="AG5" s="1" t="s">
        <v>20</v>
      </c>
      <c r="AH5" s="1" t="s">
        <v>237</v>
      </c>
      <c r="AI5" s="1" t="s">
        <v>240</v>
      </c>
      <c r="AJ5" s="1" t="s">
        <v>21</v>
      </c>
      <c r="AK5" s="1" t="s">
        <v>239</v>
      </c>
      <c r="AL5" s="1" t="s">
        <v>238</v>
      </c>
      <c r="AW5" t="str">
        <v>processor</v>
      </c>
      <c r="AX5" t="str">
        <v>Next Renewable Fuels Inc.</v>
      </c>
      <c r="AY5" t="str">
        <v>makeSAF_Existing</v>
      </c>
      <c r="AZ5">
        <v>4700840.607650795</v>
      </c>
      <c r="BA5" t="str">
        <v>tons</v>
      </c>
      <c r="BB5" t="str">
        <v/>
      </c>
      <c r="BC5" t="str">
        <v/>
      </c>
      <c r="BD5" t="str">
        <v/>
      </c>
      <c r="BF5" t="str">
        <v>processor</v>
      </c>
      <c r="BG5" t="str">
        <v>Sinclair Oil Corp 1</v>
      </c>
      <c r="BH5" t="str">
        <v>blendSAF</v>
      </c>
      <c r="BI5" t="str">
        <v/>
      </c>
      <c r="BJ5" t="str">
        <v/>
      </c>
      <c r="BK5" t="str">
        <v/>
      </c>
      <c r="BL5" t="str">
        <v/>
      </c>
      <c r="BM5" t="str">
        <v/>
      </c>
      <c r="BY5" t="str">
        <v>processor</v>
      </c>
      <c r="BZ5" t="str">
        <v>Ergon Asphalt &amp; Emulsions Inc 2</v>
      </c>
      <c r="CA5" t="str">
        <v>blendSAF</v>
      </c>
      <c r="CB5" t="str">
        <v/>
      </c>
      <c r="CC5" t="str">
        <v/>
      </c>
      <c r="CD5" t="str">
        <v/>
      </c>
      <c r="CE5" t="str">
        <v/>
      </c>
      <c r="CF5" t="str">
        <v/>
      </c>
      <c r="CI5" t="s">
        <v>168</v>
      </c>
      <c r="CJ5">
        <f>COUNTIFS(SAF_State[State],Notes!CI5,SAF_State[Filtered],1)</f>
        <v>0</v>
      </c>
    </row>
    <row r="6" spans="1:88" x14ac:dyDescent="0.35">
      <c r="A6" t="s">
        <v>51</v>
      </c>
      <c r="B6" t="s">
        <v>132</v>
      </c>
      <c r="F6" t="s">
        <v>40</v>
      </c>
      <c r="H6" t="s">
        <v>40</v>
      </c>
      <c r="I6" t="s">
        <v>68</v>
      </c>
      <c r="R6" t="str">
        <f>IF(ISBLANK(O6),"",VLOOKUP(O6,'Commodities and Processes'!A:C,2,FALSE))</f>
        <v/>
      </c>
      <c r="S6" t="str">
        <f>IF(ISBLANK(O6),"",VLOOKUP(O6,'Commodities and Processes'!A:C,3,FALSE))</f>
        <v/>
      </c>
      <c r="W6" t="str" cm="1">
        <f t="array" ref="W6">IF(ISBLANK(V6),"",_xlfn.CONCAT(_xlfn.UNIQUE(_xlfn._xlws.FILTER(R6:R2004,P6:P2004=V6))))</f>
        <v/>
      </c>
      <c r="X6" t="str">
        <f t="shared" si="0"/>
        <v/>
      </c>
      <c r="AC6" s="118" t="str" cm="1">
        <f t="array" ref="AC6:AD6">_xlfn.UNIQUE(INDEX(_xlfn._xlws.FILTER(_xlfn._xlws.FILTER(SAF_Cand_Refinery[], _xlfn.TOCOL(SAF_Cand_Refinery[Filtered])=1), {1,0,1,0,0,0,0,0,0,0,0,0,0,0,0,0,0,0,0}),0))</f>
        <v>FOG</v>
      </c>
      <c r="AD6" s="145" t="str">
        <v>solid</v>
      </c>
      <c r="AE6" s="146">
        <f>'SAF Filters'!S17</f>
        <v>500</v>
      </c>
      <c r="AG6" s="119" t="str" cm="1">
        <f t="array" ref="AG6:AL6">_xlfn.UNIQUE(_xlfn._xlws.FILTER(_xlfn._xlws.FILTER(SAF_Cand_Refinery[], _xlfn.TOCOL(SAF_Cand_Refinery[Filtered])=1), {1,0,0,0,0,0,1,1,1,1,1,0,0,0,0,0,0,0,0}))</f>
        <v>FOG</v>
      </c>
      <c r="AH6" s="120">
        <v>1</v>
      </c>
      <c r="AI6" s="120" t="str">
        <v>tons</v>
      </c>
      <c r="AJ6" s="120" t="str">
        <v>SAF</v>
      </c>
      <c r="AK6" s="120">
        <v>127.21129047148131</v>
      </c>
      <c r="AL6" s="121" t="str">
        <v>gallon</v>
      </c>
      <c r="BF6" t="str">
        <v>processor</v>
      </c>
      <c r="BG6" t="str">
        <v>Sinclair Oil Corp 3</v>
      </c>
      <c r="BH6" t="str">
        <v>blendSAF</v>
      </c>
      <c r="BI6" t="str">
        <v/>
      </c>
      <c r="BJ6" t="str">
        <v/>
      </c>
      <c r="BK6" t="str">
        <v/>
      </c>
      <c r="BL6" t="str">
        <v/>
      </c>
      <c r="BM6" t="str">
        <v/>
      </c>
      <c r="BY6" t="str">
        <v>processor</v>
      </c>
      <c r="BZ6" t="str">
        <v>Sinclair Oil Corp 1</v>
      </c>
      <c r="CA6" t="str">
        <v>blendSAF</v>
      </c>
      <c r="CB6" t="str">
        <v/>
      </c>
      <c r="CC6" t="str">
        <v/>
      </c>
      <c r="CD6" t="str">
        <v/>
      </c>
      <c r="CE6" t="str">
        <v/>
      </c>
      <c r="CF6" t="str">
        <v/>
      </c>
      <c r="CI6" t="s">
        <v>156</v>
      </c>
      <c r="CJ6">
        <f>COUNTIFS(SAF_State[State],Notes!CI6,SAF_State[Filtered],1)</f>
        <v>0</v>
      </c>
    </row>
    <row r="7" spans="1:88" x14ac:dyDescent="0.35">
      <c r="A7" t="s">
        <v>52</v>
      </c>
      <c r="B7" t="s">
        <v>133</v>
      </c>
      <c r="H7" t="s">
        <v>41</v>
      </c>
      <c r="R7" t="str">
        <f>IF(ISBLANK(O7),"",VLOOKUP(O7,'Commodities and Processes'!A:C,2,FALSE))</f>
        <v/>
      </c>
      <c r="S7" t="str">
        <f>IF(ISBLANK(O7),"",VLOOKUP(O7,'Commodities and Processes'!A:C,3,FALSE))</f>
        <v/>
      </c>
      <c r="W7" t="str" cm="1">
        <f t="array" ref="W7">IF(ISBLANK(V7),"",_xlfn.CONCAT(_xlfn.UNIQUE(_xlfn._xlws.FILTER(R7:R2005,P7:P2005=V7))))</f>
        <v/>
      </c>
      <c r="X7" t="str">
        <f t="shared" si="0"/>
        <v/>
      </c>
      <c r="BF7" t="str">
        <v>processor</v>
      </c>
      <c r="BG7" t="str">
        <v>Sinclair Oil Corp 2</v>
      </c>
      <c r="BH7" t="str">
        <v>blendSAF</v>
      </c>
      <c r="BI7" t="str">
        <v/>
      </c>
      <c r="BJ7" t="str">
        <v/>
      </c>
      <c r="BK7" t="str">
        <v/>
      </c>
      <c r="BL7" t="str">
        <v/>
      </c>
      <c r="BM7" t="str">
        <v/>
      </c>
      <c r="BY7" t="str">
        <v>processor</v>
      </c>
      <c r="BZ7" t="str">
        <v>Sinclair Oil Corp 3</v>
      </c>
      <c r="CA7" t="str">
        <v>blendSAF</v>
      </c>
      <c r="CB7" t="str">
        <v/>
      </c>
      <c r="CC7" t="str">
        <v/>
      </c>
      <c r="CD7" t="str">
        <v/>
      </c>
      <c r="CE7" t="str">
        <v/>
      </c>
      <c r="CF7" t="str">
        <v/>
      </c>
      <c r="CI7" t="s">
        <v>164</v>
      </c>
      <c r="CJ7">
        <f>COUNTIFS(SAF_State[State],Notes!CI7,SAF_State[Filtered],1)</f>
        <v>0</v>
      </c>
    </row>
    <row r="8" spans="1:88" x14ac:dyDescent="0.35">
      <c r="A8" t="s">
        <v>49</v>
      </c>
      <c r="B8" t="s">
        <v>134</v>
      </c>
      <c r="H8" t="s">
        <v>42</v>
      </c>
      <c r="R8" t="str">
        <f>IF(ISBLANK(O8),"",VLOOKUP(O8,'Commodities and Processes'!A:C,2,FALSE))</f>
        <v/>
      </c>
      <c r="S8" t="str">
        <f>IF(ISBLANK(O8),"",VLOOKUP(O8,'Commodities and Processes'!A:C,3,FALSE))</f>
        <v/>
      </c>
      <c r="W8" t="str" cm="1">
        <f t="array" ref="W8">IF(ISBLANK(V8),"",_xlfn.CONCAT(_xlfn.UNIQUE(_xlfn._xlws.FILTER(R8:R2006,P8:P2006=V8))))</f>
        <v/>
      </c>
      <c r="X8" t="str">
        <f t="shared" si="0"/>
        <v/>
      </c>
      <c r="AG8" s="1" t="s">
        <v>32</v>
      </c>
      <c r="AH8" t="s">
        <v>322</v>
      </c>
      <c r="BF8" t="str">
        <v>processor</v>
      </c>
      <c r="BG8" t="str">
        <v>Andeavor Logistics Lp 7</v>
      </c>
      <c r="BH8" t="str">
        <v>blendSAF</v>
      </c>
      <c r="BI8" t="str">
        <v/>
      </c>
      <c r="BJ8" t="str">
        <v/>
      </c>
      <c r="BK8" t="str">
        <v/>
      </c>
      <c r="BL8" t="str">
        <v/>
      </c>
      <c r="BM8" t="str">
        <v/>
      </c>
      <c r="BY8" t="str">
        <v>processor</v>
      </c>
      <c r="BZ8" t="str">
        <v>Sinclair Oil Corp 2</v>
      </c>
      <c r="CA8" t="str">
        <v>blendSAF</v>
      </c>
      <c r="CB8" t="str">
        <v/>
      </c>
      <c r="CC8" t="str">
        <v/>
      </c>
      <c r="CD8" t="str">
        <v/>
      </c>
      <c r="CE8" t="str">
        <v/>
      </c>
      <c r="CF8" t="str">
        <v/>
      </c>
      <c r="CI8" t="s">
        <v>163</v>
      </c>
      <c r="CJ8">
        <f>COUNTIFS(SAF_State[State],Notes!CI8,SAF_State[Filtered],1)</f>
        <v>0</v>
      </c>
    </row>
    <row r="9" spans="1:88" x14ac:dyDescent="0.35">
      <c r="A9" t="s">
        <v>50</v>
      </c>
      <c r="B9" t="s">
        <v>111</v>
      </c>
      <c r="H9" t="s">
        <v>43</v>
      </c>
      <c r="R9" t="str">
        <f>IF(ISBLANK(O9),"",VLOOKUP(O9,'Commodities and Processes'!A:C,2,FALSE))</f>
        <v/>
      </c>
      <c r="S9" t="str">
        <f>IF(ISBLANK(O9),"",VLOOKUP(O9,'Commodities and Processes'!A:C,3,FALSE))</f>
        <v/>
      </c>
      <c r="W9" t="str" cm="1">
        <f t="array" ref="W9">IF(ISBLANK(V9),"",_xlfn.CONCAT(_xlfn.UNIQUE(_xlfn._xlws.FILTER(R9:R2007,P9:P2007=V9))))</f>
        <v/>
      </c>
      <c r="X9" t="str">
        <f t="shared" si="0"/>
        <v/>
      </c>
      <c r="AG9" s="1" t="s">
        <v>6</v>
      </c>
      <c r="AH9" t="s">
        <v>7</v>
      </c>
      <c r="BF9" t="str">
        <v>processor</v>
      </c>
      <c r="BG9" t="str">
        <v>Andeavor Logistics Lp 6</v>
      </c>
      <c r="BH9" t="str">
        <v>blendSAF</v>
      </c>
      <c r="BI9" t="str">
        <v/>
      </c>
      <c r="BJ9" t="str">
        <v/>
      </c>
      <c r="BK9" t="str">
        <v/>
      </c>
      <c r="BL9" t="str">
        <v/>
      </c>
      <c r="BM9" t="str">
        <v/>
      </c>
      <c r="BY9" t="str">
        <v>processor</v>
      </c>
      <c r="BZ9" t="str">
        <v>Andeavor Logistics Lp 7</v>
      </c>
      <c r="CA9" t="str">
        <v>blendSAF</v>
      </c>
      <c r="CB9" t="str">
        <v/>
      </c>
      <c r="CC9" t="str">
        <v/>
      </c>
      <c r="CD9" t="str">
        <v/>
      </c>
      <c r="CE9" t="str">
        <v/>
      </c>
      <c r="CF9" t="str">
        <v/>
      </c>
      <c r="CI9" t="s">
        <v>155</v>
      </c>
      <c r="CJ9">
        <f>COUNTIFS(SAF_State[State],Notes!CI9,SAF_State[Filtered],1)</f>
        <v>0</v>
      </c>
    </row>
    <row r="10" spans="1:88" x14ac:dyDescent="0.35">
      <c r="A10" t="s">
        <v>205</v>
      </c>
      <c r="B10" t="s">
        <v>112</v>
      </c>
      <c r="R10" t="str">
        <f>IF(ISBLANK(O10),"",VLOOKUP(O10,'Commodities and Processes'!A:C,2,FALSE))</f>
        <v/>
      </c>
      <c r="S10" t="str">
        <f>IF(ISBLANK(O10),"",VLOOKUP(O10,'Commodities and Processes'!A:C,3,FALSE))</f>
        <v/>
      </c>
      <c r="W10" t="str" cm="1">
        <f t="array" ref="W10">IF(ISBLANK(V10),"",_xlfn.CONCAT(_xlfn.UNIQUE(_xlfn._xlws.FILTER(R10:R2008,P10:P2008=V10))))</f>
        <v/>
      </c>
      <c r="X10" t="str">
        <f t="shared" si="0"/>
        <v/>
      </c>
      <c r="AG10" s="1" t="s">
        <v>20</v>
      </c>
      <c r="AH10" s="1" t="s">
        <v>237</v>
      </c>
      <c r="AI10" s="1" t="s">
        <v>240</v>
      </c>
      <c r="AJ10" s="1" t="s">
        <v>21</v>
      </c>
      <c r="AK10" s="1" t="s">
        <v>239</v>
      </c>
      <c r="AL10" s="1" t="s">
        <v>238</v>
      </c>
      <c r="BF10" t="str">
        <v>processor</v>
      </c>
      <c r="BG10" t="str">
        <v>Andeavor Logistics Lp 18</v>
      </c>
      <c r="BH10" t="str">
        <v>blendSAF</v>
      </c>
      <c r="BI10" t="str">
        <v/>
      </c>
      <c r="BJ10" t="str">
        <v/>
      </c>
      <c r="BK10" t="str">
        <v/>
      </c>
      <c r="BL10" t="str">
        <v/>
      </c>
      <c r="BM10" t="str">
        <v/>
      </c>
      <c r="BY10" t="str">
        <v>processor</v>
      </c>
      <c r="BZ10" t="str">
        <v>Andeavor Logistics Lp 6</v>
      </c>
      <c r="CA10" t="str">
        <v>blendSAF</v>
      </c>
      <c r="CB10" t="str">
        <v/>
      </c>
      <c r="CC10" t="str">
        <v/>
      </c>
      <c r="CD10" t="str">
        <v/>
      </c>
      <c r="CE10" t="str">
        <v/>
      </c>
      <c r="CF10" t="str">
        <v/>
      </c>
      <c r="CI10" t="s">
        <v>154</v>
      </c>
      <c r="CJ10">
        <f>COUNTIFS(SAF_State[State],Notes!CI10,SAF_State[Filtered],1)</f>
        <v>0</v>
      </c>
    </row>
    <row r="11" spans="1:88" x14ac:dyDescent="0.35">
      <c r="A11" t="s">
        <v>206</v>
      </c>
      <c r="B11" t="s">
        <v>112</v>
      </c>
      <c r="R11" t="str">
        <f>IF(ISBLANK(O11),"",VLOOKUP(O11,'Commodities and Processes'!A:C,2,FALSE))</f>
        <v/>
      </c>
      <c r="S11" t="str">
        <f>IF(ISBLANK(O11),"",VLOOKUP(O11,'Commodities and Processes'!A:C,3,FALSE))</f>
        <v/>
      </c>
      <c r="W11" t="str" cm="1">
        <f t="array" ref="W11">IF(ISBLANK(V11),"",_xlfn.CONCAT(_xlfn.UNIQUE(_xlfn._xlws.FILTER(R11:R2009,P11:P2009=V11))))</f>
        <v/>
      </c>
      <c r="X11" t="str">
        <f t="shared" si="0"/>
        <v/>
      </c>
      <c r="AG11" s="119" t="s">
        <v>318</v>
      </c>
      <c r="AH11" s="120">
        <v>1</v>
      </c>
      <c r="AI11" s="120" t="s">
        <v>42</v>
      </c>
      <c r="AJ11" s="120" t="s">
        <v>321</v>
      </c>
      <c r="AK11" s="120">
        <f>1/'SAF Filters'!T52</f>
        <v>2</v>
      </c>
      <c r="AL11" s="121" t="s">
        <v>42</v>
      </c>
      <c r="BF11" t="str">
        <v>processor</v>
      </c>
      <c r="BG11" t="str">
        <v>Christensen Inc</v>
      </c>
      <c r="BH11" t="str">
        <v>blendSAF</v>
      </c>
      <c r="BI11" t="str">
        <v/>
      </c>
      <c r="BJ11" t="str">
        <v/>
      </c>
      <c r="BK11" t="str">
        <v/>
      </c>
      <c r="BL11" t="str">
        <v/>
      </c>
      <c r="BM11" t="str">
        <v/>
      </c>
      <c r="BY11" t="str">
        <v>processor</v>
      </c>
      <c r="BZ11" t="str">
        <v>Andeavor Logistics Lp 18</v>
      </c>
      <c r="CA11" t="str">
        <v>blendSAF</v>
      </c>
      <c r="CB11" t="str">
        <v/>
      </c>
      <c r="CC11" t="str">
        <v/>
      </c>
      <c r="CD11" t="str">
        <v/>
      </c>
      <c r="CE11" t="str">
        <v/>
      </c>
      <c r="CF11" t="str">
        <v/>
      </c>
      <c r="CI11" t="s">
        <v>148</v>
      </c>
      <c r="CJ11">
        <f>COUNTIFS(SAF_State[State],Notes!CI11,SAF_State[Filtered],1)</f>
        <v>0</v>
      </c>
    </row>
    <row r="12" spans="1:88" x14ac:dyDescent="0.35">
      <c r="A12" t="s">
        <v>207</v>
      </c>
      <c r="B12" t="s">
        <v>112</v>
      </c>
      <c r="R12" t="str">
        <f>IF(ISBLANK(O12),"",VLOOKUP(O12,'Commodities and Processes'!A:C,2,FALSE))</f>
        <v/>
      </c>
      <c r="S12" t="str">
        <f>IF(ISBLANK(O12),"",VLOOKUP(O12,'Commodities and Processes'!A:C,3,FALSE))</f>
        <v/>
      </c>
      <c r="W12" t="str" cm="1">
        <f t="array" ref="W12">IF(ISBLANK(V12),"",_xlfn.CONCAT(_xlfn.UNIQUE(_xlfn._xlws.FILTER(R12:R2010,P12:P2010=V12))))</f>
        <v/>
      </c>
      <c r="X12" t="str">
        <f t="shared" si="0"/>
        <v/>
      </c>
      <c r="BF12" t="str">
        <v>processor</v>
      </c>
      <c r="BG12" t="str">
        <v>Chevron Usa Inc Willbridge</v>
      </c>
      <c r="BH12" t="str">
        <v>blendSAF</v>
      </c>
      <c r="BI12" t="str">
        <v/>
      </c>
      <c r="BJ12" t="str">
        <v/>
      </c>
      <c r="BK12" t="str">
        <v/>
      </c>
      <c r="BL12" t="str">
        <v/>
      </c>
      <c r="BM12" t="str">
        <v/>
      </c>
      <c r="BY12" t="str">
        <v>processor</v>
      </c>
      <c r="BZ12" t="str">
        <v>Christensen Inc</v>
      </c>
      <c r="CA12" t="str">
        <v>blendSAF</v>
      </c>
      <c r="CB12" t="str">
        <v/>
      </c>
      <c r="CC12" t="str">
        <v/>
      </c>
      <c r="CD12" t="str">
        <v/>
      </c>
      <c r="CE12" t="str">
        <v/>
      </c>
      <c r="CF12" t="str">
        <v/>
      </c>
      <c r="CI12" t="s">
        <v>176</v>
      </c>
      <c r="CJ12">
        <f>COUNTIFS(SAF_State[State],Notes!CI12,SAF_State[Filtered],1)</f>
        <v>0</v>
      </c>
    </row>
    <row r="13" spans="1:88" x14ac:dyDescent="0.35">
      <c r="A13" t="s">
        <v>94</v>
      </c>
      <c r="B13" t="s">
        <v>135</v>
      </c>
      <c r="R13" t="str">
        <f>IF(ISBLANK(O14),"",VLOOKUP(O14,'Commodities and Processes'!A:C,2,FALSE))</f>
        <v/>
      </c>
      <c r="S13" t="str">
        <f>IF(ISBLANK(O13),"",VLOOKUP(O13,'Commodities and Processes'!A:C,3,FALSE))</f>
        <v/>
      </c>
      <c r="W13" t="str" cm="1">
        <f t="array" ref="W13">IF(ISBLANK(V13),"",_xlfn.CONCAT(_xlfn.UNIQUE(_xlfn._xlws.FILTER(R13:R2011,P13:P2011=V13))))</f>
        <v/>
      </c>
      <c r="X13" t="str">
        <f t="shared" si="0"/>
        <v/>
      </c>
      <c r="AG13" s="1" t="s">
        <v>32</v>
      </c>
      <c r="AH13" t="s">
        <v>323</v>
      </c>
      <c r="BF13" t="str">
        <v>processor</v>
      </c>
      <c r="BG13" t="str">
        <v>Tlp Management Services Llc 3</v>
      </c>
      <c r="BH13" t="str">
        <v>blendSAF</v>
      </c>
      <c r="BI13" t="str">
        <v/>
      </c>
      <c r="BJ13" t="str">
        <v/>
      </c>
      <c r="BK13" t="str">
        <v/>
      </c>
      <c r="BL13" t="str">
        <v/>
      </c>
      <c r="BM13" t="str">
        <v/>
      </c>
      <c r="BY13" t="str">
        <v>processor</v>
      </c>
      <c r="BZ13" t="str">
        <v>Chevron Usa Inc Willbridge</v>
      </c>
      <c r="CA13" t="str">
        <v>blendSAF</v>
      </c>
      <c r="CB13" t="str">
        <v/>
      </c>
      <c r="CC13" t="str">
        <v/>
      </c>
      <c r="CD13" t="str">
        <v/>
      </c>
      <c r="CE13" t="str">
        <v/>
      </c>
      <c r="CF13" t="str">
        <v/>
      </c>
      <c r="CI13" t="s">
        <v>178</v>
      </c>
      <c r="CJ13">
        <f>COUNTIFS(SAF_State[State],Notes!CI13,SAF_State[Filtered],1)</f>
        <v>1</v>
      </c>
    </row>
    <row r="14" spans="1:88" x14ac:dyDescent="0.35">
      <c r="A14" t="s">
        <v>95</v>
      </c>
      <c r="B14" t="s">
        <v>135</v>
      </c>
      <c r="R14" t="str">
        <f>IF(ISBLANK(O15),"",VLOOKUP(O15,'Commodities and Processes'!A:C,2,FALSE))</f>
        <v/>
      </c>
      <c r="S14" t="str">
        <f>IF(ISBLANK(O14),"",VLOOKUP(O14,'Commodities and Processes'!A:C,3,FALSE))</f>
        <v/>
      </c>
      <c r="W14" t="str" cm="1">
        <f t="array" ref="W14">IF(ISBLANK(V14),"",_xlfn.CONCAT(_xlfn.UNIQUE(_xlfn._xlws.FILTER(R14:R2012,P14:P2012=V14))))</f>
        <v/>
      </c>
      <c r="X14" t="str">
        <f t="shared" si="0"/>
        <v/>
      </c>
      <c r="AG14" s="1" t="s">
        <v>6</v>
      </c>
      <c r="AH14" t="s">
        <v>7</v>
      </c>
      <c r="BF14" t="str">
        <v>processor</v>
      </c>
      <c r="BG14" t="str">
        <v>Phillips 66 Company 16</v>
      </c>
      <c r="BH14" t="str">
        <v>blendSAF</v>
      </c>
      <c r="BI14" t="str">
        <v/>
      </c>
      <c r="BJ14" t="str">
        <v/>
      </c>
      <c r="BK14" t="str">
        <v/>
      </c>
      <c r="BL14" t="str">
        <v/>
      </c>
      <c r="BM14" t="str">
        <v/>
      </c>
      <c r="BY14" t="str">
        <v>processor</v>
      </c>
      <c r="BZ14" t="str">
        <v>Tlp Management Services Llc 3</v>
      </c>
      <c r="CA14" t="str">
        <v>blendSAF</v>
      </c>
      <c r="CB14" t="str">
        <v/>
      </c>
      <c r="CC14" t="str">
        <v/>
      </c>
      <c r="CD14" t="str">
        <v/>
      </c>
      <c r="CE14" t="str">
        <v/>
      </c>
      <c r="CF14" t="str">
        <v/>
      </c>
      <c r="CI14" t="s">
        <v>190</v>
      </c>
      <c r="CJ14">
        <f>COUNTIFS(SAF_State[State],Notes!CI14,SAF_State[Filtered],1)</f>
        <v>0</v>
      </c>
    </row>
    <row r="15" spans="1:88" x14ac:dyDescent="0.35">
      <c r="A15" t="s">
        <v>96</v>
      </c>
      <c r="B15" t="s">
        <v>135</v>
      </c>
      <c r="R15" t="str">
        <f>IF(ISBLANK(O15),"",VLOOKUP(O15,'Commodities and Processes'!A:C,2,FALSE))</f>
        <v/>
      </c>
      <c r="S15" t="str">
        <f>IF(ISBLANK(O15),"",VLOOKUP(O15,'Commodities and Processes'!A:C,3,FALSE))</f>
        <v/>
      </c>
      <c r="W15" t="str" cm="1">
        <f t="array" ref="W15">IF(ISBLANK(V15),"",_xlfn.CONCAT(_xlfn.UNIQUE(_xlfn._xlws.FILTER(R15:R2013,P15:P2013=V15))))</f>
        <v/>
      </c>
      <c r="X15" t="str">
        <f t="shared" si="0"/>
        <v/>
      </c>
      <c r="AG15" s="1" t="s">
        <v>20</v>
      </c>
      <c r="AH15" s="1" t="s">
        <v>237</v>
      </c>
      <c r="AI15" s="1" t="s">
        <v>240</v>
      </c>
      <c r="AJ15" s="1" t="s">
        <v>21</v>
      </c>
      <c r="AK15" s="1" t="s">
        <v>239</v>
      </c>
      <c r="AL15" s="1" t="s">
        <v>238</v>
      </c>
      <c r="BF15" t="str">
        <v>processor</v>
      </c>
      <c r="BG15" t="str">
        <v>Phillips 66 3</v>
      </c>
      <c r="BH15" t="str">
        <v>blendSAF</v>
      </c>
      <c r="BI15" t="str">
        <v/>
      </c>
      <c r="BJ15" t="str">
        <v/>
      </c>
      <c r="BK15" t="str">
        <v/>
      </c>
      <c r="BL15" t="str">
        <v/>
      </c>
      <c r="BM15" t="str">
        <v/>
      </c>
      <c r="BY15" t="str">
        <v>processor</v>
      </c>
      <c r="BZ15" t="str">
        <v>Phillips 66 Company 16</v>
      </c>
      <c r="CA15" t="str">
        <v>blendSAF</v>
      </c>
      <c r="CB15" t="str">
        <v/>
      </c>
      <c r="CC15" t="str">
        <v/>
      </c>
      <c r="CD15" t="str">
        <v/>
      </c>
      <c r="CE15" t="str">
        <v/>
      </c>
      <c r="CF15" t="str">
        <v/>
      </c>
      <c r="CI15" t="s">
        <v>153</v>
      </c>
      <c r="CJ15">
        <f>COUNTIFS(SAF_State[State],Notes!CI15,SAF_State[Filtered],1)</f>
        <v>1</v>
      </c>
    </row>
    <row r="16" spans="1:88" x14ac:dyDescent="0.35">
      <c r="A16" t="s">
        <v>97</v>
      </c>
      <c r="B16" t="s">
        <v>135</v>
      </c>
      <c r="R16" t="str">
        <f>IF(ISBLANK(O16),"",VLOOKUP(O16,'Commodities and Processes'!A:C,2,FALSE))</f>
        <v/>
      </c>
      <c r="S16" t="str">
        <f>IF(ISBLANK(O16),"",VLOOKUP(O16,'Commodities and Processes'!A:C,3,FALSE))</f>
        <v/>
      </c>
      <c r="W16" t="str" cm="1">
        <f t="array" ref="W16">IF(ISBLANK(V16),"",_xlfn.CONCAT(_xlfn.UNIQUE(_xlfn._xlws.FILTER(R16:R2014,P16:P2014=V16))))</f>
        <v/>
      </c>
      <c r="X16" t="str">
        <f t="shared" si="0"/>
        <v/>
      </c>
      <c r="AG16" s="119" t="str" cm="1">
        <f t="array" ref="AG16:AL16">_xlfn.UNIQUE(_xlfn._xlws.FILTER(_xlfn._xlws.FILTER(SAF_Cand_Refinery[], _xlfn.TOCOL(SAF_Cand_Refinery[Filtered])=1), {1,0,0,0,0,0,1,1,1,1,1,0,0,0,0,0,0,0,0}))</f>
        <v>FOG</v>
      </c>
      <c r="AH16" s="120">
        <v>1</v>
      </c>
      <c r="AI16" s="120" t="str">
        <v>tons</v>
      </c>
      <c r="AJ16" s="120" t="str">
        <v>SAF</v>
      </c>
      <c r="AK16" s="120">
        <v>127.21129047148131</v>
      </c>
      <c r="AL16" s="121" t="str">
        <v>gallon</v>
      </c>
      <c r="BF16" t="str">
        <v>processor</v>
      </c>
      <c r="BG16" t="str">
        <v>Global Co Llc 4</v>
      </c>
      <c r="BH16" t="str">
        <v>blendSAF</v>
      </c>
      <c r="BI16" t="str">
        <v/>
      </c>
      <c r="BJ16" t="str">
        <v/>
      </c>
      <c r="BK16" t="str">
        <v/>
      </c>
      <c r="BL16" t="str">
        <v/>
      </c>
      <c r="BM16" t="str">
        <v/>
      </c>
      <c r="BY16" t="str">
        <v>processor</v>
      </c>
      <c r="BZ16" t="str">
        <v>Phillips 66 3</v>
      </c>
      <c r="CA16" t="str">
        <v>blendSAF</v>
      </c>
      <c r="CB16" t="str">
        <v/>
      </c>
      <c r="CC16" t="str">
        <v/>
      </c>
      <c r="CD16" t="str">
        <v/>
      </c>
      <c r="CE16" t="str">
        <v/>
      </c>
      <c r="CF16" t="str">
        <v/>
      </c>
      <c r="CI16" t="s">
        <v>152</v>
      </c>
      <c r="CJ16">
        <f>COUNTIFS(SAF_State[State],Notes!CI16,SAF_State[Filtered],1)</f>
        <v>0</v>
      </c>
    </row>
    <row r="17" spans="1:88" x14ac:dyDescent="0.35">
      <c r="A17" t="s">
        <v>98</v>
      </c>
      <c r="B17" t="s">
        <v>135</v>
      </c>
      <c r="R17" t="str">
        <f>IF(ISBLANK(O17),"",VLOOKUP(O17,'Commodities and Processes'!A:C,2,FALSE))</f>
        <v/>
      </c>
      <c r="S17" t="str">
        <f>IF(ISBLANK(O17),"",VLOOKUP(O17,'Commodities and Processes'!A:C,3,FALSE))</f>
        <v/>
      </c>
      <c r="W17" t="str" cm="1">
        <f t="array" ref="W17">IF(ISBLANK(V17),"",_xlfn.CONCAT(_xlfn.UNIQUE(_xlfn._xlws.FILTER(R17:R2015,P17:P2015=V17))))</f>
        <v/>
      </c>
      <c r="X17" t="str">
        <f t="shared" si="0"/>
        <v/>
      </c>
      <c r="AG17" s="142" t="s">
        <v>1662</v>
      </c>
      <c r="BF17" t="str">
        <v>processor</v>
      </c>
      <c r="BG17" t="str">
        <v>Pacific Terminal Services Inc</v>
      </c>
      <c r="BH17" t="str">
        <v>blendSAF</v>
      </c>
      <c r="BI17" t="str">
        <v/>
      </c>
      <c r="BJ17" t="str">
        <v/>
      </c>
      <c r="BK17" t="str">
        <v/>
      </c>
      <c r="BL17" t="str">
        <v/>
      </c>
      <c r="BM17" t="str">
        <v/>
      </c>
      <c r="BY17" t="str">
        <v>processor</v>
      </c>
      <c r="BZ17" t="str">
        <v>Global Co Llc 4</v>
      </c>
      <c r="CA17" t="str">
        <v>blendSAF</v>
      </c>
      <c r="CB17" t="str">
        <v/>
      </c>
      <c r="CC17" t="str">
        <v/>
      </c>
      <c r="CD17" t="str">
        <v/>
      </c>
      <c r="CE17" t="str">
        <v/>
      </c>
      <c r="CF17" t="str">
        <v/>
      </c>
      <c r="CI17" t="s">
        <v>166</v>
      </c>
      <c r="CJ17">
        <f>COUNTIFS(SAF_State[State],Notes!CI17,SAF_State[Filtered],1)</f>
        <v>0</v>
      </c>
    </row>
    <row r="18" spans="1:88" x14ac:dyDescent="0.35">
      <c r="A18" t="s">
        <v>2</v>
      </c>
      <c r="B18" t="s">
        <v>112</v>
      </c>
      <c r="R18" t="str">
        <f>IF(ISBLANK(O18),"",VLOOKUP(O18,'Commodities and Processes'!A:C,2,FALSE))</f>
        <v/>
      </c>
      <c r="S18" t="str">
        <f>IF(ISBLANK(O18),"",VLOOKUP(O18,'Commodities and Processes'!A:C,3,FALSE))</f>
        <v/>
      </c>
      <c r="W18" t="str" cm="1">
        <f t="array" ref="W18">IF(ISBLANK(V18),"",_xlfn.CONCAT(_xlfn.UNIQUE(_xlfn._xlws.FILTER(R18:R2016,P18:P2016=V18))))</f>
        <v/>
      </c>
      <c r="X18" t="str">
        <f t="shared" si="0"/>
        <v/>
      </c>
      <c r="AG18" s="142"/>
      <c r="BF18" t="str">
        <v>processor</v>
      </c>
      <c r="BG18" t="str">
        <v>Sfpp Lp 4</v>
      </c>
      <c r="BH18" t="str">
        <v>blendSAF</v>
      </c>
      <c r="BI18" t="str">
        <v/>
      </c>
      <c r="BJ18" t="str">
        <v/>
      </c>
      <c r="BK18" t="str">
        <v/>
      </c>
      <c r="BL18" t="str">
        <v/>
      </c>
      <c r="BM18" t="str">
        <v/>
      </c>
      <c r="BY18" t="str">
        <v>processor</v>
      </c>
      <c r="BZ18" t="str">
        <v>Pacific Terminal Services Inc</v>
      </c>
      <c r="CA18" t="str">
        <v>blendSAF</v>
      </c>
      <c r="CB18" t="str">
        <v/>
      </c>
      <c r="CC18" t="str">
        <v/>
      </c>
      <c r="CD18" t="str">
        <v/>
      </c>
      <c r="CE18" t="str">
        <v/>
      </c>
      <c r="CF18" t="str">
        <v/>
      </c>
      <c r="CI18" t="s">
        <v>175</v>
      </c>
      <c r="CJ18">
        <f>COUNTIFS(SAF_State[State],Notes!CI18,SAF_State[Filtered],1)</f>
        <v>0</v>
      </c>
    </row>
    <row r="19" spans="1:88" x14ac:dyDescent="0.35">
      <c r="A19" t="s">
        <v>3</v>
      </c>
      <c r="B19" t="s">
        <v>112</v>
      </c>
      <c r="R19" t="str">
        <f>IF(ISBLANK(O19),"",VLOOKUP(O19,'Commodities and Processes'!A:C,2,FALSE))</f>
        <v/>
      </c>
      <c r="S19" t="str">
        <f>IF(ISBLANK(O19),"",VLOOKUP(O19,'Commodities and Processes'!A:C,3,FALSE))</f>
        <v/>
      </c>
      <c r="W19" t="str" cm="1">
        <f t="array" ref="W19">IF(ISBLANK(V19),"",_xlfn.CONCAT(_xlfn.UNIQUE(_xlfn._xlws.FILTER(R19:R2017,P19:P2017=V19))))</f>
        <v/>
      </c>
      <c r="X19" t="str">
        <f t="shared" si="0"/>
        <v/>
      </c>
      <c r="BF19" t="str">
        <v>processor</v>
      </c>
      <c r="BG19" t="str">
        <v>Kinder Morgan Portland Liquids Termi</v>
      </c>
      <c r="BH19" t="str">
        <v>blendSAF</v>
      </c>
      <c r="BI19" t="str">
        <v/>
      </c>
      <c r="BJ19" t="str">
        <v/>
      </c>
      <c r="BK19" t="str">
        <v/>
      </c>
      <c r="BL19" t="str">
        <v/>
      </c>
      <c r="BM19" t="str">
        <v/>
      </c>
      <c r="BY19" t="str">
        <v>processor</v>
      </c>
      <c r="BZ19" t="str">
        <v>Sfpp Lp 4</v>
      </c>
      <c r="CA19" t="str">
        <v>blendSAF</v>
      </c>
      <c r="CB19" t="str">
        <v/>
      </c>
      <c r="CC19" t="str">
        <v/>
      </c>
      <c r="CD19" t="str">
        <v/>
      </c>
      <c r="CE19" t="str">
        <v/>
      </c>
      <c r="CF19" t="str">
        <v/>
      </c>
      <c r="CI19" t="s">
        <v>179</v>
      </c>
      <c r="CJ19">
        <f>COUNTIFS(SAF_State[State],Notes!CI19,SAF_State[Filtered],1)</f>
        <v>0</v>
      </c>
    </row>
    <row r="20" spans="1:88" x14ac:dyDescent="0.35">
      <c r="A20" t="s">
        <v>82</v>
      </c>
      <c r="B20" t="s">
        <v>118</v>
      </c>
      <c r="R20" t="str">
        <f>IF(ISBLANK(O20),"",VLOOKUP(O20,'Commodities and Processes'!A:C,2,FALSE))</f>
        <v/>
      </c>
      <c r="S20" t="str">
        <f>IF(ISBLANK(O20),"",VLOOKUP(O20,'Commodities and Processes'!A:C,3,FALSE))</f>
        <v/>
      </c>
      <c r="W20" t="str" cm="1">
        <f t="array" ref="W20">IF(ISBLANK(V20),"",_xlfn.CONCAT(_xlfn.UNIQUE(_xlfn._xlws.FILTER(R20:R2018,P20:P2018=V20))))</f>
        <v/>
      </c>
      <c r="X20" t="str">
        <f t="shared" si="0"/>
        <v/>
      </c>
      <c r="BF20" t="str">
        <v>processor</v>
      </c>
      <c r="BG20" t="str">
        <v>Mccall Oil &amp; Chemical</v>
      </c>
      <c r="BH20" t="str">
        <v>blendSAF</v>
      </c>
      <c r="BI20" t="str">
        <v/>
      </c>
      <c r="BJ20" t="str">
        <v/>
      </c>
      <c r="BK20" t="str">
        <v/>
      </c>
      <c r="BL20" t="str">
        <v/>
      </c>
      <c r="BM20" t="str">
        <v/>
      </c>
      <c r="BY20" t="str">
        <v>processor</v>
      </c>
      <c r="BZ20" t="str">
        <v>Kinder Morgan Portland Liquids Termi</v>
      </c>
      <c r="CA20" t="str">
        <v>blendSAF</v>
      </c>
      <c r="CB20" t="str">
        <v/>
      </c>
      <c r="CC20" t="str">
        <v/>
      </c>
      <c r="CD20" t="str">
        <v/>
      </c>
      <c r="CE20" t="str">
        <v/>
      </c>
      <c r="CF20" t="str">
        <v/>
      </c>
      <c r="CI20" t="s">
        <v>173</v>
      </c>
      <c r="CJ20">
        <f>COUNTIFS(SAF_State[State],Notes!CI20,SAF_State[Filtered],1)</f>
        <v>0</v>
      </c>
    </row>
    <row r="21" spans="1:88" x14ac:dyDescent="0.35">
      <c r="A21" t="s">
        <v>47</v>
      </c>
      <c r="B21" t="s">
        <v>118</v>
      </c>
      <c r="R21" t="str">
        <f>IF(ISBLANK(O21),"",VLOOKUP(O21,'Commodities and Processes'!A:C,2,FALSE))</f>
        <v/>
      </c>
      <c r="S21" t="str">
        <f>IF(ISBLANK(O21),"",VLOOKUP(O21,'Commodities and Processes'!A:C,3,FALSE))</f>
        <v/>
      </c>
      <c r="W21" t="str" cm="1">
        <f t="array" ref="W21">IF(ISBLANK(V21),"",_xlfn.CONCAT(_xlfn.UNIQUE(_xlfn._xlws.FILTER(R21:R2019,P21:P2019=V21))))</f>
        <v/>
      </c>
      <c r="X21" t="str">
        <f t="shared" si="0"/>
        <v/>
      </c>
      <c r="BF21" t="str">
        <v>processor</v>
      </c>
      <c r="BG21" t="str">
        <v>Nustar Energy Lp 33</v>
      </c>
      <c r="BH21" t="str">
        <v>blendSAF</v>
      </c>
      <c r="BI21" t="str">
        <v/>
      </c>
      <c r="BJ21" t="str">
        <v/>
      </c>
      <c r="BK21" t="str">
        <v/>
      </c>
      <c r="BL21" t="str">
        <v/>
      </c>
      <c r="BM21" t="str">
        <v/>
      </c>
      <c r="BY21" t="str">
        <v>processor</v>
      </c>
      <c r="BZ21" t="str">
        <v>Mccall Oil &amp; Chemical</v>
      </c>
      <c r="CA21" t="str">
        <v>blendSAF</v>
      </c>
      <c r="CB21" t="str">
        <v/>
      </c>
      <c r="CC21" t="str">
        <v/>
      </c>
      <c r="CD21" t="str">
        <v/>
      </c>
      <c r="CE21" t="str">
        <v/>
      </c>
      <c r="CF21" t="str">
        <v/>
      </c>
      <c r="CI21" t="s">
        <v>157</v>
      </c>
      <c r="CJ21">
        <f>COUNTIFS(SAF_State[State],Notes!CI21,SAF_State[Filtered],1)</f>
        <v>0</v>
      </c>
    </row>
    <row r="22" spans="1:88" x14ac:dyDescent="0.35">
      <c r="A22" t="s">
        <v>48</v>
      </c>
      <c r="B22" t="s">
        <v>118</v>
      </c>
      <c r="R22" t="str">
        <f>IF(ISBLANK(O22),"",VLOOKUP(O22,'Commodities and Processes'!A:C,2,FALSE))</f>
        <v/>
      </c>
      <c r="S22" t="str">
        <f>IF(ISBLANK(O22),"",VLOOKUP(O22,'Commodities and Processes'!A:C,3,FALSE))</f>
        <v/>
      </c>
      <c r="W22" t="str" cm="1">
        <f t="array" ref="W22">IF(ISBLANK(V22),"",_xlfn.CONCAT(_xlfn.UNIQUE(_xlfn._xlws.FILTER(R22:R2020,P22:P2020=V22))))</f>
        <v/>
      </c>
      <c r="X22" t="str">
        <f t="shared" si="0"/>
        <v/>
      </c>
      <c r="BF22" t="str">
        <v>processor</v>
      </c>
      <c r="BG22" t="str">
        <v>Equilon Enterprises Llc 3</v>
      </c>
      <c r="BH22" t="str">
        <v>blendSAF</v>
      </c>
      <c r="BI22" t="str">
        <v/>
      </c>
      <c r="BJ22" t="str">
        <v/>
      </c>
      <c r="BK22" t="str">
        <v/>
      </c>
      <c r="BL22" t="str">
        <v/>
      </c>
      <c r="BM22" t="str">
        <v/>
      </c>
      <c r="BY22" t="str">
        <v>processor</v>
      </c>
      <c r="BZ22" t="str">
        <v>Nustar Energy Lp 33</v>
      </c>
      <c r="CA22" t="str">
        <v>blendSAF</v>
      </c>
      <c r="CB22" t="str">
        <v/>
      </c>
      <c r="CC22" t="str">
        <v/>
      </c>
      <c r="CD22" t="str">
        <v/>
      </c>
      <c r="CE22" t="str">
        <v/>
      </c>
      <c r="CF22" t="str">
        <v/>
      </c>
      <c r="CI22" t="s">
        <v>184</v>
      </c>
      <c r="CJ22">
        <f>COUNTIFS(SAF_State[State],Notes!CI22,SAF_State[Filtered],1)</f>
        <v>0</v>
      </c>
    </row>
    <row r="23" spans="1:88" x14ac:dyDescent="0.35">
      <c r="A23" t="s">
        <v>37</v>
      </c>
      <c r="B23" t="s">
        <v>118</v>
      </c>
      <c r="R23" t="str">
        <f>IF(ISBLANK(O23),"",VLOOKUP(O23,'Commodities and Processes'!A:C,2,FALSE))</f>
        <v/>
      </c>
      <c r="S23" t="str">
        <f>IF(ISBLANK(O23),"",VLOOKUP(O23,'Commodities and Processes'!A:C,3,FALSE))</f>
        <v/>
      </c>
      <c r="W23" t="str" cm="1">
        <f t="array" ref="W23">IF(ISBLANK(V23),"",_xlfn.CONCAT(_xlfn.UNIQUE(_xlfn._xlws.FILTER(R23:R2021,P23:P2021=V23))))</f>
        <v/>
      </c>
      <c r="X23" t="str">
        <f t="shared" si="0"/>
        <v/>
      </c>
      <c r="BF23" t="str">
        <v>processor</v>
      </c>
      <c r="BG23" t="str">
        <v>Tidewater Terminal Co 2</v>
      </c>
      <c r="BH23" t="str">
        <v>blendSAF</v>
      </c>
      <c r="BI23" t="str">
        <v/>
      </c>
      <c r="BJ23" t="str">
        <v/>
      </c>
      <c r="BK23" t="str">
        <v/>
      </c>
      <c r="BL23" t="str">
        <v/>
      </c>
      <c r="BM23" t="str">
        <v/>
      </c>
      <c r="BY23" t="str">
        <v>processor</v>
      </c>
      <c r="BZ23" t="str">
        <v>Equilon Enterprises Llc 3</v>
      </c>
      <c r="CA23" t="str">
        <v>blendSAF</v>
      </c>
      <c r="CB23" t="str">
        <v/>
      </c>
      <c r="CC23" t="str">
        <v/>
      </c>
      <c r="CD23" t="str">
        <v/>
      </c>
      <c r="CE23" t="str">
        <v/>
      </c>
      <c r="CF23" t="str">
        <v/>
      </c>
      <c r="CI23" t="s">
        <v>187</v>
      </c>
      <c r="CJ23">
        <f>COUNTIFS(SAF_State[State],Notes!CI23,SAF_State[Filtered],1)</f>
        <v>0</v>
      </c>
    </row>
    <row r="24" spans="1:88" x14ac:dyDescent="0.35">
      <c r="A24" t="s">
        <v>38</v>
      </c>
      <c r="B24" t="s">
        <v>118</v>
      </c>
      <c r="R24" t="str">
        <f>IF(ISBLANK(O24),"",VLOOKUP(O24,'Commodities and Processes'!A:C,2,FALSE))</f>
        <v/>
      </c>
      <c r="S24" t="str">
        <f>IF(ISBLANK(O24),"",VLOOKUP(O24,'Commodities and Processes'!A:C,3,FALSE))</f>
        <v/>
      </c>
      <c r="W24" t="str" cm="1">
        <f t="array" ref="W24">IF(ISBLANK(V24),"",_xlfn.CONCAT(_xlfn.UNIQUE(_xlfn._xlws.FILTER(R24:R2022,P24:P2022=V24))))</f>
        <v/>
      </c>
      <c r="X24" t="str">
        <f t="shared" si="0"/>
        <v/>
      </c>
      <c r="BF24" t="str">
        <v>processor</v>
      </c>
      <c r="BG24" t="str">
        <v>Owens Corning 11</v>
      </c>
      <c r="BH24" t="str">
        <v>blendSAF</v>
      </c>
      <c r="BI24" t="str">
        <v/>
      </c>
      <c r="BJ24" t="str">
        <v/>
      </c>
      <c r="BK24" t="str">
        <v/>
      </c>
      <c r="BL24" t="str">
        <v/>
      </c>
      <c r="BM24" t="str">
        <v/>
      </c>
      <c r="BY24" t="str">
        <v>processor</v>
      </c>
      <c r="BZ24" t="str">
        <v>Tidewater Terminal Co 2</v>
      </c>
      <c r="CA24" t="str">
        <v>blendSAF</v>
      </c>
      <c r="CB24" t="str">
        <v/>
      </c>
      <c r="CC24" t="str">
        <v/>
      </c>
      <c r="CD24" t="str">
        <v/>
      </c>
      <c r="CE24" t="str">
        <v/>
      </c>
      <c r="CF24" t="str">
        <v/>
      </c>
      <c r="CI24" t="s">
        <v>158</v>
      </c>
      <c r="CJ24">
        <f>COUNTIFS(SAF_State[State],Notes!CI24,SAF_State[Filtered],1)</f>
        <v>0</v>
      </c>
    </row>
    <row r="25" spans="1:88" x14ac:dyDescent="0.35">
      <c r="A25" t="s">
        <v>69</v>
      </c>
      <c r="B25" t="s">
        <v>118</v>
      </c>
      <c r="R25" t="str">
        <f>IF(ISBLANK(O25),"",VLOOKUP(O25,'Commodities and Processes'!A:C,2,FALSE))</f>
        <v/>
      </c>
      <c r="S25" t="str">
        <f>IF(ISBLANK(O25),"",VLOOKUP(O25,'Commodities and Processes'!A:C,3,FALSE))</f>
        <v/>
      </c>
      <c r="W25" t="str" cm="1">
        <f t="array" ref="W25">IF(ISBLANK(V25),"",_xlfn.CONCAT(_xlfn.UNIQUE(_xlfn._xlws.FILTER(R25:R2023,P25:P2023=V25))))</f>
        <v/>
      </c>
      <c r="X25" t="str">
        <f t="shared" si="0"/>
        <v/>
      </c>
      <c r="BF25" t="str">
        <v>processor</v>
      </c>
      <c r="BG25" t="str">
        <v>Zenith Energy Terminals Holdings Llc</v>
      </c>
      <c r="BH25" t="str">
        <v>blendSAF</v>
      </c>
      <c r="BI25" t="str">
        <v/>
      </c>
      <c r="BJ25" t="str">
        <v/>
      </c>
      <c r="BK25" t="str">
        <v/>
      </c>
      <c r="BL25" t="str">
        <v/>
      </c>
      <c r="BM25" t="str">
        <v/>
      </c>
      <c r="BY25" t="str">
        <v>processor</v>
      </c>
      <c r="BZ25" t="str">
        <v>Owens Corning 11</v>
      </c>
      <c r="CA25" t="str">
        <v>blendSAF</v>
      </c>
      <c r="CB25" t="str">
        <v/>
      </c>
      <c r="CC25" t="str">
        <v/>
      </c>
      <c r="CD25" t="str">
        <v/>
      </c>
      <c r="CE25" t="str">
        <v/>
      </c>
      <c r="CF25" t="str">
        <v/>
      </c>
      <c r="CI25" t="s">
        <v>147</v>
      </c>
      <c r="CJ25">
        <f>COUNTIFS(SAF_State[State],Notes!CI25,SAF_State[Filtered],1)</f>
        <v>0</v>
      </c>
    </row>
    <row r="26" spans="1:88" x14ac:dyDescent="0.35">
      <c r="A26" t="s">
        <v>76</v>
      </c>
      <c r="B26" t="s">
        <v>114</v>
      </c>
      <c r="C26" t="s">
        <v>117</v>
      </c>
      <c r="R26" t="str">
        <f>IF(ISBLANK(O26),"",VLOOKUP(O26,'Commodities and Processes'!A:C,2,FALSE))</f>
        <v/>
      </c>
      <c r="S26" t="str">
        <f>IF(ISBLANK(O26),"",VLOOKUP(O26,'Commodities and Processes'!A:C,3,FALSE))</f>
        <v/>
      </c>
      <c r="W26" t="str" cm="1">
        <f t="array" ref="W26">IF(ISBLANK(V26),"",_xlfn.CONCAT(_xlfn.UNIQUE(_xlfn._xlws.FILTER(R26:R2024,P26:P2024=V26))))</f>
        <v/>
      </c>
      <c r="X26" t="str">
        <f t="shared" si="0"/>
        <v/>
      </c>
      <c r="BF26" t="str">
        <v>processor</v>
      </c>
      <c r="BG26" t="str">
        <v>Reg Grays Harbor Llc</v>
      </c>
      <c r="BH26" t="str">
        <v>blendSAF</v>
      </c>
      <c r="BI26" t="str">
        <v/>
      </c>
      <c r="BJ26" t="str">
        <v/>
      </c>
      <c r="BK26" t="str">
        <v/>
      </c>
      <c r="BL26" t="str">
        <v/>
      </c>
      <c r="BM26" t="str">
        <v/>
      </c>
      <c r="BY26" t="str">
        <v>processor</v>
      </c>
      <c r="BZ26" t="str">
        <v>Zenith Energy Terminals Holdings Llc</v>
      </c>
      <c r="CA26" t="str">
        <v>blendSAF</v>
      </c>
      <c r="CB26" t="str">
        <v/>
      </c>
      <c r="CC26" t="str">
        <v/>
      </c>
      <c r="CD26" t="str">
        <v/>
      </c>
      <c r="CE26" t="str">
        <v/>
      </c>
      <c r="CF26" t="str">
        <v/>
      </c>
      <c r="CI26" t="s">
        <v>183</v>
      </c>
      <c r="CJ26">
        <f>COUNTIFS(SAF_State[State],Notes!CI26,SAF_State[Filtered],1)</f>
        <v>0</v>
      </c>
    </row>
    <row r="27" spans="1:88" x14ac:dyDescent="0.35">
      <c r="A27" t="s">
        <v>77</v>
      </c>
      <c r="B27" t="s">
        <v>114</v>
      </c>
      <c r="C27" t="s">
        <v>117</v>
      </c>
      <c r="R27" t="str">
        <f>IF(ISBLANK(O27),"",VLOOKUP(O27,'Commodities and Processes'!A:C,2,FALSE))</f>
        <v/>
      </c>
      <c r="S27" t="str">
        <f>IF(ISBLANK(O27),"",VLOOKUP(O27,'Commodities and Processes'!A:C,3,FALSE))</f>
        <v/>
      </c>
      <c r="W27" t="str" cm="1">
        <f t="array" ref="W27">IF(ISBLANK(V27),"",_xlfn.CONCAT(_xlfn.UNIQUE(_xlfn._xlws.FILTER(R27:R2025,P27:P2025=V27))))</f>
        <v/>
      </c>
      <c r="X27" t="str">
        <f t="shared" si="0"/>
        <v/>
      </c>
      <c r="BF27" t="str">
        <v>processor</v>
      </c>
      <c r="BG27" t="str">
        <v>Ergon Asphalt &amp; Emulsions Inc 11</v>
      </c>
      <c r="BH27" t="str">
        <v>blendSAF</v>
      </c>
      <c r="BI27" t="str">
        <v/>
      </c>
      <c r="BJ27" t="str">
        <v/>
      </c>
      <c r="BK27" t="str">
        <v/>
      </c>
      <c r="BL27" t="str">
        <v/>
      </c>
      <c r="BM27" t="str">
        <v/>
      </c>
      <c r="BY27" t="str">
        <v>processor</v>
      </c>
      <c r="BZ27" t="str">
        <v>Reg Grays Harbor Llc</v>
      </c>
      <c r="CA27" t="str">
        <v>blendSAF</v>
      </c>
      <c r="CB27" t="str">
        <v/>
      </c>
      <c r="CC27" t="str">
        <v/>
      </c>
      <c r="CD27" t="str">
        <v/>
      </c>
      <c r="CE27" t="str">
        <v/>
      </c>
      <c r="CF27" t="str">
        <v/>
      </c>
      <c r="CI27" t="s">
        <v>145</v>
      </c>
      <c r="CJ27">
        <f>COUNTIFS(SAF_State[State],Notes!CI27,SAF_State[Filtered],1)</f>
        <v>0</v>
      </c>
    </row>
    <row r="28" spans="1:88" x14ac:dyDescent="0.35">
      <c r="A28" t="s">
        <v>78</v>
      </c>
      <c r="B28" t="s">
        <v>114</v>
      </c>
      <c r="C28" t="s">
        <v>117</v>
      </c>
      <c r="R28" t="str">
        <f>IF(ISBLANK(O28),"",VLOOKUP(O28,'Commodities and Processes'!A:C,2,FALSE))</f>
        <v/>
      </c>
      <c r="S28" t="str">
        <f>IF(ISBLANK(O28),"",VLOOKUP(O28,'Commodities and Processes'!A:C,3,FALSE))</f>
        <v/>
      </c>
      <c r="W28" t="str" cm="1">
        <f t="array" ref="W28">IF(ISBLANK(V28),"",_xlfn.CONCAT(_xlfn.UNIQUE(_xlfn._xlws.FILTER(R28:R2026,P28:P2026=V28))))</f>
        <v/>
      </c>
      <c r="X28" t="str">
        <f t="shared" si="0"/>
        <v/>
      </c>
      <c r="BF28" t="str">
        <v>processor</v>
      </c>
      <c r="BG28" t="str">
        <v>Ergon Asphalt 7 Emulsions Inc</v>
      </c>
      <c r="BH28" t="str">
        <v>blendSAF</v>
      </c>
      <c r="BI28" t="str">
        <v/>
      </c>
      <c r="BJ28" t="str">
        <v/>
      </c>
      <c r="BK28" t="str">
        <v/>
      </c>
      <c r="BL28" t="str">
        <v/>
      </c>
      <c r="BM28" t="str">
        <v/>
      </c>
      <c r="BY28" t="str">
        <v>processor</v>
      </c>
      <c r="BZ28" t="str">
        <v>Ergon Asphalt &amp; Emulsions Inc 11</v>
      </c>
      <c r="CA28" t="str">
        <v>blendSAF</v>
      </c>
      <c r="CB28" t="str">
        <v/>
      </c>
      <c r="CC28" t="str">
        <v/>
      </c>
      <c r="CD28" t="str">
        <v/>
      </c>
      <c r="CE28" t="str">
        <v/>
      </c>
      <c r="CF28" t="str">
        <v/>
      </c>
      <c r="CI28" t="s">
        <v>165</v>
      </c>
      <c r="CJ28">
        <f>COUNTIFS(SAF_State[State],Notes!CI28,SAF_State[Filtered],1)</f>
        <v>0</v>
      </c>
    </row>
    <row r="29" spans="1:88" x14ac:dyDescent="0.35">
      <c r="A29" t="s">
        <v>79</v>
      </c>
      <c r="B29" t="s">
        <v>114</v>
      </c>
      <c r="C29" t="s">
        <v>117</v>
      </c>
      <c r="R29" t="str">
        <f>IF(ISBLANK(O29),"",VLOOKUP(O29,'Commodities and Processes'!A:C,2,FALSE))</f>
        <v/>
      </c>
      <c r="S29" t="str">
        <f>IF(ISBLANK(O29),"",VLOOKUP(O29,'Commodities and Processes'!A:C,3,FALSE))</f>
        <v/>
      </c>
      <c r="W29" t="str" cm="1">
        <f t="array" ref="W29">IF(ISBLANK(V29),"",_xlfn.CONCAT(_xlfn.UNIQUE(_xlfn._xlws.FILTER(R29:R2027,P29:P2027=V29))))</f>
        <v/>
      </c>
      <c r="X29" t="str">
        <f t="shared" si="0"/>
        <v/>
      </c>
      <c r="BF29" t="str">
        <v>processor</v>
      </c>
      <c r="BG29" t="str">
        <v>Ergon Asphalt &amp; Emulsions Inc 14</v>
      </c>
      <c r="BH29" t="str">
        <v>blendSAF</v>
      </c>
      <c r="BI29" t="str">
        <v/>
      </c>
      <c r="BJ29" t="str">
        <v/>
      </c>
      <c r="BK29" t="str">
        <v/>
      </c>
      <c r="BL29" t="str">
        <v/>
      </c>
      <c r="BM29" t="str">
        <v/>
      </c>
      <c r="BY29" t="str">
        <v>processor</v>
      </c>
      <c r="BZ29" t="str">
        <v>Ergon Asphalt 7 Emulsions Inc</v>
      </c>
      <c r="CA29" t="str">
        <v>blendSAF</v>
      </c>
      <c r="CB29" t="str">
        <v/>
      </c>
      <c r="CC29" t="str">
        <v/>
      </c>
      <c r="CD29" t="str">
        <v/>
      </c>
      <c r="CE29" t="str">
        <v/>
      </c>
      <c r="CF29" t="str">
        <v/>
      </c>
    </row>
    <row r="30" spans="1:88" x14ac:dyDescent="0.35">
      <c r="A30" t="s">
        <v>80</v>
      </c>
      <c r="B30" t="s">
        <v>114</v>
      </c>
      <c r="C30" t="s">
        <v>117</v>
      </c>
      <c r="R30" t="str">
        <f>IF(ISBLANK(O30),"",VLOOKUP(O30,'Commodities and Processes'!A:C,2,FALSE))</f>
        <v/>
      </c>
      <c r="S30" t="str">
        <f>IF(ISBLANK(O30),"",VLOOKUP(O30,'Commodities and Processes'!A:C,3,FALSE))</f>
        <v/>
      </c>
      <c r="W30" t="str" cm="1">
        <f t="array" ref="W30">IF(ISBLANK(V30),"",_xlfn.CONCAT(_xlfn.UNIQUE(_xlfn._xlws.FILTER(R30:R2028,P30:P2028=V30))))</f>
        <v/>
      </c>
      <c r="X30" t="str">
        <f t="shared" si="0"/>
        <v/>
      </c>
      <c r="BF30" t="str">
        <v>processor</v>
      </c>
      <c r="BG30" t="str">
        <v>Tlp Management Services Llc 4</v>
      </c>
      <c r="BH30" t="str">
        <v>blendSAF</v>
      </c>
      <c r="BI30" t="str">
        <v/>
      </c>
      <c r="BJ30" t="str">
        <v/>
      </c>
      <c r="BK30" t="str">
        <v/>
      </c>
      <c r="BL30" t="str">
        <v/>
      </c>
      <c r="BM30" t="str">
        <v/>
      </c>
      <c r="BY30" t="str">
        <v>processor</v>
      </c>
      <c r="BZ30" t="str">
        <v>Ergon Asphalt &amp; Emulsions Inc 14</v>
      </c>
      <c r="CA30" t="str">
        <v>blendSAF</v>
      </c>
      <c r="CB30" t="str">
        <v/>
      </c>
      <c r="CC30" t="str">
        <v/>
      </c>
      <c r="CD30" t="str">
        <v/>
      </c>
      <c r="CE30" t="str">
        <v/>
      </c>
      <c r="CF30" t="str">
        <v/>
      </c>
      <c r="CI30" s="1" t="s">
        <v>1700</v>
      </c>
      <c r="CJ30" s="1">
        <f>SUM(CJ4:CJ28)</f>
        <v>2</v>
      </c>
    </row>
    <row r="31" spans="1:88" x14ac:dyDescent="0.35">
      <c r="A31" t="s">
        <v>81</v>
      </c>
      <c r="B31" t="s">
        <v>114</v>
      </c>
      <c r="C31" t="s">
        <v>117</v>
      </c>
      <c r="R31" t="str">
        <f>IF(ISBLANK(O31),"",VLOOKUP(O31,'Commodities and Processes'!A:C,2,FALSE))</f>
        <v/>
      </c>
      <c r="S31" t="str">
        <f>IF(ISBLANK(O31),"",VLOOKUP(O31,'Commodities and Processes'!A:C,3,FALSE))</f>
        <v/>
      </c>
      <c r="W31" t="str" cm="1">
        <f t="array" ref="W31">IF(ISBLANK(V31),"",_xlfn.CONCAT(_xlfn.UNIQUE(_xlfn._xlws.FILTER(R31:R2029,P31:P2029=V31))))</f>
        <v/>
      </c>
      <c r="X31" t="str">
        <f t="shared" si="0"/>
        <v/>
      </c>
      <c r="BF31" t="str">
        <v>processor</v>
      </c>
      <c r="BG31" t="str">
        <v>Seaport Sound Terminal Llc</v>
      </c>
      <c r="BH31" t="str">
        <v>blendSAF</v>
      </c>
      <c r="BI31" t="str">
        <v/>
      </c>
      <c r="BJ31" t="str">
        <v/>
      </c>
      <c r="BK31" t="str">
        <v/>
      </c>
      <c r="BL31" t="str">
        <v/>
      </c>
      <c r="BM31" t="str">
        <v/>
      </c>
      <c r="BY31" t="str">
        <v>processor</v>
      </c>
      <c r="BZ31" t="str">
        <v>Tlp Management Services Llc 4</v>
      </c>
      <c r="CA31" t="str">
        <v>blendSAF</v>
      </c>
      <c r="CB31" t="str">
        <v/>
      </c>
      <c r="CC31" t="str">
        <v/>
      </c>
      <c r="CD31" t="str">
        <v/>
      </c>
      <c r="CE31" t="str">
        <v/>
      </c>
      <c r="CF31" t="str">
        <v/>
      </c>
    </row>
    <row r="32" spans="1:88" x14ac:dyDescent="0.35">
      <c r="A32" t="s">
        <v>33</v>
      </c>
      <c r="B32" t="s">
        <v>114</v>
      </c>
      <c r="C32" t="s">
        <v>117</v>
      </c>
      <c r="R32" t="str">
        <f>IF(ISBLANK(O32),"",VLOOKUP(O32,'Commodities and Processes'!A:C,2,FALSE))</f>
        <v/>
      </c>
      <c r="S32" t="str">
        <f>IF(ISBLANK(O32),"",VLOOKUP(O32,'Commodities and Processes'!A:C,3,FALSE))</f>
        <v/>
      </c>
      <c r="W32" t="str" cm="1">
        <f t="array" ref="W32">IF(ISBLANK(V32),"",_xlfn.CONCAT(_xlfn.UNIQUE(_xlfn._xlws.FILTER(R32:R2030,P32:P2030=V32))))</f>
        <v/>
      </c>
      <c r="X32" t="str">
        <f t="shared" si="0"/>
        <v/>
      </c>
      <c r="BF32" t="str">
        <v>processor</v>
      </c>
      <c r="BG32" t="str">
        <v>Phillips 66 Company 23</v>
      </c>
      <c r="BH32" t="str">
        <v>blendSAF</v>
      </c>
      <c r="BI32" t="str">
        <v/>
      </c>
      <c r="BJ32" t="str">
        <v/>
      </c>
      <c r="BK32" t="str">
        <v/>
      </c>
      <c r="BL32" t="str">
        <v/>
      </c>
      <c r="BM32" t="str">
        <v/>
      </c>
      <c r="BY32" t="str">
        <v>processor</v>
      </c>
      <c r="BZ32" t="str">
        <v>Seaport Sound Terminal Llc</v>
      </c>
      <c r="CA32" t="str">
        <v>blendSAF</v>
      </c>
      <c r="CB32" t="str">
        <v/>
      </c>
      <c r="CC32" t="str">
        <v/>
      </c>
      <c r="CD32" t="str">
        <v/>
      </c>
      <c r="CE32" t="str">
        <v/>
      </c>
      <c r="CF32" t="str">
        <v/>
      </c>
    </row>
    <row r="33" spans="1:84" x14ac:dyDescent="0.35">
      <c r="A33" t="s">
        <v>34</v>
      </c>
      <c r="B33" t="s">
        <v>114</v>
      </c>
      <c r="C33" t="s">
        <v>117</v>
      </c>
      <c r="R33" t="str">
        <f>IF(ISBLANK(O33),"",VLOOKUP(O33,'Commodities and Processes'!A:C,2,FALSE))</f>
        <v/>
      </c>
      <c r="S33" t="str">
        <f>IF(ISBLANK(O33),"",VLOOKUP(O33,'Commodities and Processes'!A:C,3,FALSE))</f>
        <v/>
      </c>
      <c r="W33" t="str" cm="1">
        <f t="array" ref="W33">IF(ISBLANK(V33),"",_xlfn.CONCAT(_xlfn.UNIQUE(_xlfn._xlws.FILTER(R33:R2031,P33:P2031=V33))))</f>
        <v/>
      </c>
      <c r="X33" t="str">
        <f t="shared" si="0"/>
        <v/>
      </c>
      <c r="BF33" t="str">
        <v>processor</v>
      </c>
      <c r="BG33" t="str">
        <v>Phillips 66 Company 24</v>
      </c>
      <c r="BH33" t="str">
        <v>blendSAF</v>
      </c>
      <c r="BI33" t="str">
        <v/>
      </c>
      <c r="BJ33" t="str">
        <v/>
      </c>
      <c r="BK33" t="str">
        <v/>
      </c>
      <c r="BL33" t="str">
        <v/>
      </c>
      <c r="BM33" t="str">
        <v/>
      </c>
      <c r="BY33" t="str">
        <v>processor</v>
      </c>
      <c r="BZ33" t="str">
        <v>Phillips 66 Company 23</v>
      </c>
      <c r="CA33" t="str">
        <v>blendSAF</v>
      </c>
      <c r="CB33" t="str">
        <v/>
      </c>
      <c r="CC33" t="str">
        <v/>
      </c>
      <c r="CD33" t="str">
        <v/>
      </c>
      <c r="CE33" t="str">
        <v/>
      </c>
      <c r="CF33" t="str">
        <v/>
      </c>
    </row>
    <row r="34" spans="1:84" x14ac:dyDescent="0.35">
      <c r="A34" t="s">
        <v>10</v>
      </c>
      <c r="B34" t="s">
        <v>113</v>
      </c>
      <c r="C34" t="s">
        <v>132</v>
      </c>
      <c r="R34" t="str">
        <f>IF(ISBLANK(O34),"",VLOOKUP(O34,'Commodities and Processes'!A:C,2,FALSE))</f>
        <v/>
      </c>
      <c r="S34" t="str">
        <f>IF(ISBLANK(O34),"",VLOOKUP(O34,'Commodities and Processes'!A:C,3,FALSE))</f>
        <v/>
      </c>
      <c r="W34" t="str" cm="1">
        <f t="array" ref="W34">IF(ISBLANK(V34),"",_xlfn.CONCAT(_xlfn.UNIQUE(_xlfn._xlws.FILTER(R34:R2032,P34:P2032=V34))))</f>
        <v/>
      </c>
      <c r="X34" t="str">
        <f t="shared" si="0"/>
        <v/>
      </c>
      <c r="BF34" t="str">
        <v>processor</v>
      </c>
      <c r="BG34" t="str">
        <v>Phillips 66 Company 17</v>
      </c>
      <c r="BH34" t="str">
        <v>blendSAF</v>
      </c>
      <c r="BI34" t="str">
        <v/>
      </c>
      <c r="BJ34" t="str">
        <v/>
      </c>
      <c r="BK34" t="str">
        <v/>
      </c>
      <c r="BL34" t="str">
        <v/>
      </c>
      <c r="BM34" t="str">
        <v/>
      </c>
      <c r="BY34" t="str">
        <v>processor</v>
      </c>
      <c r="BZ34" t="str">
        <v>Phillips 66 Company 24</v>
      </c>
      <c r="CA34" t="str">
        <v>blendSAF</v>
      </c>
      <c r="CB34" t="str">
        <v/>
      </c>
      <c r="CC34" t="str">
        <v/>
      </c>
      <c r="CD34" t="str">
        <v/>
      </c>
      <c r="CE34" t="str">
        <v/>
      </c>
      <c r="CF34" t="str">
        <v/>
      </c>
    </row>
    <row r="35" spans="1:84" x14ac:dyDescent="0.35">
      <c r="A35" t="s">
        <v>11</v>
      </c>
      <c r="B35" t="s">
        <v>113</v>
      </c>
      <c r="C35" t="s">
        <v>133</v>
      </c>
      <c r="R35" t="str">
        <f>IF(ISBLANK(O35),"",VLOOKUP(O35,'Commodities and Processes'!A:C,2,FALSE))</f>
        <v/>
      </c>
      <c r="S35" t="str">
        <f>IF(ISBLANK(O35),"",VLOOKUP(O35,'Commodities and Processes'!A:C,3,FALSE))</f>
        <v/>
      </c>
      <c r="W35" t="str" cm="1">
        <f t="array" ref="W35">IF(ISBLANK(V35),"",_xlfn.CONCAT(_xlfn.UNIQUE(_xlfn._xlws.FILTER(R35:R2033,P35:P2033=V35))))</f>
        <v/>
      </c>
      <c r="X35" t="str">
        <f t="shared" si="0"/>
        <v/>
      </c>
      <c r="BF35" t="str">
        <v>processor</v>
      </c>
      <c r="BG35" t="str">
        <v>Holly Energy Partners Oper Lp 6</v>
      </c>
      <c r="BH35" t="str">
        <v>blendSAF</v>
      </c>
      <c r="BI35" t="str">
        <v/>
      </c>
      <c r="BJ35" t="str">
        <v/>
      </c>
      <c r="BK35" t="str">
        <v/>
      </c>
      <c r="BL35" t="str">
        <v/>
      </c>
      <c r="BM35" t="str">
        <v/>
      </c>
      <c r="BY35" t="str">
        <v>processor</v>
      </c>
      <c r="BZ35" t="str">
        <v>Phillips 66 Company 17</v>
      </c>
      <c r="CA35" t="str">
        <v>blendSAF</v>
      </c>
      <c r="CB35" t="str">
        <v/>
      </c>
      <c r="CC35" t="str">
        <v/>
      </c>
      <c r="CD35" t="str">
        <v/>
      </c>
      <c r="CE35" t="str">
        <v/>
      </c>
      <c r="CF35" t="str">
        <v/>
      </c>
    </row>
    <row r="36" spans="1:84" x14ac:dyDescent="0.35">
      <c r="A36" t="s">
        <v>59</v>
      </c>
      <c r="B36" t="s">
        <v>114</v>
      </c>
      <c r="C36" t="s">
        <v>117</v>
      </c>
      <c r="R36" t="str">
        <f>IF(ISBLANK(O36),"",VLOOKUP(O36,'Commodities and Processes'!A:C,2,FALSE))</f>
        <v/>
      </c>
      <c r="S36" t="str">
        <f>IF(ISBLANK(O36),"",VLOOKUP(O36,'Commodities and Processes'!A:C,3,FALSE))</f>
        <v/>
      </c>
      <c r="W36" t="str" cm="1">
        <f t="array" ref="W36">IF(ISBLANK(V36),"",_xlfn.CONCAT(_xlfn.UNIQUE(_xlfn._xlws.FILTER(R36:R2034,P36:P2034=V36))))</f>
        <v/>
      </c>
      <c r="X36" t="str">
        <f t="shared" si="0"/>
        <v/>
      </c>
      <c r="BF36" t="str">
        <v>processor</v>
      </c>
      <c r="BG36" t="str">
        <v>Kinder Morgan Energy Partner Lp</v>
      </c>
      <c r="BH36" t="str">
        <v>blendSAF</v>
      </c>
      <c r="BI36" t="str">
        <v/>
      </c>
      <c r="BJ36" t="str">
        <v/>
      </c>
      <c r="BK36" t="str">
        <v/>
      </c>
      <c r="BL36" t="str">
        <v/>
      </c>
      <c r="BM36" t="str">
        <v/>
      </c>
      <c r="BY36" t="str">
        <v>processor</v>
      </c>
      <c r="BZ36" t="str">
        <v>Holly Energy Partners Oper Lp 6</v>
      </c>
      <c r="CA36" t="str">
        <v>blendSAF</v>
      </c>
      <c r="CB36" t="str">
        <v/>
      </c>
      <c r="CC36" t="str">
        <v/>
      </c>
      <c r="CD36" t="str">
        <v/>
      </c>
      <c r="CE36" t="str">
        <v/>
      </c>
      <c r="CF36" t="str">
        <v/>
      </c>
    </row>
    <row r="37" spans="1:84" x14ac:dyDescent="0.35">
      <c r="A37" t="s">
        <v>53</v>
      </c>
      <c r="B37" t="s">
        <v>113</v>
      </c>
      <c r="C37" t="s">
        <v>132</v>
      </c>
      <c r="R37" t="str">
        <f>IF(ISBLANK(O37),"",VLOOKUP(O37,'Commodities and Processes'!A:C,2,FALSE))</f>
        <v/>
      </c>
      <c r="S37" t="str">
        <f>IF(ISBLANK(O37),"",VLOOKUP(O37,'Commodities and Processes'!A:C,3,FALSE))</f>
        <v/>
      </c>
      <c r="W37" t="str" cm="1">
        <f t="array" ref="W37">IF(ISBLANK(V37),"",_xlfn.CONCAT(_xlfn.UNIQUE(_xlfn._xlws.FILTER(R37:R2035,P37:P2035=V37))))</f>
        <v/>
      </c>
      <c r="X37" t="str">
        <f t="shared" si="0"/>
        <v/>
      </c>
      <c r="BF37" t="str">
        <v>processor</v>
      </c>
      <c r="BG37" t="str">
        <v>Tesoro Refining &amp; Marketing 8</v>
      </c>
      <c r="BH37" t="str">
        <v>blendSAF</v>
      </c>
      <c r="BI37" t="str">
        <v/>
      </c>
      <c r="BJ37" t="str">
        <v/>
      </c>
      <c r="BK37" t="str">
        <v/>
      </c>
      <c r="BL37" t="str">
        <v/>
      </c>
      <c r="BM37" t="str">
        <v/>
      </c>
      <c r="BY37" t="str">
        <v>processor</v>
      </c>
      <c r="BZ37" t="str">
        <v>Kinder Morgan Energy Partner Lp</v>
      </c>
      <c r="CA37" t="str">
        <v>blendSAF</v>
      </c>
      <c r="CB37" t="str">
        <v/>
      </c>
      <c r="CC37" t="str">
        <v/>
      </c>
      <c r="CD37" t="str">
        <v/>
      </c>
      <c r="CE37" t="str">
        <v/>
      </c>
      <c r="CF37" t="str">
        <v/>
      </c>
    </row>
    <row r="38" spans="1:84" x14ac:dyDescent="0.35">
      <c r="A38" t="s">
        <v>54</v>
      </c>
      <c r="B38" t="s">
        <v>113</v>
      </c>
      <c r="C38" t="s">
        <v>133</v>
      </c>
      <c r="R38" t="str">
        <f>IF(ISBLANK(O38),"",VLOOKUP(O38,'Commodities and Processes'!A:C,2,FALSE))</f>
        <v/>
      </c>
      <c r="S38" t="str">
        <f>IF(ISBLANK(O38),"",VLOOKUP(O38,'Commodities and Processes'!A:C,3,FALSE))</f>
        <v/>
      </c>
      <c r="W38" t="str" cm="1">
        <f t="array" ref="W38">IF(ISBLANK(V38),"",_xlfn.CONCAT(_xlfn.UNIQUE(_xlfn._xlws.FILTER(R38:R2036,P38:P2036=V38))))</f>
        <v/>
      </c>
      <c r="X38" t="str">
        <f t="shared" si="0"/>
        <v/>
      </c>
      <c r="BF38" t="str">
        <v>processor</v>
      </c>
      <c r="BG38" t="str">
        <v>Andeavor Logistics Lp 23</v>
      </c>
      <c r="BH38" t="str">
        <v>blendSAF</v>
      </c>
      <c r="BI38" t="str">
        <v/>
      </c>
      <c r="BJ38" t="str">
        <v/>
      </c>
      <c r="BK38" t="str">
        <v/>
      </c>
      <c r="BL38" t="str">
        <v/>
      </c>
      <c r="BM38" t="str">
        <v/>
      </c>
      <c r="BY38" t="str">
        <v>processor</v>
      </c>
      <c r="BZ38" t="str">
        <v>Tesoro Refining &amp; Marketing 8</v>
      </c>
      <c r="CA38" t="str">
        <v>blendSAF</v>
      </c>
      <c r="CB38" t="str">
        <v/>
      </c>
      <c r="CC38" t="str">
        <v/>
      </c>
      <c r="CD38" t="str">
        <v/>
      </c>
      <c r="CE38" t="str">
        <v/>
      </c>
      <c r="CF38" t="str">
        <v/>
      </c>
    </row>
    <row r="39" spans="1:84" x14ac:dyDescent="0.35">
      <c r="A39" t="s">
        <v>60</v>
      </c>
      <c r="B39" t="s">
        <v>114</v>
      </c>
      <c r="C39" t="s">
        <v>117</v>
      </c>
      <c r="R39" t="str">
        <f>IF(ISBLANK(O39),"",VLOOKUP(O39,'Commodities and Processes'!A:C,2,FALSE))</f>
        <v/>
      </c>
      <c r="S39" t="str">
        <f>IF(ISBLANK(O39),"",VLOOKUP(O39,'Commodities and Processes'!A:C,3,FALSE))</f>
        <v/>
      </c>
      <c r="W39" t="str" cm="1">
        <f t="array" ref="W39">IF(ISBLANK(V39),"",_xlfn.CONCAT(_xlfn.UNIQUE(_xlfn._xlws.FILTER(R39:R2037,P39:P2037=V39))))</f>
        <v/>
      </c>
      <c r="X39" t="str">
        <f t="shared" si="0"/>
        <v/>
      </c>
      <c r="BF39" t="str">
        <v>processor</v>
      </c>
      <c r="BG39" t="str">
        <v>Andeavor Logistics Lp 16</v>
      </c>
      <c r="BH39" t="str">
        <v>blendSAF</v>
      </c>
      <c r="BI39" t="str">
        <v/>
      </c>
      <c r="BJ39" t="str">
        <v/>
      </c>
      <c r="BK39" t="str">
        <v/>
      </c>
      <c r="BL39" t="str">
        <v/>
      </c>
      <c r="BM39" t="str">
        <v/>
      </c>
      <c r="BY39" t="str">
        <v>processor</v>
      </c>
      <c r="BZ39" t="str">
        <v>Andeavor Logistics Lp 23</v>
      </c>
      <c r="CA39" t="str">
        <v>blendSAF</v>
      </c>
      <c r="CB39" t="str">
        <v/>
      </c>
      <c r="CC39" t="str">
        <v/>
      </c>
      <c r="CD39" t="str">
        <v/>
      </c>
      <c r="CE39" t="str">
        <v/>
      </c>
      <c r="CF39" t="str">
        <v/>
      </c>
    </row>
    <row r="40" spans="1:84" x14ac:dyDescent="0.35">
      <c r="A40" t="s">
        <v>55</v>
      </c>
      <c r="B40" t="s">
        <v>113</v>
      </c>
      <c r="C40" t="s">
        <v>132</v>
      </c>
      <c r="R40" t="str">
        <f>IF(ISBLANK(O40),"",VLOOKUP(O40,'Commodities and Processes'!A:C,2,FALSE))</f>
        <v/>
      </c>
      <c r="S40" t="str">
        <f>IF(ISBLANK(O40),"",VLOOKUP(O40,'Commodities and Processes'!A:C,3,FALSE))</f>
        <v/>
      </c>
      <c r="W40" t="str" cm="1">
        <f t="array" ref="W40">IF(ISBLANK(V40),"",_xlfn.CONCAT(_xlfn.UNIQUE(_xlfn._xlws.FILTER(R40:R2038,P40:P2038=V40))))</f>
        <v/>
      </c>
      <c r="X40" t="str">
        <f t="shared" si="0"/>
        <v/>
      </c>
      <c r="BF40" t="str">
        <v>processor</v>
      </c>
      <c r="BG40" t="str">
        <v>Nustar Energy Lp 43</v>
      </c>
      <c r="BH40" t="str">
        <v>blendSAF</v>
      </c>
      <c r="BI40" t="str">
        <v/>
      </c>
      <c r="BJ40" t="str">
        <v/>
      </c>
      <c r="BK40" t="str">
        <v/>
      </c>
      <c r="BL40" t="str">
        <v/>
      </c>
      <c r="BM40" t="str">
        <v/>
      </c>
      <c r="BY40" t="str">
        <v>processor</v>
      </c>
      <c r="BZ40" t="str">
        <v>Andeavor Logistics Lp 16</v>
      </c>
      <c r="CA40" t="str">
        <v>blendSAF</v>
      </c>
      <c r="CB40" t="str">
        <v/>
      </c>
      <c r="CC40" t="str">
        <v/>
      </c>
      <c r="CD40" t="str">
        <v/>
      </c>
      <c r="CE40" t="str">
        <v/>
      </c>
      <c r="CF40" t="str">
        <v/>
      </c>
    </row>
    <row r="41" spans="1:84" x14ac:dyDescent="0.35">
      <c r="A41" t="s">
        <v>56</v>
      </c>
      <c r="B41" t="s">
        <v>113</v>
      </c>
      <c r="C41" t="s">
        <v>133</v>
      </c>
      <c r="R41" t="str">
        <f>IF(ISBLANK(O41),"",VLOOKUP(O41,'Commodities and Processes'!A:C,2,FALSE))</f>
        <v/>
      </c>
      <c r="S41" t="str">
        <f>IF(ISBLANK(O41),"",VLOOKUP(O41,'Commodities and Processes'!A:C,3,FALSE))</f>
        <v/>
      </c>
      <c r="W41" t="str" cm="1">
        <f t="array" ref="W41">IF(ISBLANK(V41),"",_xlfn.CONCAT(_xlfn.UNIQUE(_xlfn._xlws.FILTER(R41:R2039,P41:P2039=V41))))</f>
        <v/>
      </c>
      <c r="X41" t="str">
        <f t="shared" si="0"/>
        <v/>
      </c>
      <c r="BF41" t="str">
        <v>processor</v>
      </c>
      <c r="BG41" t="str">
        <v>Nustar Energy Lp 44</v>
      </c>
      <c r="BH41" t="str">
        <v>blendSAF</v>
      </c>
      <c r="BI41" t="str">
        <v/>
      </c>
      <c r="BJ41" t="str">
        <v/>
      </c>
      <c r="BK41" t="str">
        <v/>
      </c>
      <c r="BL41" t="str">
        <v/>
      </c>
      <c r="BM41" t="str">
        <v/>
      </c>
      <c r="BY41" t="str">
        <v>processor</v>
      </c>
      <c r="BZ41" t="str">
        <v>Nustar Energy Lp 43</v>
      </c>
      <c r="CA41" t="str">
        <v>blendSAF</v>
      </c>
      <c r="CB41" t="str">
        <v/>
      </c>
      <c r="CC41" t="str">
        <v/>
      </c>
      <c r="CD41" t="str">
        <v/>
      </c>
      <c r="CE41" t="str">
        <v/>
      </c>
      <c r="CF41" t="str">
        <v/>
      </c>
    </row>
    <row r="42" spans="1:84" x14ac:dyDescent="0.35">
      <c r="A42" t="s">
        <v>61</v>
      </c>
      <c r="B42" t="s">
        <v>114</v>
      </c>
      <c r="C42" t="s">
        <v>117</v>
      </c>
      <c r="R42" t="str">
        <f>IF(ISBLANK(O42),"",VLOOKUP(O42,'Commodities and Processes'!A:C,2,FALSE))</f>
        <v/>
      </c>
      <c r="S42" t="str">
        <f>IF(ISBLANK(O42),"",VLOOKUP(O42,'Commodities and Processes'!A:C,3,FALSE))</f>
        <v/>
      </c>
      <c r="W42" t="str" cm="1">
        <f t="array" ref="W42">IF(ISBLANK(V42),"",_xlfn.CONCAT(_xlfn.UNIQUE(_xlfn._xlws.FILTER(R42:R2040,P42:P2040=V42))))</f>
        <v/>
      </c>
      <c r="X42" t="str">
        <f t="shared" si="0"/>
        <v/>
      </c>
      <c r="BF42" t="str">
        <v>processor</v>
      </c>
      <c r="BG42" t="str">
        <v>Par Montana Llc 9</v>
      </c>
      <c r="BH42" t="str">
        <v>blendSAF</v>
      </c>
      <c r="BI42" t="str">
        <v/>
      </c>
      <c r="BJ42" t="str">
        <v/>
      </c>
      <c r="BK42" t="str">
        <v/>
      </c>
      <c r="BL42" t="str">
        <v/>
      </c>
      <c r="BM42" t="str">
        <v/>
      </c>
      <c r="BY42" t="str">
        <v>processor</v>
      </c>
      <c r="BZ42" t="str">
        <v>Nustar Energy Lp 44</v>
      </c>
      <c r="CA42" t="str">
        <v>blendSAF</v>
      </c>
      <c r="CB42" t="str">
        <v/>
      </c>
      <c r="CC42" t="str">
        <v/>
      </c>
      <c r="CD42" t="str">
        <v/>
      </c>
      <c r="CE42" t="str">
        <v/>
      </c>
      <c r="CF42" t="str">
        <v/>
      </c>
    </row>
    <row r="43" spans="1:84" x14ac:dyDescent="0.35">
      <c r="A43" t="s">
        <v>57</v>
      </c>
      <c r="B43" t="s">
        <v>113</v>
      </c>
      <c r="C43" t="s">
        <v>133</v>
      </c>
      <c r="R43" t="str">
        <f>IF(ISBLANK(O43),"",VLOOKUP(O43,'Commodities and Processes'!A:C,2,FALSE))</f>
        <v/>
      </c>
      <c r="S43" t="str">
        <f>IF(ISBLANK(O43),"",VLOOKUP(O43,'Commodities and Processes'!A:C,3,FALSE))</f>
        <v/>
      </c>
      <c r="W43" t="str" cm="1">
        <f t="array" ref="W43">IF(ISBLANK(V43),"",_xlfn.CONCAT(_xlfn.UNIQUE(_xlfn._xlws.FILTER(R43:R2041,P43:P2041=V43))))</f>
        <v/>
      </c>
      <c r="X43" t="str">
        <f t="shared" si="0"/>
        <v/>
      </c>
      <c r="BF43" t="str">
        <v>processor</v>
      </c>
      <c r="BG43" t="str">
        <v>Par Montana Llc 10</v>
      </c>
      <c r="BH43" t="str">
        <v>blendSAF</v>
      </c>
      <c r="BI43" t="str">
        <v/>
      </c>
      <c r="BJ43" t="str">
        <v/>
      </c>
      <c r="BK43" t="str">
        <v/>
      </c>
      <c r="BL43" t="str">
        <v/>
      </c>
      <c r="BM43" t="str">
        <v/>
      </c>
      <c r="BY43" t="str">
        <v>processor</v>
      </c>
      <c r="BZ43" t="str">
        <v>Par Montana Llc 9</v>
      </c>
      <c r="CA43" t="str">
        <v>blendSAF</v>
      </c>
      <c r="CB43" t="str">
        <v/>
      </c>
      <c r="CC43" t="str">
        <v/>
      </c>
      <c r="CD43" t="str">
        <v/>
      </c>
      <c r="CE43" t="str">
        <v/>
      </c>
      <c r="CF43" t="str">
        <v/>
      </c>
    </row>
    <row r="44" spans="1:84" x14ac:dyDescent="0.35">
      <c r="A44" t="s">
        <v>58</v>
      </c>
      <c r="B44" t="s">
        <v>113</v>
      </c>
      <c r="C44" t="s">
        <v>133</v>
      </c>
      <c r="R44" t="str">
        <f>IF(ISBLANK(O44),"",VLOOKUP(O44,'Commodities and Processes'!A:C,2,FALSE))</f>
        <v/>
      </c>
      <c r="S44" t="str">
        <f>IF(ISBLANK(O44),"",VLOOKUP(O44,'Commodities and Processes'!A:C,3,FALSE))</f>
        <v/>
      </c>
      <c r="W44" t="str" cm="1">
        <f t="array" ref="W44">IF(ISBLANK(V44),"",_xlfn.CONCAT(_xlfn.UNIQUE(_xlfn._xlws.FILTER(R44:R2042,P44:P2042=V44))))</f>
        <v/>
      </c>
      <c r="X44" t="str">
        <f t="shared" si="0"/>
        <v/>
      </c>
      <c r="BF44" t="str">
        <v>processor</v>
      </c>
      <c r="BG44" t="str">
        <v>Petrogas West Llc</v>
      </c>
      <c r="BH44" t="str">
        <v>blendSAF</v>
      </c>
      <c r="BI44" t="str">
        <v/>
      </c>
      <c r="BJ44" t="str">
        <v/>
      </c>
      <c r="BK44" t="str">
        <v/>
      </c>
      <c r="BL44" t="str">
        <v/>
      </c>
      <c r="BM44" t="str">
        <v/>
      </c>
      <c r="BY44" t="str">
        <v>processor</v>
      </c>
      <c r="BZ44" t="str">
        <v>Par Montana Llc 10</v>
      </c>
      <c r="CA44" t="str">
        <v>blendSAF</v>
      </c>
      <c r="CB44" t="str">
        <v/>
      </c>
      <c r="CC44" t="str">
        <v/>
      </c>
      <c r="CD44" t="str">
        <v/>
      </c>
      <c r="CE44" t="str">
        <v/>
      </c>
      <c r="CF44" t="str">
        <v/>
      </c>
    </row>
    <row r="45" spans="1:84" x14ac:dyDescent="0.35">
      <c r="A45" t="s">
        <v>71</v>
      </c>
      <c r="B45" t="s">
        <v>114</v>
      </c>
      <c r="C45" t="s">
        <v>117</v>
      </c>
      <c r="R45" t="str">
        <f>IF(ISBLANK(O45),"",VLOOKUP(O45,'Commodities and Processes'!A:C,2,FALSE))</f>
        <v/>
      </c>
      <c r="S45" t="str">
        <f>IF(ISBLANK(O45),"",VLOOKUP(O45,'Commodities and Processes'!A:C,3,FALSE))</f>
        <v/>
      </c>
      <c r="W45" t="str" cm="1">
        <f t="array" ref="W45">IF(ISBLANK(V45),"",_xlfn.CONCAT(_xlfn.UNIQUE(_xlfn._xlws.FILTER(R45:R2043,P45:P2043=V45))))</f>
        <v/>
      </c>
      <c r="X45" t="str">
        <f t="shared" si="0"/>
        <v/>
      </c>
      <c r="BF45" t="str">
        <v>processor</v>
      </c>
      <c r="BG45" t="str">
        <v>Equilon Enterprises Llc 5</v>
      </c>
      <c r="BH45" t="str">
        <v>blendSAF</v>
      </c>
      <c r="BI45" t="str">
        <v/>
      </c>
      <c r="BJ45" t="str">
        <v/>
      </c>
      <c r="BK45" t="str">
        <v/>
      </c>
      <c r="BL45" t="str">
        <v/>
      </c>
      <c r="BM45" t="str">
        <v/>
      </c>
      <c r="BY45" t="str">
        <v>processor</v>
      </c>
      <c r="BZ45" t="str">
        <v>Petrogas West Llc</v>
      </c>
      <c r="CA45" t="str">
        <v>blendSAF</v>
      </c>
      <c r="CB45" t="str">
        <v/>
      </c>
      <c r="CC45" t="str">
        <v/>
      </c>
      <c r="CD45" t="str">
        <v/>
      </c>
      <c r="CE45" t="str">
        <v/>
      </c>
      <c r="CF45" t="str">
        <v/>
      </c>
    </row>
    <row r="46" spans="1:84" x14ac:dyDescent="0.35">
      <c r="A46" t="s">
        <v>72</v>
      </c>
      <c r="B46" t="s">
        <v>114</v>
      </c>
      <c r="C46" t="s">
        <v>117</v>
      </c>
      <c r="R46" t="str">
        <f>IF(ISBLANK(O46),"",VLOOKUP(O46,'Commodities and Processes'!A:C,2,FALSE))</f>
        <v/>
      </c>
      <c r="S46" t="str">
        <f>IF(ISBLANK(O46),"",VLOOKUP(O46,'Commodities and Processes'!A:C,3,FALSE))</f>
        <v/>
      </c>
      <c r="W46" t="str" cm="1">
        <f t="array" ref="W46">IF(ISBLANK(V46),"",_xlfn.CONCAT(_xlfn.UNIQUE(_xlfn._xlws.FILTER(R46:R2044,P46:P2044=V46))))</f>
        <v/>
      </c>
      <c r="X46" t="str">
        <f t="shared" si="0"/>
        <v/>
      </c>
      <c r="BF46" t="str">
        <v>processor</v>
      </c>
      <c r="BG46" t="str">
        <v>Tidewater Terminal Co 1</v>
      </c>
      <c r="BH46" t="str">
        <v>blendSAF</v>
      </c>
      <c r="BI46" t="str">
        <v/>
      </c>
      <c r="BJ46" t="str">
        <v/>
      </c>
      <c r="BK46" t="str">
        <v/>
      </c>
      <c r="BL46" t="str">
        <v/>
      </c>
      <c r="BM46" t="str">
        <v/>
      </c>
      <c r="BY46" t="str">
        <v>processor</v>
      </c>
      <c r="BZ46" t="str">
        <v>Equilon Enterprises Llc 5</v>
      </c>
      <c r="CA46" t="str">
        <v>blendSAF</v>
      </c>
      <c r="CB46" t="str">
        <v/>
      </c>
      <c r="CC46" t="str">
        <v/>
      </c>
      <c r="CD46" t="str">
        <v/>
      </c>
      <c r="CE46" t="str">
        <v/>
      </c>
      <c r="CF46" t="str">
        <v/>
      </c>
    </row>
    <row r="47" spans="1:84" x14ac:dyDescent="0.35">
      <c r="A47" t="s">
        <v>73</v>
      </c>
      <c r="B47" t="s">
        <v>114</v>
      </c>
      <c r="C47" t="s">
        <v>117</v>
      </c>
      <c r="R47" t="str">
        <f>IF(ISBLANK(O47),"",VLOOKUP(O47,'Commodities and Processes'!A:C,2,FALSE))</f>
        <v/>
      </c>
      <c r="S47" t="str">
        <f>IF(ISBLANK(O47),"",VLOOKUP(O47,'Commodities and Processes'!A:C,3,FALSE))</f>
        <v/>
      </c>
      <c r="W47" t="str" cm="1">
        <f t="array" ref="W47">IF(ISBLANK(V47),"",_xlfn.CONCAT(_xlfn.UNIQUE(_xlfn._xlws.FILTER(R47:R2045,P47:P2045=V47))))</f>
        <v/>
      </c>
      <c r="X47" t="str">
        <f t="shared" si="0"/>
        <v/>
      </c>
      <c r="BF47" t="str">
        <v>processor</v>
      </c>
      <c r="BG47" t="str">
        <v>Tidewater Terminal Co 3</v>
      </c>
      <c r="BH47" t="str">
        <v>blendSAF</v>
      </c>
      <c r="BI47" t="str">
        <v/>
      </c>
      <c r="BJ47" t="str">
        <v/>
      </c>
      <c r="BK47" t="str">
        <v/>
      </c>
      <c r="BL47" t="str">
        <v/>
      </c>
      <c r="BM47" t="str">
        <v/>
      </c>
      <c r="BY47" t="str">
        <v>processor</v>
      </c>
      <c r="BZ47" t="str">
        <v>Tidewater Terminal Co 1</v>
      </c>
      <c r="CA47" t="str">
        <v>blendSAF</v>
      </c>
      <c r="CB47" t="str">
        <v/>
      </c>
      <c r="CC47" t="str">
        <v/>
      </c>
      <c r="CD47" t="str">
        <v/>
      </c>
      <c r="CE47" t="str">
        <v/>
      </c>
      <c r="CF47" t="str">
        <v/>
      </c>
    </row>
    <row r="48" spans="1:84" x14ac:dyDescent="0.35">
      <c r="A48" t="s">
        <v>74</v>
      </c>
      <c r="B48" t="s">
        <v>114</v>
      </c>
      <c r="C48" t="s">
        <v>117</v>
      </c>
      <c r="R48" t="str">
        <f>IF(ISBLANK(O48),"",VLOOKUP(O48,'Commodities and Processes'!A:C,2,FALSE))</f>
        <v/>
      </c>
      <c r="S48" t="str">
        <f>IF(ISBLANK(O48),"",VLOOKUP(O48,'Commodities and Processes'!A:C,3,FALSE))</f>
        <v/>
      </c>
      <c r="W48" t="str" cm="1">
        <f t="array" ref="W48">IF(ISBLANK(V48),"",_xlfn.CONCAT(_xlfn.UNIQUE(_xlfn._xlws.FILTER(R48:R2046,P48:P2046=V48))))</f>
        <v/>
      </c>
      <c r="X48" t="str">
        <f t="shared" si="0"/>
        <v/>
      </c>
      <c r="BY48" t="str">
        <v>processor</v>
      </c>
      <c r="BZ48" t="str">
        <v>Tidewater Terminal Co 3</v>
      </c>
      <c r="CA48" t="str">
        <v>blendSAF</v>
      </c>
      <c r="CB48" t="str">
        <v/>
      </c>
      <c r="CC48" t="str">
        <v/>
      </c>
      <c r="CD48" t="str">
        <v/>
      </c>
      <c r="CE48" t="str">
        <v/>
      </c>
      <c r="CF48" t="str">
        <v/>
      </c>
    </row>
    <row r="49" spans="1:84" x14ac:dyDescent="0.35">
      <c r="A49" t="s">
        <v>75</v>
      </c>
      <c r="B49" t="s">
        <v>114</v>
      </c>
      <c r="C49" t="s">
        <v>117</v>
      </c>
      <c r="R49" t="str">
        <f>IF(ISBLANK(O49),"",VLOOKUP(O49,'Commodities and Processes'!A:C,2,FALSE))</f>
        <v/>
      </c>
      <c r="S49" t="str">
        <f>IF(ISBLANK(O49),"",VLOOKUP(O49,'Commodities and Processes'!A:C,3,FALSE))</f>
        <v/>
      </c>
      <c r="W49" t="str" cm="1">
        <f t="array" ref="W49">IF(ISBLANK(V49),"",_xlfn.CONCAT(_xlfn.UNIQUE(_xlfn._xlws.FILTER(R49:R2047,P49:P2047=V49))))</f>
        <v/>
      </c>
      <c r="X49" t="str">
        <f t="shared" si="0"/>
        <v/>
      </c>
      <c r="BY49" t="str">
        <v>ultimate_destination</v>
      </c>
      <c r="BZ49" t="str">
        <v>SEA</v>
      </c>
      <c r="CA49" t="str">
        <v>fuel_blend</v>
      </c>
      <c r="CB49">
        <v>710000000</v>
      </c>
      <c r="CC49" t="str">
        <v>gallons</v>
      </c>
      <c r="CD49" t="str">
        <v/>
      </c>
      <c r="CE49" t="str">
        <v/>
      </c>
      <c r="CF49" t="str">
        <v/>
      </c>
    </row>
    <row r="50" spans="1:84" x14ac:dyDescent="0.35">
      <c r="A50" t="s">
        <v>91</v>
      </c>
      <c r="B50" t="s">
        <v>135</v>
      </c>
      <c r="R50" t="str">
        <f>IF(ISBLANK(O50),"",VLOOKUP(O50,'Commodities and Processes'!A:C,2,FALSE))</f>
        <v/>
      </c>
      <c r="S50" t="str">
        <f>IF(ISBLANK(O50),"",VLOOKUP(O50,'Commodities and Processes'!A:C,3,FALSE))</f>
        <v/>
      </c>
      <c r="W50" t="str" cm="1">
        <f t="array" ref="W50">IF(ISBLANK(V50),"",_xlfn.CONCAT(_xlfn.UNIQUE(_xlfn._xlws.FILTER(R50:R2048,P50:P2048=V50))))</f>
        <v/>
      </c>
      <c r="X50" t="str">
        <f t="shared" si="0"/>
        <v/>
      </c>
      <c r="BY50" t="str">
        <v>processor</v>
      </c>
      <c r="BZ50" t="str">
        <v>Montana Renewables (Calumet)</v>
      </c>
      <c r="CA50" t="str">
        <v>makeSAF_Existing</v>
      </c>
      <c r="CB50">
        <v>1808015.6183272291</v>
      </c>
      <c r="CC50" t="str">
        <v>tons</v>
      </c>
      <c r="CD50" t="str">
        <v/>
      </c>
      <c r="CE50" t="str">
        <v/>
      </c>
      <c r="CF50" t="str">
        <v/>
      </c>
    </row>
    <row r="51" spans="1:84" x14ac:dyDescent="0.35">
      <c r="A51" t="s">
        <v>84</v>
      </c>
      <c r="B51" t="s">
        <v>113</v>
      </c>
      <c r="C51" t="s">
        <v>134</v>
      </c>
      <c r="R51" t="str">
        <f>IF(ISBLANK(O51),"",VLOOKUP(O51,'Commodities and Processes'!A:C,2,FALSE))</f>
        <v/>
      </c>
      <c r="S51" t="str">
        <f>IF(ISBLANK(O51),"",VLOOKUP(O51,'Commodities and Processes'!A:C,3,FALSE))</f>
        <v/>
      </c>
      <c r="W51" t="str" cm="1">
        <f t="array" ref="W51">IF(ISBLANK(V51),"",_xlfn.CONCAT(_xlfn.UNIQUE(_xlfn._xlws.FILTER(R51:R2049,P51:P2049=V51))))</f>
        <v/>
      </c>
      <c r="X51" t="str">
        <f t="shared" si="0"/>
        <v/>
      </c>
      <c r="BY51" t="str">
        <v>processor</v>
      </c>
      <c r="BZ51" t="str">
        <v>Next Renewable Fuels Inc.</v>
      </c>
      <c r="CA51" t="str">
        <v>makeSAF_Existing</v>
      </c>
      <c r="CB51">
        <v>4700840.607650795</v>
      </c>
      <c r="CC51" t="str">
        <v>tons</v>
      </c>
      <c r="CD51" t="str">
        <v/>
      </c>
      <c r="CE51" t="str">
        <v/>
      </c>
      <c r="CF51" t="str">
        <v/>
      </c>
    </row>
    <row r="52" spans="1:84" x14ac:dyDescent="0.35">
      <c r="A52" t="s">
        <v>85</v>
      </c>
      <c r="B52" t="s">
        <v>113</v>
      </c>
      <c r="C52" t="s">
        <v>134</v>
      </c>
      <c r="R52" t="str">
        <f>IF(ISBLANK(O52),"",VLOOKUP(O52,'Commodities and Processes'!A:C,2,FALSE))</f>
        <v/>
      </c>
      <c r="S52" t="str">
        <f>IF(ISBLANK(O52),"",VLOOKUP(O52,'Commodities and Processes'!A:C,3,FALSE))</f>
        <v/>
      </c>
      <c r="W52" t="str" cm="1">
        <f t="array" ref="W52">IF(ISBLANK(V52),"",_xlfn.CONCAT(_xlfn.UNIQUE(_xlfn._xlws.FILTER(R52:R2050,P52:P2050=V52))))</f>
        <v/>
      </c>
      <c r="X52" t="str">
        <f t="shared" si="0"/>
        <v/>
      </c>
    </row>
    <row r="53" spans="1:84" x14ac:dyDescent="0.35">
      <c r="A53" t="s">
        <v>86</v>
      </c>
      <c r="B53" t="s">
        <v>113</v>
      </c>
      <c r="C53" t="s">
        <v>134</v>
      </c>
      <c r="R53" t="str">
        <f>IF(ISBLANK(O53),"",VLOOKUP(O53,'Commodities and Processes'!A:C,2,FALSE))</f>
        <v/>
      </c>
      <c r="S53" t="str">
        <f>IF(ISBLANK(O53),"",VLOOKUP(O53,'Commodities and Processes'!A:C,3,FALSE))</f>
        <v/>
      </c>
      <c r="W53" t="str" cm="1">
        <f t="array" ref="W53">IF(ISBLANK(V53),"",_xlfn.CONCAT(_xlfn.UNIQUE(_xlfn._xlws.FILTER(R53:R2051,P53:P2051=V53))))</f>
        <v/>
      </c>
      <c r="X53" t="str">
        <f t="shared" si="0"/>
        <v/>
      </c>
    </row>
    <row r="54" spans="1:84" x14ac:dyDescent="0.35">
      <c r="A54" t="s">
        <v>87</v>
      </c>
      <c r="B54" t="s">
        <v>113</v>
      </c>
      <c r="C54" t="s">
        <v>134</v>
      </c>
      <c r="R54" t="str">
        <f>IF(ISBLANK(O54),"",VLOOKUP(O54,'Commodities and Processes'!A:C,2,FALSE))</f>
        <v/>
      </c>
      <c r="S54" t="str">
        <f>IF(ISBLANK(O54),"",VLOOKUP(O54,'Commodities and Processes'!A:C,3,FALSE))</f>
        <v/>
      </c>
      <c r="W54" t="str" cm="1">
        <f t="array" ref="W54">IF(ISBLANK(V54),"",_xlfn.CONCAT(_xlfn.UNIQUE(_xlfn._xlws.FILTER(R54:R2052,P54:P2052=V54))))</f>
        <v/>
      </c>
      <c r="X54" t="str">
        <f t="shared" si="0"/>
        <v/>
      </c>
    </row>
    <row r="55" spans="1:84" x14ac:dyDescent="0.35">
      <c r="A55" t="s">
        <v>88</v>
      </c>
      <c r="B55" t="s">
        <v>113</v>
      </c>
      <c r="C55" t="s">
        <v>134</v>
      </c>
      <c r="R55" t="str">
        <f>IF(ISBLANK(O55),"",VLOOKUP(O55,'Commodities and Processes'!A:C,2,FALSE))</f>
        <v/>
      </c>
      <c r="S55" t="str">
        <f>IF(ISBLANK(O55),"",VLOOKUP(O55,'Commodities and Processes'!A:C,3,FALSE))</f>
        <v/>
      </c>
      <c r="W55" t="str" cm="1">
        <f t="array" ref="W55">IF(ISBLANK(V55),"",_xlfn.CONCAT(_xlfn.UNIQUE(_xlfn._xlws.FILTER(R55:R2053,P55:P2053=V55))))</f>
        <v/>
      </c>
      <c r="X55" t="str">
        <f t="shared" si="0"/>
        <v/>
      </c>
    </row>
    <row r="56" spans="1:84" x14ac:dyDescent="0.35">
      <c r="A56" t="s">
        <v>109</v>
      </c>
      <c r="B56" t="s">
        <v>113</v>
      </c>
      <c r="R56" t="str">
        <f>IF(ISBLANK(O56),"",VLOOKUP(O56,'Commodities and Processes'!A:C,2,FALSE))</f>
        <v/>
      </c>
      <c r="S56" t="str">
        <f>IF(ISBLANK(O56),"",VLOOKUP(O56,'Commodities and Processes'!A:C,3,FALSE))</f>
        <v/>
      </c>
      <c r="W56" t="str" cm="1">
        <f t="array" ref="W56">IF(ISBLANK(V56),"",_xlfn.CONCAT(_xlfn.UNIQUE(_xlfn._xlws.FILTER(R56:R2054,P56:P2054=V56))))</f>
        <v/>
      </c>
      <c r="X56" t="str">
        <f t="shared" si="0"/>
        <v/>
      </c>
    </row>
    <row r="57" spans="1:84" x14ac:dyDescent="0.35">
      <c r="A57" t="s">
        <v>83</v>
      </c>
      <c r="B57" t="s">
        <v>135</v>
      </c>
      <c r="R57" t="str">
        <f>IF(ISBLANK(O57),"",VLOOKUP(O57,'Commodities and Processes'!A:C,2,FALSE))</f>
        <v/>
      </c>
      <c r="S57" t="str">
        <f>IF(ISBLANK(O57),"",VLOOKUP(O57,'Commodities and Processes'!A:C,3,FALSE))</f>
        <v/>
      </c>
      <c r="W57" t="str" cm="1">
        <f t="array" ref="W57">IF(ISBLANK(V57),"",_xlfn.CONCAT(_xlfn.UNIQUE(_xlfn._xlws.FILTER(R57:R2055,P57:P2055=V57))))</f>
        <v/>
      </c>
      <c r="X57" t="str">
        <f t="shared" si="0"/>
        <v/>
      </c>
    </row>
    <row r="58" spans="1:84" x14ac:dyDescent="0.35">
      <c r="A58" t="s">
        <v>92</v>
      </c>
      <c r="B58" t="s">
        <v>114</v>
      </c>
      <c r="C58" t="s">
        <v>134</v>
      </c>
      <c r="R58" t="str">
        <f>IF(ISBLANK(O58),"",VLOOKUP(O58,'Commodities and Processes'!A:C,2,FALSE))</f>
        <v/>
      </c>
      <c r="S58" t="str">
        <f>IF(ISBLANK(O58),"",VLOOKUP(O58,'Commodities and Processes'!A:C,3,FALSE))</f>
        <v/>
      </c>
      <c r="W58" t="str" cm="1">
        <f t="array" ref="W58">IF(ISBLANK(V58),"",_xlfn.CONCAT(_xlfn.UNIQUE(_xlfn._xlws.FILTER(R58:R2056,P58:P2056=V58))))</f>
        <v/>
      </c>
      <c r="X58" t="str">
        <f t="shared" si="0"/>
        <v/>
      </c>
    </row>
    <row r="59" spans="1:84" x14ac:dyDescent="0.35">
      <c r="A59" t="s">
        <v>93</v>
      </c>
      <c r="B59" t="s">
        <v>114</v>
      </c>
      <c r="C59" t="s">
        <v>134</v>
      </c>
      <c r="R59" t="str">
        <f>IF(ISBLANK(O59),"",VLOOKUP(O59,'Commodities and Processes'!A:C,2,FALSE))</f>
        <v/>
      </c>
      <c r="S59" t="str">
        <f>IF(ISBLANK(O59),"",VLOOKUP(O59,'Commodities and Processes'!A:C,3,FALSE))</f>
        <v/>
      </c>
      <c r="W59" t="str" cm="1">
        <f t="array" ref="W59">IF(ISBLANK(V59),"",_xlfn.CONCAT(_xlfn.UNIQUE(_xlfn._xlws.FILTER(R59:R2057,P59:P2057=V59))))</f>
        <v/>
      </c>
      <c r="X59" t="str">
        <f t="shared" si="0"/>
        <v/>
      </c>
    </row>
    <row r="60" spans="1:84" x14ac:dyDescent="0.35">
      <c r="A60" t="s">
        <v>102</v>
      </c>
      <c r="B60" t="s">
        <v>135</v>
      </c>
      <c r="R60" t="str">
        <f>IF(ISBLANK(O60),"",VLOOKUP(O60,'Commodities and Processes'!A:C,2,FALSE))</f>
        <v/>
      </c>
      <c r="S60" t="str">
        <f>IF(ISBLANK(O60),"",VLOOKUP(O60,'Commodities and Processes'!A:C,3,FALSE))</f>
        <v/>
      </c>
      <c r="W60" t="str" cm="1">
        <f t="array" ref="W60">IF(ISBLANK(V60),"",_xlfn.CONCAT(_xlfn.UNIQUE(_xlfn._xlws.FILTER(R60:R2058,P60:P2058=V60))))</f>
        <v/>
      </c>
      <c r="X60" t="str">
        <f t="shared" si="0"/>
        <v/>
      </c>
    </row>
    <row r="61" spans="1:84" x14ac:dyDescent="0.35">
      <c r="A61" t="s">
        <v>103</v>
      </c>
      <c r="B61" t="s">
        <v>135</v>
      </c>
      <c r="R61" t="str">
        <f>IF(ISBLANK(O61),"",VLOOKUP(O61,'Commodities and Processes'!A:C,2,FALSE))</f>
        <v/>
      </c>
      <c r="S61" t="str">
        <f>IF(ISBLANK(O61),"",VLOOKUP(O61,'Commodities and Processes'!A:C,3,FALSE))</f>
        <v/>
      </c>
      <c r="W61" t="str" cm="1">
        <f t="array" ref="W61">IF(ISBLANK(V61),"",_xlfn.CONCAT(_xlfn.UNIQUE(_xlfn._xlws.FILTER(R61:R2059,P61:P2059=V61))))</f>
        <v/>
      </c>
      <c r="X61" t="str">
        <f t="shared" si="0"/>
        <v/>
      </c>
    </row>
    <row r="62" spans="1:84" x14ac:dyDescent="0.35">
      <c r="A62" t="s">
        <v>104</v>
      </c>
      <c r="B62" t="s">
        <v>135</v>
      </c>
      <c r="R62" t="str">
        <f>IF(ISBLANK(O62),"",VLOOKUP(O62,'Commodities and Processes'!A:C,2,FALSE))</f>
        <v/>
      </c>
      <c r="S62" t="str">
        <f>IF(ISBLANK(O62),"",VLOOKUP(O62,'Commodities and Processes'!A:C,3,FALSE))</f>
        <v/>
      </c>
      <c r="W62" t="str" cm="1">
        <f t="array" ref="W62">IF(ISBLANK(V62),"",_xlfn.CONCAT(_xlfn.UNIQUE(_xlfn._xlws.FILTER(R62:R2060,P62:P2060=V62))))</f>
        <v/>
      </c>
      <c r="X62" t="str">
        <f t="shared" si="0"/>
        <v/>
      </c>
    </row>
    <row r="63" spans="1:84" x14ac:dyDescent="0.35">
      <c r="A63" t="s">
        <v>105</v>
      </c>
      <c r="B63" t="s">
        <v>135</v>
      </c>
      <c r="R63" t="str">
        <f>IF(ISBLANK(O63),"",VLOOKUP(O63,'Commodities and Processes'!A:C,2,FALSE))</f>
        <v/>
      </c>
      <c r="S63" t="str">
        <f>IF(ISBLANK(O63),"",VLOOKUP(O63,'Commodities and Processes'!A:C,3,FALSE))</f>
        <v/>
      </c>
      <c r="W63" t="str" cm="1">
        <f t="array" ref="W63">IF(ISBLANK(V63),"",_xlfn.CONCAT(_xlfn.UNIQUE(_xlfn._xlws.FILTER(R63:R2061,P63:P2061=V63))))</f>
        <v/>
      </c>
      <c r="X63" t="str">
        <f t="shared" si="0"/>
        <v/>
      </c>
    </row>
    <row r="64" spans="1:84" x14ac:dyDescent="0.35">
      <c r="A64" t="s">
        <v>106</v>
      </c>
      <c r="B64" t="s">
        <v>135</v>
      </c>
      <c r="R64" t="str">
        <f>IF(ISBLANK(O64),"",VLOOKUP(O64,'Commodities and Processes'!A:C,2,FALSE))</f>
        <v/>
      </c>
      <c r="S64" t="str">
        <f>IF(ISBLANK(O64),"",VLOOKUP(O64,'Commodities and Processes'!A:C,3,FALSE))</f>
        <v/>
      </c>
      <c r="W64" t="str" cm="1">
        <f t="array" ref="W64">IF(ISBLANK(V64),"",_xlfn.CONCAT(_xlfn.UNIQUE(_xlfn._xlws.FILTER(R64:R2062,P64:P2062=V64))))</f>
        <v/>
      </c>
      <c r="X64" t="str">
        <f t="shared" si="0"/>
        <v/>
      </c>
    </row>
    <row r="65" spans="1:24" x14ac:dyDescent="0.35">
      <c r="A65" t="s">
        <v>107</v>
      </c>
      <c r="B65" t="s">
        <v>135</v>
      </c>
      <c r="R65" t="str">
        <f>IF(ISBLANK(O65),"",VLOOKUP(O65,'Commodities and Processes'!A:C,2,FALSE))</f>
        <v/>
      </c>
      <c r="S65" t="str">
        <f>IF(ISBLANK(O65),"",VLOOKUP(O65,'Commodities and Processes'!A:C,3,FALSE))</f>
        <v/>
      </c>
      <c r="W65" t="str" cm="1">
        <f t="array" ref="W65">IF(ISBLANK(V65),"",_xlfn.CONCAT(_xlfn.UNIQUE(_xlfn._xlws.FILTER(R65:R2063,P65:P2063=V65))))</f>
        <v/>
      </c>
      <c r="X65" t="str">
        <f t="shared" si="0"/>
        <v/>
      </c>
    </row>
    <row r="66" spans="1:24" x14ac:dyDescent="0.35">
      <c r="A66" t="s">
        <v>108</v>
      </c>
      <c r="B66" t="s">
        <v>124</v>
      </c>
      <c r="R66" t="str">
        <f>IF(ISBLANK(O66),"",VLOOKUP(O66,'Commodities and Processes'!A:C,2,FALSE))</f>
        <v/>
      </c>
      <c r="S66" t="str">
        <f>IF(ISBLANK(O66),"",VLOOKUP(O66,'Commodities and Processes'!A:C,3,FALSE))</f>
        <v/>
      </c>
      <c r="W66" t="str" cm="1">
        <f t="array" ref="W66">IF(ISBLANK(V66),"",_xlfn.CONCAT(_xlfn.UNIQUE(_xlfn._xlws.FILTER(R66:R2064,P66:P2064=V66))))</f>
        <v/>
      </c>
      <c r="X66" t="str">
        <f t="shared" si="0"/>
        <v/>
      </c>
    </row>
    <row r="67" spans="1:24" x14ac:dyDescent="0.35">
      <c r="A67" t="s">
        <v>201</v>
      </c>
      <c r="B67" t="s">
        <v>114</v>
      </c>
      <c r="R67" t="str">
        <f>IF(ISBLANK(O67),"",VLOOKUP(O67,'Commodities and Processes'!A:C,2,FALSE))</f>
        <v/>
      </c>
      <c r="S67" t="str">
        <f>IF(ISBLANK(O67),"",VLOOKUP(O67,'Commodities and Processes'!A:C,3,FALSE))</f>
        <v/>
      </c>
      <c r="W67" t="str" cm="1">
        <f t="array" ref="W67">IF(ISBLANK(V67),"",_xlfn.CONCAT(_xlfn.UNIQUE(_xlfn._xlws.FILTER(R67:R2065,P67:P2065=V67))))</f>
        <v/>
      </c>
      <c r="X67" t="str">
        <f t="shared" ref="X67:X130" si="1">IF(ISBLANK(V67),"",IF(W67="liquid","solidliquid","solid"))</f>
        <v/>
      </c>
    </row>
    <row r="68" spans="1:24" x14ac:dyDescent="0.35">
      <c r="A68" t="s">
        <v>202</v>
      </c>
      <c r="B68" t="s">
        <v>114</v>
      </c>
      <c r="R68" t="str">
        <f>IF(ISBLANK(O68),"",VLOOKUP(O68,'Commodities and Processes'!A:C,2,FALSE))</f>
        <v/>
      </c>
      <c r="S68" t="str">
        <f>IF(ISBLANK(O68),"",VLOOKUP(O68,'Commodities and Processes'!A:C,3,FALSE))</f>
        <v/>
      </c>
      <c r="W68" t="str" cm="1">
        <f t="array" ref="W68">IF(ISBLANK(V68),"",_xlfn.CONCAT(_xlfn.UNIQUE(_xlfn._xlws.FILTER(R68:R2066,P68:P2066=V68))))</f>
        <v/>
      </c>
      <c r="X68" t="str">
        <f t="shared" si="1"/>
        <v/>
      </c>
    </row>
    <row r="69" spans="1:24" x14ac:dyDescent="0.35">
      <c r="A69" t="s">
        <v>203</v>
      </c>
      <c r="B69" t="s">
        <v>114</v>
      </c>
      <c r="C69" t="s">
        <v>117</v>
      </c>
      <c r="R69" t="str">
        <f>IF(ISBLANK(O69),"",VLOOKUP(O69,'Commodities and Processes'!A:C,2,FALSE))</f>
        <v/>
      </c>
      <c r="S69" t="str">
        <f>IF(ISBLANK(O69),"",VLOOKUP(O69,'Commodities and Processes'!A:C,3,FALSE))</f>
        <v/>
      </c>
      <c r="W69" t="str" cm="1">
        <f t="array" ref="W69">IF(ISBLANK(V69),"",_xlfn.CONCAT(_xlfn.UNIQUE(_xlfn._xlws.FILTER(R69:R2067,P69:P2067=V69))))</f>
        <v/>
      </c>
      <c r="X69" t="str">
        <f t="shared" si="1"/>
        <v/>
      </c>
    </row>
    <row r="70" spans="1:24" x14ac:dyDescent="0.35">
      <c r="R70" t="str">
        <f>IF(ISBLANK(O70),"",VLOOKUP(O70,'Commodities and Processes'!A:C,2,FALSE))</f>
        <v/>
      </c>
      <c r="S70" t="str">
        <f>IF(ISBLANK(O70),"",VLOOKUP(O70,'Commodities and Processes'!A:C,3,FALSE))</f>
        <v/>
      </c>
      <c r="W70" t="str" cm="1">
        <f t="array" ref="W70">IF(ISBLANK(V70),"",_xlfn.CONCAT(_xlfn.UNIQUE(_xlfn._xlws.FILTER(R70:R2068,P70:P2068=V70))))</f>
        <v/>
      </c>
      <c r="X70" t="str">
        <f t="shared" si="1"/>
        <v/>
      </c>
    </row>
    <row r="71" spans="1:24" x14ac:dyDescent="0.35">
      <c r="A71" s="1" t="s">
        <v>130</v>
      </c>
      <c r="R71" t="str">
        <f>IF(ISBLANK(O71),"",VLOOKUP(O71,'Commodities and Processes'!A:C,2,FALSE))</f>
        <v/>
      </c>
      <c r="S71" t="str">
        <f>IF(ISBLANK(O71),"",VLOOKUP(O71,'Commodities and Processes'!A:C,3,FALSE))</f>
        <v/>
      </c>
      <c r="W71" t="str" cm="1">
        <f t="array" ref="W71">IF(ISBLANK(V71),"",_xlfn.CONCAT(_xlfn.UNIQUE(_xlfn._xlws.FILTER(R71:R2069,P71:P2069=V71))))</f>
        <v/>
      </c>
      <c r="X71" t="str">
        <f t="shared" si="1"/>
        <v/>
      </c>
    </row>
    <row r="72" spans="1:24" x14ac:dyDescent="0.35">
      <c r="A72" s="1" t="s">
        <v>13</v>
      </c>
      <c r="B72" s="1" t="s">
        <v>115</v>
      </c>
      <c r="C72" s="1"/>
      <c r="R72" t="str">
        <f>IF(ISBLANK(O72),"",VLOOKUP(O72,'Commodities and Processes'!A:C,2,FALSE))</f>
        <v/>
      </c>
      <c r="S72" t="str">
        <f>IF(ISBLANK(O72),"",VLOOKUP(O72,'Commodities and Processes'!A:C,3,FALSE))</f>
        <v/>
      </c>
      <c r="W72" t="str" cm="1">
        <f t="array" ref="W72">IF(ISBLANK(V72),"",_xlfn.CONCAT(_xlfn.UNIQUE(_xlfn._xlws.FILTER(R72:R2070,P72:P2070=V72))))</f>
        <v/>
      </c>
      <c r="X72" t="str">
        <f t="shared" si="1"/>
        <v/>
      </c>
    </row>
    <row r="73" spans="1:24" x14ac:dyDescent="0.35">
      <c r="A73" t="s">
        <v>199</v>
      </c>
      <c r="C73" s="1"/>
      <c r="R73" t="str">
        <f>IF(ISBLANK(O73),"",VLOOKUP(O73,'Commodities and Processes'!A:C,2,FALSE))</f>
        <v/>
      </c>
      <c r="S73" t="str">
        <f>IF(ISBLANK(O73),"",VLOOKUP(O73,'Commodities and Processes'!A:C,3,FALSE))</f>
        <v/>
      </c>
      <c r="W73" t="str" cm="1">
        <f t="array" ref="W73">IF(ISBLANK(V73),"",_xlfn.CONCAT(_xlfn.UNIQUE(_xlfn._xlws.FILTER(R73:R2071,P73:P2071=V73))))</f>
        <v/>
      </c>
      <c r="X73" t="str">
        <f t="shared" si="1"/>
        <v/>
      </c>
    </row>
    <row r="74" spans="1:24" x14ac:dyDescent="0.35">
      <c r="A74" t="s">
        <v>28</v>
      </c>
      <c r="B74" t="s">
        <v>136</v>
      </c>
      <c r="C74" s="1"/>
      <c r="R74" t="str">
        <f>IF(ISBLANK(O74),"",VLOOKUP(O74,'Commodities and Processes'!A:C,2,FALSE))</f>
        <v/>
      </c>
      <c r="S74" t="str">
        <f>IF(ISBLANK(O74),"",VLOOKUP(O74,'Commodities and Processes'!A:C,3,FALSE))</f>
        <v/>
      </c>
      <c r="W74" t="str" cm="1">
        <f t="array" ref="W74">IF(ISBLANK(V74),"",_xlfn.CONCAT(_xlfn.UNIQUE(_xlfn._xlws.FILTER(R74:R2072,P74:P2072=V74))))</f>
        <v/>
      </c>
      <c r="X74" t="str">
        <f t="shared" si="1"/>
        <v/>
      </c>
    </row>
    <row r="75" spans="1:24" x14ac:dyDescent="0.35">
      <c r="A75" t="s">
        <v>29</v>
      </c>
      <c r="B75" t="s">
        <v>114</v>
      </c>
      <c r="C75" s="1"/>
      <c r="R75" t="str">
        <f>IF(ISBLANK(O75),"",VLOOKUP(O75,'Commodities and Processes'!A:C,2,FALSE))</f>
        <v/>
      </c>
      <c r="S75" t="str">
        <f>IF(ISBLANK(O75),"",VLOOKUP(O75,'Commodities and Processes'!A:C,3,FALSE))</f>
        <v/>
      </c>
      <c r="W75" t="str" cm="1">
        <f t="array" ref="W75">IF(ISBLANK(V75),"",_xlfn.CONCAT(_xlfn.UNIQUE(_xlfn._xlws.FILTER(R75:R2073,P75:P2073=V75))))</f>
        <v/>
      </c>
      <c r="X75" t="str">
        <f t="shared" si="1"/>
        <v/>
      </c>
    </row>
    <row r="76" spans="1:24" x14ac:dyDescent="0.35">
      <c r="A76" t="s">
        <v>200</v>
      </c>
      <c r="C76" s="1"/>
      <c r="R76" t="str">
        <f>IF(ISBLANK(O76),"",VLOOKUP(O76,'Commodities and Processes'!A:C,2,FALSE))</f>
        <v/>
      </c>
      <c r="S76" t="str">
        <f>IF(ISBLANK(O76),"",VLOOKUP(O76,'Commodities and Processes'!A:C,3,FALSE))</f>
        <v/>
      </c>
      <c r="W76" t="str" cm="1">
        <f t="array" ref="W76">IF(ISBLANK(V76),"",_xlfn.CONCAT(_xlfn.UNIQUE(_xlfn._xlws.FILTER(R76:R2074,P76:P2074=V76))))</f>
        <v/>
      </c>
      <c r="X76" t="str">
        <f t="shared" si="1"/>
        <v/>
      </c>
    </row>
    <row r="77" spans="1:24" x14ac:dyDescent="0.35">
      <c r="A77" t="s">
        <v>131</v>
      </c>
      <c r="B77" t="s">
        <v>137</v>
      </c>
      <c r="R77" t="str">
        <f>IF(ISBLANK(O77),"",VLOOKUP(O77,'Commodities and Processes'!A:C,2,FALSE))</f>
        <v/>
      </c>
      <c r="S77" t="str">
        <f>IF(ISBLANK(O77),"",VLOOKUP(O77,'Commodities and Processes'!A:C,3,FALSE))</f>
        <v/>
      </c>
      <c r="W77" t="str" cm="1">
        <f t="array" ref="W77">IF(ISBLANK(V77),"",_xlfn.CONCAT(_xlfn.UNIQUE(_xlfn._xlws.FILTER(R77:R2075,P77:P2075=V77))))</f>
        <v/>
      </c>
      <c r="X77" t="str">
        <f t="shared" si="1"/>
        <v/>
      </c>
    </row>
    <row r="78" spans="1:24" x14ac:dyDescent="0.35">
      <c r="A78" t="s">
        <v>20</v>
      </c>
      <c r="B78" s="3" t="s">
        <v>138</v>
      </c>
      <c r="R78" t="str">
        <f>IF(ISBLANK(O78),"",VLOOKUP(O78,'Commodities and Processes'!A:C,2,FALSE))</f>
        <v/>
      </c>
      <c r="S78" t="str">
        <f>IF(ISBLANK(O78),"",VLOOKUP(O78,'Commodities and Processes'!A:C,3,FALSE))</f>
        <v/>
      </c>
      <c r="W78" t="str" cm="1">
        <f t="array" ref="W78">IF(ISBLANK(V78),"",_xlfn.CONCAT(_xlfn.UNIQUE(_xlfn._xlws.FILTER(R78:R2076,P78:P2076=V78))))</f>
        <v/>
      </c>
      <c r="X78" t="str">
        <f t="shared" si="1"/>
        <v/>
      </c>
    </row>
    <row r="79" spans="1:24" x14ac:dyDescent="0.35">
      <c r="A79" t="s">
        <v>127</v>
      </c>
      <c r="B79" t="s">
        <v>113</v>
      </c>
      <c r="R79" t="str">
        <f>IF(ISBLANK(O79),"",VLOOKUP(O79,'Commodities and Processes'!A:C,2,FALSE))</f>
        <v/>
      </c>
      <c r="S79" t="str">
        <f>IF(ISBLANK(O79),"",VLOOKUP(O79,'Commodities and Processes'!A:C,3,FALSE))</f>
        <v/>
      </c>
      <c r="W79" t="str" cm="1">
        <f t="array" ref="W79">IF(ISBLANK(V79),"",_xlfn.CONCAT(_xlfn.UNIQUE(_xlfn._xlws.FILTER(R79:R2077,P79:P2077=V79))))</f>
        <v/>
      </c>
      <c r="X79" t="str">
        <f t="shared" si="1"/>
        <v/>
      </c>
    </row>
    <row r="80" spans="1:24" x14ac:dyDescent="0.35">
      <c r="A80" t="s">
        <v>193</v>
      </c>
      <c r="B80" t="s">
        <v>236</v>
      </c>
      <c r="R80" t="str">
        <f>IF(ISBLANK(O80),"",VLOOKUP(O80,'Commodities and Processes'!A:C,2,FALSE))</f>
        <v/>
      </c>
      <c r="S80" t="str">
        <f>IF(ISBLANK(O80),"",VLOOKUP(O80,'Commodities and Processes'!A:C,3,FALSE))</f>
        <v/>
      </c>
      <c r="W80" t="str" cm="1">
        <f t="array" ref="W80">IF(ISBLANK(V80),"",_xlfn.CONCAT(_xlfn.UNIQUE(_xlfn._xlws.FILTER(R80:R2078,P80:P2078=V80))))</f>
        <v/>
      </c>
      <c r="X80" t="str">
        <f t="shared" si="1"/>
        <v/>
      </c>
    </row>
    <row r="81" spans="1:24" x14ac:dyDescent="0.35">
      <c r="A81" t="s">
        <v>21</v>
      </c>
      <c r="B81" s="3" t="s">
        <v>138</v>
      </c>
      <c r="R81" t="str">
        <f>IF(ISBLANK(O81),"",VLOOKUP(O81,'Commodities and Processes'!A:C,2,FALSE))</f>
        <v/>
      </c>
      <c r="S81" t="str">
        <f>IF(ISBLANK(O81),"",VLOOKUP(O81,'Commodities and Processes'!A:C,3,FALSE))</f>
        <v/>
      </c>
      <c r="W81" t="str" cm="1">
        <f t="array" ref="W81">IF(ISBLANK(V81),"",_xlfn.CONCAT(_xlfn.UNIQUE(_xlfn._xlws.FILTER(R81:R2079,P81:P2079=V81))))</f>
        <v/>
      </c>
      <c r="X81" t="str">
        <f t="shared" si="1"/>
        <v/>
      </c>
    </row>
    <row r="82" spans="1:24" x14ac:dyDescent="0.35">
      <c r="A82" t="s">
        <v>128</v>
      </c>
      <c r="B82" t="s">
        <v>113</v>
      </c>
      <c r="R82" t="str">
        <f>IF(ISBLANK(O82),"",VLOOKUP(O82,'Commodities and Processes'!A:C,2,FALSE))</f>
        <v/>
      </c>
      <c r="S82" t="str">
        <f>IF(ISBLANK(O82),"",VLOOKUP(O82,'Commodities and Processes'!A:C,3,FALSE))</f>
        <v/>
      </c>
      <c r="W82" t="str" cm="1">
        <f t="array" ref="W82">IF(ISBLANK(V82),"",_xlfn.CONCAT(_xlfn.UNIQUE(_xlfn._xlws.FILTER(R82:R2080,P82:P2080=V82))))</f>
        <v/>
      </c>
      <c r="X82" t="str">
        <f t="shared" si="1"/>
        <v/>
      </c>
    </row>
    <row r="83" spans="1:24" x14ac:dyDescent="0.35">
      <c r="A83" t="s">
        <v>192</v>
      </c>
      <c r="B83" t="s">
        <v>236</v>
      </c>
      <c r="R83" t="str">
        <f>IF(ISBLANK(O83),"",VLOOKUP(O83,'Commodities and Processes'!A:C,2,FALSE))</f>
        <v/>
      </c>
      <c r="S83" t="str">
        <f>IF(ISBLANK(O83),"",VLOOKUP(O83,'Commodities and Processes'!A:C,3,FALSE))</f>
        <v/>
      </c>
      <c r="W83" t="str" cm="1">
        <f t="array" ref="W83">IF(ISBLANK(V83),"",_xlfn.CONCAT(_xlfn.UNIQUE(_xlfn._xlws.FILTER(R83:R2081,P83:P2081=V83))))</f>
        <v/>
      </c>
      <c r="X83" t="str">
        <f t="shared" si="1"/>
        <v/>
      </c>
    </row>
    <row r="84" spans="1:24" x14ac:dyDescent="0.35">
      <c r="R84" t="str">
        <f>IF(ISBLANK(O84),"",VLOOKUP(O84,'Commodities and Processes'!A:C,2,FALSE))</f>
        <v/>
      </c>
      <c r="S84" t="str">
        <f>IF(ISBLANK(O84),"",VLOOKUP(O84,'Commodities and Processes'!A:C,3,FALSE))</f>
        <v/>
      </c>
      <c r="W84" t="str" cm="1">
        <f t="array" ref="W84">IF(ISBLANK(V84),"",_xlfn.CONCAT(_xlfn.UNIQUE(_xlfn._xlws.FILTER(R84:R2082,P84:P2082=V84))))</f>
        <v/>
      </c>
      <c r="X84" t="str">
        <f t="shared" si="1"/>
        <v/>
      </c>
    </row>
    <row r="85" spans="1:24" x14ac:dyDescent="0.35">
      <c r="A85" s="1" t="s">
        <v>139</v>
      </c>
      <c r="R85" t="str">
        <f>IF(ISBLANK(O85),"",VLOOKUP(O85,'Commodities and Processes'!A:C,2,FALSE))</f>
        <v/>
      </c>
      <c r="S85" t="str">
        <f>IF(ISBLANK(O85),"",VLOOKUP(O85,'Commodities and Processes'!A:C,3,FALSE))</f>
        <v/>
      </c>
      <c r="W85" t="str" cm="1">
        <f t="array" ref="W85">IF(ISBLANK(V85),"",_xlfn.CONCAT(_xlfn.UNIQUE(_xlfn._xlws.FILTER(R85:R2083,P85:P2083=V85))))</f>
        <v/>
      </c>
      <c r="X85" t="str">
        <f t="shared" si="1"/>
        <v/>
      </c>
    </row>
    <row r="86" spans="1:24" x14ac:dyDescent="0.35">
      <c r="A86" s="1" t="s">
        <v>13</v>
      </c>
      <c r="B86" s="1" t="s">
        <v>115</v>
      </c>
      <c r="C86" s="1"/>
      <c r="R86" t="str">
        <f>IF(ISBLANK(O86),"",VLOOKUP(O86,'Commodities and Processes'!A:C,2,FALSE))</f>
        <v/>
      </c>
      <c r="S86" t="str">
        <f>IF(ISBLANK(O86),"",VLOOKUP(O86,'Commodities and Processes'!A:C,3,FALSE))</f>
        <v/>
      </c>
      <c r="W86" t="str" cm="1">
        <f t="array" ref="W86">IF(ISBLANK(V86),"",_xlfn.CONCAT(_xlfn.UNIQUE(_xlfn._xlws.FILTER(R86:R2084,P86:P2084=V86))))</f>
        <v/>
      </c>
      <c r="X86" t="str">
        <f t="shared" si="1"/>
        <v/>
      </c>
    </row>
    <row r="87" spans="1:24" x14ac:dyDescent="0.35">
      <c r="A87" t="s">
        <v>25</v>
      </c>
      <c r="B87" t="s">
        <v>140</v>
      </c>
      <c r="R87" t="str">
        <f>IF(ISBLANK(O87),"",VLOOKUP(O87,'Commodities and Processes'!A:C,2,FALSE))</f>
        <v/>
      </c>
      <c r="S87" t="str">
        <f>IF(ISBLANK(O87),"",VLOOKUP(O87,'Commodities and Processes'!A:C,3,FALSE))</f>
        <v/>
      </c>
      <c r="W87" t="str" cm="1">
        <f t="array" ref="W87">IF(ISBLANK(V87),"",_xlfn.CONCAT(_xlfn.UNIQUE(_xlfn._xlws.FILTER(R87:R2085,P87:P2085=V87))))</f>
        <v/>
      </c>
      <c r="X87" t="str">
        <f t="shared" si="1"/>
        <v/>
      </c>
    </row>
    <row r="88" spans="1:24" x14ac:dyDescent="0.35">
      <c r="A88" t="s">
        <v>35</v>
      </c>
      <c r="R88" t="str">
        <f>IF(ISBLANK(O88),"",VLOOKUP(O88,'Commodities and Processes'!A:C,2,FALSE))</f>
        <v/>
      </c>
      <c r="S88" t="str">
        <f>IF(ISBLANK(O88),"",VLOOKUP(O88,'Commodities and Processes'!A:C,3,FALSE))</f>
        <v/>
      </c>
      <c r="W88" t="str" cm="1">
        <f t="array" ref="W88">IF(ISBLANK(V88),"",_xlfn.CONCAT(_xlfn.UNIQUE(_xlfn._xlws.FILTER(R88:R2086,P88:P2086=V88))))</f>
        <v/>
      </c>
      <c r="X88" t="str">
        <f t="shared" si="1"/>
        <v/>
      </c>
    </row>
    <row r="89" spans="1:24" x14ac:dyDescent="0.35">
      <c r="A89" t="s">
        <v>31</v>
      </c>
      <c r="B89" t="s">
        <v>141</v>
      </c>
      <c r="R89" t="str">
        <f>IF(ISBLANK(O89),"",VLOOKUP(O89,'Commodities and Processes'!A:C,2,FALSE))</f>
        <v/>
      </c>
      <c r="S89" t="str">
        <f>IF(ISBLANK(O89),"",VLOOKUP(O89,'Commodities and Processes'!A:C,3,FALSE))</f>
        <v/>
      </c>
      <c r="W89" t="str" cm="1">
        <f t="array" ref="W89">IF(ISBLANK(V89),"",_xlfn.CONCAT(_xlfn.UNIQUE(_xlfn._xlws.FILTER(R89:R2087,P89:P2087=V89))))</f>
        <v/>
      </c>
      <c r="X89" t="str">
        <f t="shared" si="1"/>
        <v/>
      </c>
    </row>
    <row r="90" spans="1:24" x14ac:dyDescent="0.35">
      <c r="A90" t="s">
        <v>24</v>
      </c>
      <c r="B90" t="s">
        <v>114</v>
      </c>
      <c r="R90" t="str">
        <f>IF(ISBLANK(O90),"",VLOOKUP(O90,'Commodities and Processes'!A:C,2,FALSE))</f>
        <v/>
      </c>
      <c r="S90" t="str">
        <f>IF(ISBLANK(O90),"",VLOOKUP(O90,'Commodities and Processes'!A:C,3,FALSE))</f>
        <v/>
      </c>
      <c r="W90" t="str" cm="1">
        <f t="array" ref="W90">IF(ISBLANK(V90),"",_xlfn.CONCAT(_xlfn.UNIQUE(_xlfn._xlws.FILTER(R90:R2088,P90:P2088=V90))))</f>
        <v/>
      </c>
      <c r="X90" t="str">
        <f t="shared" si="1"/>
        <v/>
      </c>
    </row>
    <row r="91" spans="1:24" x14ac:dyDescent="0.35">
      <c r="A91" t="s">
        <v>36</v>
      </c>
      <c r="B91" t="s">
        <v>248</v>
      </c>
      <c r="R91" t="str">
        <f>IF(ISBLANK(O91),"",VLOOKUP(O91,'Commodities and Processes'!A:C,2,FALSE))</f>
        <v/>
      </c>
      <c r="S91" t="str">
        <f>IF(ISBLANK(O91),"",VLOOKUP(O91,'Commodities and Processes'!A:C,3,FALSE))</f>
        <v/>
      </c>
      <c r="W91" t="str" cm="1">
        <f t="array" ref="W91">IF(ISBLANK(V91),"",_xlfn.CONCAT(_xlfn.UNIQUE(_xlfn._xlws.FILTER(R91:R2089,P91:P2089=V91))))</f>
        <v/>
      </c>
      <c r="X91" t="str">
        <f t="shared" si="1"/>
        <v/>
      </c>
    </row>
    <row r="92" spans="1:24" x14ac:dyDescent="0.35">
      <c r="A92" t="s">
        <v>44</v>
      </c>
      <c r="B92" t="s">
        <v>114</v>
      </c>
      <c r="R92" t="str">
        <f>IF(ISBLANK(O92),"",VLOOKUP(O92,'Commodities and Processes'!A:C,2,FALSE))</f>
        <v/>
      </c>
      <c r="S92" t="str">
        <f>IF(ISBLANK(O92),"",VLOOKUP(O92,'Commodities and Processes'!A:C,3,FALSE))</f>
        <v/>
      </c>
      <c r="W92" t="str" cm="1">
        <f t="array" ref="W92">IF(ISBLANK(V92),"",_xlfn.CONCAT(_xlfn.UNIQUE(_xlfn._xlws.FILTER(R92:R2090,P92:P2090=V92))))</f>
        <v/>
      </c>
      <c r="X92" t="str">
        <f t="shared" si="1"/>
        <v/>
      </c>
    </row>
    <row r="93" spans="1:24" x14ac:dyDescent="0.35">
      <c r="A93" t="s">
        <v>194</v>
      </c>
      <c r="B93" t="s">
        <v>114</v>
      </c>
      <c r="R93" t="str">
        <f>IF(ISBLANK(O93),"",VLOOKUP(O93,'Commodities and Processes'!A:C,2,FALSE))</f>
        <v/>
      </c>
      <c r="S93" t="str">
        <f>IF(ISBLANK(O93),"",VLOOKUP(O93,'Commodities and Processes'!A:C,3,FALSE))</f>
        <v/>
      </c>
      <c r="W93" t="str" cm="1">
        <f t="array" ref="W93">IF(ISBLANK(V93),"",_xlfn.CONCAT(_xlfn.UNIQUE(_xlfn._xlws.FILTER(R93:R2091,P93:P2091=V93))))</f>
        <v/>
      </c>
      <c r="X93" t="str">
        <f t="shared" si="1"/>
        <v/>
      </c>
    </row>
    <row r="94" spans="1:24" x14ac:dyDescent="0.35">
      <c r="A94" t="s">
        <v>45</v>
      </c>
      <c r="B94" t="s">
        <v>114</v>
      </c>
      <c r="R94" t="str">
        <f>IF(ISBLANK(O94),"",VLOOKUP(O94,'Commodities and Processes'!A:C,2,FALSE))</f>
        <v/>
      </c>
      <c r="S94" t="str">
        <f>IF(ISBLANK(O94),"",VLOOKUP(O94,'Commodities and Processes'!A:C,3,FALSE))</f>
        <v/>
      </c>
      <c r="W94" t="str" cm="1">
        <f t="array" ref="W94">IF(ISBLANK(V94),"",_xlfn.CONCAT(_xlfn.UNIQUE(_xlfn._xlws.FILTER(R94:R2092,P94:P2092=V94))))</f>
        <v/>
      </c>
      <c r="X94" t="str">
        <f t="shared" si="1"/>
        <v/>
      </c>
    </row>
    <row r="95" spans="1:24" x14ac:dyDescent="0.35">
      <c r="A95" t="s">
        <v>46</v>
      </c>
      <c r="R95" t="str">
        <f>IF(ISBLANK(O95),"",VLOOKUP(O95,'Commodities and Processes'!A:C,2,FALSE))</f>
        <v/>
      </c>
      <c r="S95" t="str">
        <f>IF(ISBLANK(O95),"",VLOOKUP(O95,'Commodities and Processes'!A:C,3,FALSE))</f>
        <v/>
      </c>
      <c r="W95" t="str" cm="1">
        <f t="array" ref="W95">IF(ISBLANK(V95),"",_xlfn.CONCAT(_xlfn.UNIQUE(_xlfn._xlws.FILTER(R95:R2093,P95:P2093=V95))))</f>
        <v/>
      </c>
      <c r="X95" t="str">
        <f t="shared" si="1"/>
        <v/>
      </c>
    </row>
    <row r="96" spans="1:24" x14ac:dyDescent="0.35">
      <c r="W96" t="str" cm="1">
        <f t="array" ref="W96">IF(ISBLANK(V96),"",_xlfn.CONCAT(_xlfn.UNIQUE(_xlfn._xlws.FILTER(R96:R2094,P96:P2094=V96))))</f>
        <v/>
      </c>
      <c r="X96" t="str">
        <f t="shared" si="1"/>
        <v/>
      </c>
    </row>
    <row r="97" spans="23:24" x14ac:dyDescent="0.35">
      <c r="W97" t="str" cm="1">
        <f t="array" ref="W97">IF(ISBLANK(V97),"",_xlfn.CONCAT(_xlfn.UNIQUE(_xlfn._xlws.FILTER(R97:R2095,P97:P2095=V97))))</f>
        <v/>
      </c>
      <c r="X97" t="str">
        <f t="shared" si="1"/>
        <v/>
      </c>
    </row>
    <row r="98" spans="23:24" x14ac:dyDescent="0.35">
      <c r="W98" t="str" cm="1">
        <f t="array" ref="W98">IF(ISBLANK(V98),"",_xlfn.CONCAT(_xlfn.UNIQUE(_xlfn._xlws.FILTER(R98:R2096,P98:P2096=V98))))</f>
        <v/>
      </c>
      <c r="X98" t="str">
        <f t="shared" si="1"/>
        <v/>
      </c>
    </row>
    <row r="99" spans="23:24" x14ac:dyDescent="0.35">
      <c r="W99" t="str" cm="1">
        <f t="array" ref="W99">IF(ISBLANK(V99),"",_xlfn.CONCAT(_xlfn.UNIQUE(_xlfn._xlws.FILTER(R99:R2097,P99:P2097=V99))))</f>
        <v/>
      </c>
      <c r="X99" t="str">
        <f t="shared" si="1"/>
        <v/>
      </c>
    </row>
    <row r="100" spans="23:24" x14ac:dyDescent="0.35">
      <c r="W100" t="str" cm="1">
        <f t="array" ref="W100">IF(ISBLANK(V100),"",_xlfn.CONCAT(_xlfn.UNIQUE(_xlfn._xlws.FILTER(R100:R2098,P100:P2098=V100))))</f>
        <v/>
      </c>
      <c r="X100" t="str">
        <f t="shared" si="1"/>
        <v/>
      </c>
    </row>
    <row r="101" spans="23:24" x14ac:dyDescent="0.35">
      <c r="W101" t="str" cm="1">
        <f t="array" ref="W101">IF(ISBLANK(V101),"",_xlfn.CONCAT(_xlfn.UNIQUE(_xlfn._xlws.FILTER(R101:R2099,P101:P2099=V101))))</f>
        <v/>
      </c>
      <c r="X101" t="str">
        <f t="shared" si="1"/>
        <v/>
      </c>
    </row>
    <row r="102" spans="23:24" x14ac:dyDescent="0.35">
      <c r="W102" t="str" cm="1">
        <f t="array" ref="W102">IF(ISBLANK(V102),"",_xlfn.CONCAT(_xlfn.UNIQUE(_xlfn._xlws.FILTER(R102:R2100,P102:P2100=V102))))</f>
        <v/>
      </c>
      <c r="X102" t="str">
        <f t="shared" si="1"/>
        <v/>
      </c>
    </row>
    <row r="103" spans="23:24" x14ac:dyDescent="0.35">
      <c r="W103" t="str" cm="1">
        <f t="array" ref="W103">IF(ISBLANK(V103),"",_xlfn.CONCAT(_xlfn.UNIQUE(_xlfn._xlws.FILTER(R103:R2101,P103:P2101=V103))))</f>
        <v/>
      </c>
      <c r="X103" t="str">
        <f t="shared" si="1"/>
        <v/>
      </c>
    </row>
    <row r="104" spans="23:24" x14ac:dyDescent="0.35">
      <c r="W104" t="str" cm="1">
        <f t="array" ref="W104">IF(ISBLANK(V104),"",_xlfn.CONCAT(_xlfn.UNIQUE(_xlfn._xlws.FILTER(R104:R2102,P104:P2102=V104))))</f>
        <v/>
      </c>
      <c r="X104" t="str">
        <f t="shared" si="1"/>
        <v/>
      </c>
    </row>
    <row r="105" spans="23:24" x14ac:dyDescent="0.35">
      <c r="W105" t="str" cm="1">
        <f t="array" ref="W105">IF(ISBLANK(V105),"",_xlfn.CONCAT(_xlfn.UNIQUE(_xlfn._xlws.FILTER(R105:R2103,P105:P2103=V105))))</f>
        <v/>
      </c>
      <c r="X105" t="str">
        <f t="shared" si="1"/>
        <v/>
      </c>
    </row>
    <row r="106" spans="23:24" x14ac:dyDescent="0.35">
      <c r="W106" t="str" cm="1">
        <f t="array" ref="W106">IF(ISBLANK(V106),"",_xlfn.CONCAT(_xlfn.UNIQUE(_xlfn._xlws.FILTER(R106:R2104,P106:P2104=V106))))</f>
        <v/>
      </c>
      <c r="X106" t="str">
        <f t="shared" si="1"/>
        <v/>
      </c>
    </row>
    <row r="107" spans="23:24" x14ac:dyDescent="0.35">
      <c r="W107" t="str" cm="1">
        <f t="array" ref="W107">IF(ISBLANK(V107),"",_xlfn.CONCAT(_xlfn.UNIQUE(_xlfn._xlws.FILTER(R107:R2105,P107:P2105=V107))))</f>
        <v/>
      </c>
      <c r="X107" t="str">
        <f t="shared" si="1"/>
        <v/>
      </c>
    </row>
    <row r="108" spans="23:24" x14ac:dyDescent="0.35">
      <c r="W108" t="str" cm="1">
        <f t="array" ref="W108">IF(ISBLANK(V108),"",_xlfn.CONCAT(_xlfn.UNIQUE(_xlfn._xlws.FILTER(R108:R2106,P108:P2106=V108))))</f>
        <v/>
      </c>
      <c r="X108" t="str">
        <f t="shared" si="1"/>
        <v/>
      </c>
    </row>
    <row r="109" spans="23:24" x14ac:dyDescent="0.35">
      <c r="W109" t="str" cm="1">
        <f t="array" ref="W109">IF(ISBLANK(V109),"",_xlfn.CONCAT(_xlfn.UNIQUE(_xlfn._xlws.FILTER(R109:R2107,P109:P2107=V109))))</f>
        <v/>
      </c>
      <c r="X109" t="str">
        <f t="shared" si="1"/>
        <v/>
      </c>
    </row>
    <row r="110" spans="23:24" x14ac:dyDescent="0.35">
      <c r="W110" t="str" cm="1">
        <f t="array" ref="W110">IF(ISBLANK(V110),"",_xlfn.CONCAT(_xlfn.UNIQUE(_xlfn._xlws.FILTER(R110:R2108,P110:P2108=V110))))</f>
        <v/>
      </c>
      <c r="X110" t="str">
        <f t="shared" si="1"/>
        <v/>
      </c>
    </row>
    <row r="111" spans="23:24" x14ac:dyDescent="0.35">
      <c r="W111" t="str" cm="1">
        <f t="array" ref="W111">IF(ISBLANK(V111),"",_xlfn.CONCAT(_xlfn.UNIQUE(_xlfn._xlws.FILTER(R111:R2109,P111:P2109=V111))))</f>
        <v/>
      </c>
      <c r="X111" t="str">
        <f t="shared" si="1"/>
        <v/>
      </c>
    </row>
    <row r="112" spans="23:24" x14ac:dyDescent="0.35">
      <c r="W112" t="str" cm="1">
        <f t="array" ref="W112">IF(ISBLANK(V112),"",_xlfn.CONCAT(_xlfn.UNIQUE(_xlfn._xlws.FILTER(R112:R2110,P112:P2110=V112))))</f>
        <v/>
      </c>
      <c r="X112" t="str">
        <f t="shared" si="1"/>
        <v/>
      </c>
    </row>
    <row r="113" spans="23:24" x14ac:dyDescent="0.35">
      <c r="W113" t="str" cm="1">
        <f t="array" ref="W113">IF(ISBLANK(V113),"",_xlfn.CONCAT(_xlfn.UNIQUE(_xlfn._xlws.FILTER(R113:R2111,P113:P2111=V113))))</f>
        <v/>
      </c>
      <c r="X113" t="str">
        <f t="shared" si="1"/>
        <v/>
      </c>
    </row>
    <row r="114" spans="23:24" x14ac:dyDescent="0.35">
      <c r="W114" t="str" cm="1">
        <f t="array" ref="W114">IF(ISBLANK(V114),"",_xlfn.CONCAT(_xlfn.UNIQUE(_xlfn._xlws.FILTER(R114:R2112,P114:P2112=V114))))</f>
        <v/>
      </c>
      <c r="X114" t="str">
        <f t="shared" si="1"/>
        <v/>
      </c>
    </row>
    <row r="115" spans="23:24" x14ac:dyDescent="0.35">
      <c r="W115" t="str" cm="1">
        <f t="array" ref="W115">IF(ISBLANK(V115),"",_xlfn.CONCAT(_xlfn.UNIQUE(_xlfn._xlws.FILTER(R115:R2113,P115:P2113=V115))))</f>
        <v/>
      </c>
      <c r="X115" t="str">
        <f t="shared" si="1"/>
        <v/>
      </c>
    </row>
    <row r="116" spans="23:24" x14ac:dyDescent="0.35">
      <c r="W116" t="str" cm="1">
        <f t="array" ref="W116">IF(ISBLANK(V116),"",_xlfn.CONCAT(_xlfn.UNIQUE(_xlfn._xlws.FILTER(R116:R2114,P116:P2114=V116))))</f>
        <v/>
      </c>
      <c r="X116" t="str">
        <f t="shared" si="1"/>
        <v/>
      </c>
    </row>
    <row r="117" spans="23:24" x14ac:dyDescent="0.35">
      <c r="W117" t="str" cm="1">
        <f t="array" ref="W117">IF(ISBLANK(V117),"",_xlfn.CONCAT(_xlfn.UNIQUE(_xlfn._xlws.FILTER(R117:R2115,P117:P2115=V117))))</f>
        <v/>
      </c>
      <c r="X117" t="str">
        <f t="shared" si="1"/>
        <v/>
      </c>
    </row>
    <row r="118" spans="23:24" x14ac:dyDescent="0.35">
      <c r="W118" t="str" cm="1">
        <f t="array" ref="W118">IF(ISBLANK(V118),"",_xlfn.CONCAT(_xlfn.UNIQUE(_xlfn._xlws.FILTER(R118:R2116,P118:P2116=V118))))</f>
        <v/>
      </c>
      <c r="X118" t="str">
        <f t="shared" si="1"/>
        <v/>
      </c>
    </row>
    <row r="119" spans="23:24" x14ac:dyDescent="0.35">
      <c r="W119" t="str" cm="1">
        <f t="array" ref="W119">IF(ISBLANK(V119),"",_xlfn.CONCAT(_xlfn.UNIQUE(_xlfn._xlws.FILTER(R119:R2117,P119:P2117=V119))))</f>
        <v/>
      </c>
      <c r="X119" t="str">
        <f t="shared" si="1"/>
        <v/>
      </c>
    </row>
    <row r="120" spans="23:24" x14ac:dyDescent="0.35">
      <c r="W120" t="str" cm="1">
        <f t="array" ref="W120">IF(ISBLANK(V120),"",_xlfn.CONCAT(_xlfn.UNIQUE(_xlfn._xlws.FILTER(R120:R2118,P120:P2118=V120))))</f>
        <v/>
      </c>
      <c r="X120" t="str">
        <f t="shared" si="1"/>
        <v/>
      </c>
    </row>
    <row r="121" spans="23:24" x14ac:dyDescent="0.35">
      <c r="W121" t="str" cm="1">
        <f t="array" ref="W121">IF(ISBLANK(V121),"",_xlfn.CONCAT(_xlfn.UNIQUE(_xlfn._xlws.FILTER(R121:R2119,P121:P2119=V121))))</f>
        <v/>
      </c>
      <c r="X121" t="str">
        <f t="shared" si="1"/>
        <v/>
      </c>
    </row>
    <row r="122" spans="23:24" x14ac:dyDescent="0.35">
      <c r="W122" t="str" cm="1">
        <f t="array" ref="W122">IF(ISBLANK(V122),"",_xlfn.CONCAT(_xlfn.UNIQUE(_xlfn._xlws.FILTER(R122:R2120,P122:P2120=V122))))</f>
        <v/>
      </c>
      <c r="X122" t="str">
        <f t="shared" si="1"/>
        <v/>
      </c>
    </row>
    <row r="123" spans="23:24" x14ac:dyDescent="0.35">
      <c r="W123" t="str" cm="1">
        <f t="array" ref="W123">IF(ISBLANK(V123),"",_xlfn.CONCAT(_xlfn.UNIQUE(_xlfn._xlws.FILTER(R123:R2121,P123:P2121=V123))))</f>
        <v/>
      </c>
      <c r="X123" t="str">
        <f t="shared" si="1"/>
        <v/>
      </c>
    </row>
    <row r="124" spans="23:24" x14ac:dyDescent="0.35">
      <c r="W124" t="str" cm="1">
        <f t="array" ref="W124">IF(ISBLANK(V124),"",_xlfn.CONCAT(_xlfn.UNIQUE(_xlfn._xlws.FILTER(R124:R2122,P124:P2122=V124))))</f>
        <v/>
      </c>
      <c r="X124" t="str">
        <f t="shared" si="1"/>
        <v/>
      </c>
    </row>
    <row r="125" spans="23:24" x14ac:dyDescent="0.35">
      <c r="W125" t="str" cm="1">
        <f t="array" ref="W125">IF(ISBLANK(V125),"",_xlfn.CONCAT(_xlfn.UNIQUE(_xlfn._xlws.FILTER(R125:R2123,P125:P2123=V125))))</f>
        <v/>
      </c>
      <c r="X125" t="str">
        <f t="shared" si="1"/>
        <v/>
      </c>
    </row>
    <row r="126" spans="23:24" x14ac:dyDescent="0.35">
      <c r="W126" t="str" cm="1">
        <f t="array" ref="W126">IF(ISBLANK(V126),"",_xlfn.CONCAT(_xlfn.UNIQUE(_xlfn._xlws.FILTER(R126:R2124,P126:P2124=V126))))</f>
        <v/>
      </c>
      <c r="X126" t="str">
        <f t="shared" si="1"/>
        <v/>
      </c>
    </row>
    <row r="127" spans="23:24" x14ac:dyDescent="0.35">
      <c r="W127" t="str" cm="1">
        <f t="array" ref="W127">IF(ISBLANK(V127),"",_xlfn.CONCAT(_xlfn.UNIQUE(_xlfn._xlws.FILTER(R127:R2125,P127:P2125=V127))))</f>
        <v/>
      </c>
      <c r="X127" t="str">
        <f t="shared" si="1"/>
        <v/>
      </c>
    </row>
    <row r="128" spans="23:24" x14ac:dyDescent="0.35">
      <c r="W128" t="str" cm="1">
        <f t="array" ref="W128">IF(ISBLANK(V128),"",_xlfn.CONCAT(_xlfn.UNIQUE(_xlfn._xlws.FILTER(R128:R2126,P128:P2126=V128))))</f>
        <v/>
      </c>
      <c r="X128" t="str">
        <f t="shared" si="1"/>
        <v/>
      </c>
    </row>
    <row r="129" spans="23:24" x14ac:dyDescent="0.35">
      <c r="W129" t="str" cm="1">
        <f t="array" ref="W129">IF(ISBLANK(V129),"",_xlfn.CONCAT(_xlfn.UNIQUE(_xlfn._xlws.FILTER(R129:R2127,P129:P2127=V129))))</f>
        <v/>
      </c>
      <c r="X129" t="str">
        <f t="shared" si="1"/>
        <v/>
      </c>
    </row>
    <row r="130" spans="23:24" x14ac:dyDescent="0.35">
      <c r="W130" t="str" cm="1">
        <f t="array" ref="W130">IF(ISBLANK(V130),"",_xlfn.CONCAT(_xlfn.UNIQUE(_xlfn._xlws.FILTER(R130:R2128,P130:P2128=V130))))</f>
        <v/>
      </c>
      <c r="X130" t="str">
        <f t="shared" si="1"/>
        <v/>
      </c>
    </row>
    <row r="131" spans="23:24" x14ac:dyDescent="0.35">
      <c r="W131" t="str" cm="1">
        <f t="array" ref="W131">IF(ISBLANK(V131),"",_xlfn.CONCAT(_xlfn.UNIQUE(_xlfn._xlws.FILTER(R131:R2129,P131:P2129=V131))))</f>
        <v/>
      </c>
      <c r="X131" t="str">
        <f t="shared" ref="X131:X138" si="2">IF(ISBLANK(V131),"",IF(W131="liquid","solidliquid","solid"))</f>
        <v/>
      </c>
    </row>
    <row r="132" spans="23:24" x14ac:dyDescent="0.35">
      <c r="W132" t="str" cm="1">
        <f t="array" ref="W132">IF(ISBLANK(V132),"",_xlfn.CONCAT(_xlfn.UNIQUE(_xlfn._xlws.FILTER(R132:R2130,P132:P2130=V132))))</f>
        <v/>
      </c>
      <c r="X132" t="str">
        <f t="shared" si="2"/>
        <v/>
      </c>
    </row>
    <row r="133" spans="23:24" x14ac:dyDescent="0.35">
      <c r="W133" t="str" cm="1">
        <f t="array" ref="W133">IF(ISBLANK(V133),"",_xlfn.CONCAT(_xlfn.UNIQUE(_xlfn._xlws.FILTER(R133:R2131,P133:P2131=V133))))</f>
        <v/>
      </c>
      <c r="X133" t="str">
        <f t="shared" si="2"/>
        <v/>
      </c>
    </row>
    <row r="134" spans="23:24" x14ac:dyDescent="0.35">
      <c r="W134" t="str" cm="1">
        <f t="array" ref="W134">IF(ISBLANK(V134),"",_xlfn.CONCAT(_xlfn.UNIQUE(_xlfn._xlws.FILTER(R134:R2132,P134:P2132=V134))))</f>
        <v/>
      </c>
      <c r="X134" t="str">
        <f t="shared" si="2"/>
        <v/>
      </c>
    </row>
    <row r="135" spans="23:24" x14ac:dyDescent="0.35">
      <c r="W135" t="str" cm="1">
        <f t="array" ref="W135">IF(ISBLANK(V135),"",_xlfn.CONCAT(_xlfn.UNIQUE(_xlfn._xlws.FILTER(R135:R2133,P135:P2133=V135))))</f>
        <v/>
      </c>
      <c r="X135" t="str">
        <f t="shared" si="2"/>
        <v/>
      </c>
    </row>
    <row r="136" spans="23:24" x14ac:dyDescent="0.35">
      <c r="W136" t="str" cm="1">
        <f t="array" ref="W136">IF(ISBLANK(V136),"",_xlfn.CONCAT(_xlfn.UNIQUE(_xlfn._xlws.FILTER(R136:R2134,P136:P2134=V136))))</f>
        <v/>
      </c>
      <c r="X136" t="str">
        <f t="shared" si="2"/>
        <v/>
      </c>
    </row>
    <row r="137" spans="23:24" x14ac:dyDescent="0.35">
      <c r="W137" t="str" cm="1">
        <f t="array" ref="W137">IF(ISBLANK(V137),"",_xlfn.CONCAT(_xlfn.UNIQUE(_xlfn._xlws.FILTER(R137:R2135,P137:P2135=V137))))</f>
        <v/>
      </c>
      <c r="X137" t="str">
        <f t="shared" si="2"/>
        <v/>
      </c>
    </row>
    <row r="138" spans="23:24" x14ac:dyDescent="0.35">
      <c r="W138" t="str" cm="1">
        <f t="array" ref="W138">IF(ISBLANK(V138),"",_xlfn.CONCAT(_xlfn.UNIQUE(_xlfn._xlws.FILTER(R138:R2136,P138:P2136=V138))))</f>
        <v/>
      </c>
      <c r="X138" t="str">
        <f t="shared" si="2"/>
        <v/>
      </c>
    </row>
    <row r="139" spans="23:24" x14ac:dyDescent="0.35">
      <c r="W139" t="str" cm="1">
        <f t="array" ref="W139">IF(ISBLANK(V139),"",_xlfn.CONCAT(_xlfn.UNIQUE(_xlfn._xlws.FILTER(R139:R2137,P139:P2137=V139))))</f>
        <v/>
      </c>
    </row>
    <row r="140" spans="23:24" x14ac:dyDescent="0.35">
      <c r="W140" t="str" cm="1">
        <f t="array" ref="W140">IF(ISBLANK(V140),"",_xlfn.CONCAT(_xlfn.UNIQUE(_xlfn._xlws.FILTER(R140:R2138,P140:P2138=V140))))</f>
        <v/>
      </c>
    </row>
    <row r="141" spans="23:24" x14ac:dyDescent="0.35">
      <c r="W141" t="str" cm="1">
        <f t="array" ref="W141">IF(ISBLANK(V141),"",_xlfn.CONCAT(_xlfn.UNIQUE(_xlfn._xlws.FILTER(R141:R2139,P141:P2139=V141))))</f>
        <v/>
      </c>
    </row>
    <row r="142" spans="23:24" x14ac:dyDescent="0.35">
      <c r="W142" t="str" cm="1">
        <f t="array" ref="W142">IF(ISBLANK(V142),"",_xlfn.CONCAT(_xlfn.UNIQUE(_xlfn._xlws.FILTER(R142:R2140,P142:P2140=V142))))</f>
        <v/>
      </c>
    </row>
    <row r="143" spans="23:24" x14ac:dyDescent="0.35">
      <c r="W143" t="str" cm="1">
        <f t="array" ref="W143">IF(ISBLANK(V143),"",_xlfn.CONCAT(_xlfn.UNIQUE(_xlfn._xlws.FILTER(R143:R2141,P143:P2141=V143))))</f>
        <v/>
      </c>
    </row>
  </sheetData>
  <phoneticPr fontId="4" type="noConversion"/>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3F2CA46B9D1344B5EAC6319198805A" ma:contentTypeVersion="15" ma:contentTypeDescription="Create a new document." ma:contentTypeScope="" ma:versionID="82c48ec8f86037d1b474c0fd4b3609ea">
  <xsd:schema xmlns:xsd="http://www.w3.org/2001/XMLSchema" xmlns:xs="http://www.w3.org/2001/XMLSchema" xmlns:p="http://schemas.microsoft.com/office/2006/metadata/properties" xmlns:ns2="7b4cb528-c6de-4962-ba6a-8c4f497baf23" xmlns:ns3="99e02294-3e65-436c-9823-d77a7b509d92" targetNamespace="http://schemas.microsoft.com/office/2006/metadata/properties" ma:root="true" ma:fieldsID="357455f4b9d52908628b87f0a03db3da" ns2:_="" ns3:_="">
    <xsd:import namespace="7b4cb528-c6de-4962-ba6a-8c4f497baf23"/>
    <xsd:import namespace="99e02294-3e65-436c-9823-d77a7b509d9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cb528-c6de-4962-ba6a-8c4f497baf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a446fb-c4e7-47d1-9e02-aae3431be31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e02294-3e65-436c-9823-d77a7b509d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67cb04-9f33-40fb-aae7-209dc6a2783b}" ma:internalName="TaxCatchAll" ma:showField="CatchAllData" ma:web="99e02294-3e65-436c-9823-d77a7b509d9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99e02294-3e65-436c-9823-d77a7b509d92" xsi:nil="true"/>
    <lcf76f155ced4ddcb4097134ff3c332f xmlns="7b4cb528-c6de-4962-ba6a-8c4f497baf23">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2A2DAF-8398-45BA-BF3B-F4C1E6C80E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4cb528-c6de-4962-ba6a-8c4f497baf23"/>
    <ds:schemaRef ds:uri="99e02294-3e65-436c-9823-d77a7b509d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EE4BEB-C0E8-495B-9FD8-367F17582DCD}">
  <ds:schemaRefs>
    <ds:schemaRef ds:uri="http://schemas.microsoft.com/DataMashup"/>
  </ds:schemaRefs>
</ds:datastoreItem>
</file>

<file path=customXml/itemProps3.xml><?xml version="1.0" encoding="utf-8"?>
<ds:datastoreItem xmlns:ds="http://schemas.openxmlformats.org/officeDocument/2006/customXml" ds:itemID="{41383737-7FB4-48ED-ADEE-6D19DBCC3844}">
  <ds:schemaRefs>
    <ds:schemaRef ds:uri="http://schemas.microsoft.com/office/infopath/2007/PartnerControls"/>
    <ds:schemaRef ds:uri="http://purl.org/dc/elements/1.1/"/>
    <ds:schemaRef ds:uri="http://schemas.microsoft.com/office/2006/metadata/properties"/>
    <ds:schemaRef ds:uri="http://purl.org/dc/terms/"/>
    <ds:schemaRef ds:uri="7b4cb528-c6de-4962-ba6a-8c4f497baf23"/>
    <ds:schemaRef ds:uri="http://schemas.openxmlformats.org/package/2006/metadata/core-properties"/>
    <ds:schemaRef ds:uri="http://schemas.microsoft.com/office/2006/documentManagement/types"/>
    <ds:schemaRef ds:uri="99e02294-3e65-436c-9823-d77a7b509d92"/>
    <ds:schemaRef ds:uri="http://www.w3.org/XML/1998/namespace"/>
    <ds:schemaRef ds:uri="http://purl.org/dc/dcmitype/"/>
  </ds:schemaRefs>
</ds:datastoreItem>
</file>

<file path=customXml/itemProps4.xml><?xml version="1.0" encoding="utf-8"?>
<ds:datastoreItem xmlns:ds="http://schemas.openxmlformats.org/officeDocument/2006/customXml" ds:itemID="{44FCD1EB-CF3C-4750-ADBE-8848FF01E5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Instructions</vt:lpstr>
      <vt:lpstr>SAF Filters</vt:lpstr>
      <vt:lpstr>Configuration</vt:lpstr>
      <vt:lpstr>Commodities and Processes</vt:lpstr>
      <vt:lpstr>Facilities and Amounts</vt:lpstr>
      <vt:lpstr>SAF_Scenario</vt:lpstr>
      <vt:lpstr>SAF_State</vt:lpstr>
      <vt:lpstr>SAF_Cand_Refinery</vt:lpstr>
      <vt:lpstr>SAF_Existing_Refinery</vt:lpstr>
      <vt:lpstr>SAF_Blender</vt:lpstr>
      <vt:lpstr>SAF_Airport</vt:lpstr>
      <vt:lpstr>Notes</vt:lpstr>
      <vt:lpstr>dest_copy</vt:lpstr>
      <vt:lpstr>liquid</vt:lpstr>
      <vt:lpstr>SAF_Cand_Refinery!raw_material_producer</vt:lpstr>
      <vt:lpstr>SAF_Scenario!raw_material_producer</vt:lpstr>
      <vt:lpstr>SAF_State!raw_material_producer</vt:lpstr>
      <vt:lpstr>raw_material_producer</vt:lpstr>
      <vt:lpstr>rmp_copy</vt:lpstr>
      <vt:lpstr>solid</vt:lpstr>
      <vt:lpstr>solidliquid</vt:lpstr>
      <vt:lpstr>SAF_Cand_Refinery!ultimate_destination</vt:lpstr>
      <vt:lpstr>SAF_Scenario!ultimate_destination</vt:lpstr>
      <vt:lpstr>SAF_State!ultimate_destination</vt:lpstr>
      <vt:lpstr>ultimate_destination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Ledvina, Kirby (Volpe)</cp:lastModifiedBy>
  <dcterms:created xsi:type="dcterms:W3CDTF">2023-07-28T13:57:40Z</dcterms:created>
  <dcterms:modified xsi:type="dcterms:W3CDTF">2026-09-24T09:11:22Z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0x010100403F2CA46B9D1344B5EAC6319198805A</vt:lpwstr>
  </property>
  <property fmtid="{D5CDD505-2E9C-101B-9397-08002B2CF9AE}" pid="3" name="MediaServiceImageTags">
    <vt:lpwstr/>
  </property>
</Properties>
</file>